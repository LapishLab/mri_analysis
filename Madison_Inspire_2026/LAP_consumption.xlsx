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swyga\Documents\GitHub\mri_analysis\Madison_Inspire_2026\"/>
    </mc:Choice>
  </mc:AlternateContent>
  <xr:revisionPtr revIDLastSave="0" documentId="13_ncr:1_{B44A5E82-8805-4879-959C-D35549B19B26}" xr6:coauthVersionLast="47" xr6:coauthVersionMax="47" xr10:uidLastSave="{00000000-0000-0000-0000-000000000000}"/>
  <bookViews>
    <workbookView xWindow="-110" yWindow="-110" windowWidth="19420" windowHeight="11500" tabRatio="835" activeTab="1" xr2:uid="{4BEB7E78-824E-4BFE-AAEC-F3A37821A838}"/>
  </bookViews>
  <sheets>
    <sheet name="suspicious_values" sheetId="19" r:id="rId1"/>
    <sheet name="notes" sheetId="14" r:id="rId2"/>
    <sheet name="rat_weight" sheetId="7" r:id="rId3"/>
    <sheet name="eth_ON" sheetId="8" r:id="rId4"/>
    <sheet name="eth_OFF" sheetId="9" r:id="rId5"/>
    <sheet name="E_g" sheetId="16" r:id="rId6"/>
    <sheet name="E_per_kg" sheetId="17" r:id="rId7"/>
    <sheet name="water_ON" sheetId="10" r:id="rId8"/>
    <sheet name="water_OFF" sheetId="11" r:id="rId9"/>
    <sheet name="W_g" sheetId="15" r:id="rId10"/>
    <sheet name="W_per_kg" sheetId="1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5" l="1"/>
  <c r="D2" i="15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B62" i="15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C55" i="16"/>
  <c r="D55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C56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C58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C59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C60" i="16"/>
  <c r="D60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2" i="16"/>
  <c r="C62" i="16"/>
  <c r="D62" i="16"/>
  <c r="E62" i="16"/>
  <c r="F62" i="16"/>
  <c r="G62" i="16"/>
  <c r="H62" i="16"/>
  <c r="I62" i="16"/>
  <c r="J62" i="16"/>
  <c r="S18" i="17" s="1"/>
  <c r="K62" i="16"/>
  <c r="L62" i="16"/>
  <c r="M62" i="16"/>
  <c r="N62" i="16"/>
  <c r="O62" i="16"/>
  <c r="P62" i="16"/>
  <c r="Q62" i="16"/>
  <c r="R62" i="16"/>
  <c r="S62" i="16"/>
  <c r="T62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B63" i="16"/>
  <c r="B62" i="16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B65" i="11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B65" i="9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B65" i="10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B65" i="8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3" i="16"/>
  <c r="U2" i="16"/>
  <c r="E2" i="19"/>
  <c r="D2" i="19"/>
  <c r="U63" i="16"/>
  <c r="V63" i="16"/>
  <c r="W63" i="16"/>
  <c r="X63" i="16"/>
  <c r="Y63" i="16"/>
  <c r="Z63" i="16"/>
  <c r="AA63" i="16"/>
  <c r="AB63" i="16"/>
  <c r="AC63" i="16"/>
  <c r="AD63" i="16"/>
  <c r="AE63" i="16"/>
  <c r="AE44" i="16" s="1"/>
  <c r="AF63" i="16"/>
  <c r="AG63" i="16"/>
  <c r="AG5" i="16" s="1"/>
  <c r="AH63" i="16"/>
  <c r="AI63" i="16"/>
  <c r="AJ63" i="16"/>
  <c r="AK63" i="16"/>
  <c r="V62" i="16"/>
  <c r="V10" i="16" s="1"/>
  <c r="W62" i="16"/>
  <c r="W52" i="16" s="1"/>
  <c r="X62" i="16"/>
  <c r="X5" i="16" s="1"/>
  <c r="Y62" i="16"/>
  <c r="Y17" i="16" s="1"/>
  <c r="Z62" i="16"/>
  <c r="AA62" i="16"/>
  <c r="AB62" i="16"/>
  <c r="AB6" i="16" s="1"/>
  <c r="AC62" i="16"/>
  <c r="AD62" i="16"/>
  <c r="AE62" i="16"/>
  <c r="AF62" i="16"/>
  <c r="AG62" i="16"/>
  <c r="AH62" i="16"/>
  <c r="AI62" i="16"/>
  <c r="AI6" i="16" s="1"/>
  <c r="AJ62" i="16"/>
  <c r="AJ6" i="16" s="1"/>
  <c r="AK62" i="16"/>
  <c r="AK6" i="16" s="1"/>
  <c r="X3" i="16"/>
  <c r="Y3" i="16"/>
  <c r="Z3" i="16"/>
  <c r="AA3" i="16"/>
  <c r="AB3" i="16"/>
  <c r="AF3" i="16"/>
  <c r="AH3" i="16"/>
  <c r="AI3" i="16"/>
  <c r="AK3" i="16"/>
  <c r="W4" i="16"/>
  <c r="X4" i="16"/>
  <c r="AF4" i="16"/>
  <c r="AH4" i="16"/>
  <c r="AI4" i="16"/>
  <c r="AF5" i="16"/>
  <c r="AH5" i="16"/>
  <c r="AE6" i="16"/>
  <c r="AF6" i="16"/>
  <c r="AH6" i="16"/>
  <c r="AF7" i="16"/>
  <c r="AG7" i="16"/>
  <c r="AH7" i="16"/>
  <c r="AF8" i="16"/>
  <c r="AG8" i="16"/>
  <c r="AH8" i="16"/>
  <c r="AF9" i="16"/>
  <c r="AG9" i="16"/>
  <c r="AH9" i="16"/>
  <c r="AI9" i="16"/>
  <c r="AF10" i="16"/>
  <c r="AG10" i="16"/>
  <c r="AH10" i="16"/>
  <c r="AI10" i="16"/>
  <c r="AJ10" i="16"/>
  <c r="AK10" i="16"/>
  <c r="AF11" i="16"/>
  <c r="AG11" i="16"/>
  <c r="AH11" i="16"/>
  <c r="AI11" i="16"/>
  <c r="AJ11" i="16"/>
  <c r="AK11" i="16"/>
  <c r="X12" i="16"/>
  <c r="Y12" i="16"/>
  <c r="AF12" i="16"/>
  <c r="AG12" i="16"/>
  <c r="AH12" i="16"/>
  <c r="AI12" i="16"/>
  <c r="AJ12" i="16"/>
  <c r="AK12" i="16"/>
  <c r="AF13" i="16"/>
  <c r="AH13" i="16"/>
  <c r="AI13" i="16"/>
  <c r="AJ13" i="16"/>
  <c r="AK13" i="16"/>
  <c r="V14" i="16"/>
  <c r="AF14" i="16"/>
  <c r="AH14" i="16"/>
  <c r="AI14" i="16"/>
  <c r="AJ14" i="16"/>
  <c r="AK14" i="16"/>
  <c r="W15" i="16"/>
  <c r="X15" i="16"/>
  <c r="Y15" i="16"/>
  <c r="Z15" i="16"/>
  <c r="AF15" i="16"/>
  <c r="AH15" i="16"/>
  <c r="AI15" i="16"/>
  <c r="AJ15" i="16"/>
  <c r="V16" i="16"/>
  <c r="X16" i="16"/>
  <c r="AF16" i="16"/>
  <c r="AH16" i="16"/>
  <c r="AI16" i="16"/>
  <c r="AJ16" i="16"/>
  <c r="AK16" i="16"/>
  <c r="AF17" i="16"/>
  <c r="AH17" i="16"/>
  <c r="X18" i="16"/>
  <c r="Y18" i="16"/>
  <c r="Z18" i="16"/>
  <c r="AB18" i="16"/>
  <c r="AF18" i="16"/>
  <c r="AG18" i="16"/>
  <c r="AH18" i="16"/>
  <c r="AF19" i="16"/>
  <c r="AG19" i="16"/>
  <c r="AH19" i="16"/>
  <c r="AI19" i="16"/>
  <c r="AF20" i="16"/>
  <c r="AG20" i="16"/>
  <c r="AH20" i="16"/>
  <c r="AF21" i="16"/>
  <c r="AG21" i="16"/>
  <c r="AH21" i="16"/>
  <c r="AF22" i="16"/>
  <c r="AG22" i="16"/>
  <c r="AH22" i="16"/>
  <c r="AI22" i="16"/>
  <c r="AF23" i="16"/>
  <c r="AG23" i="16"/>
  <c r="AH23" i="16"/>
  <c r="AI23" i="16"/>
  <c r="AF24" i="16"/>
  <c r="AG24" i="16"/>
  <c r="AH24" i="16"/>
  <c r="AI24" i="16"/>
  <c r="AJ24" i="16"/>
  <c r="AF25" i="16"/>
  <c r="AG25" i="16"/>
  <c r="AH25" i="16"/>
  <c r="AI25" i="16"/>
  <c r="AJ25" i="16"/>
  <c r="AK25" i="16"/>
  <c r="AF26" i="16"/>
  <c r="AG26" i="16"/>
  <c r="AH26" i="16"/>
  <c r="AI26" i="16"/>
  <c r="AJ26" i="16"/>
  <c r="AK26" i="16"/>
  <c r="AF27" i="16"/>
  <c r="AG27" i="16"/>
  <c r="AH27" i="16"/>
  <c r="AI27" i="16"/>
  <c r="AJ27" i="16"/>
  <c r="AK27" i="16"/>
  <c r="AF28" i="16"/>
  <c r="AG28" i="16"/>
  <c r="AH28" i="16"/>
  <c r="AI28" i="16"/>
  <c r="AJ28" i="16"/>
  <c r="AK28" i="16"/>
  <c r="AF29" i="16"/>
  <c r="AG29" i="16"/>
  <c r="AH29" i="16"/>
  <c r="AI29" i="16"/>
  <c r="AJ29" i="16"/>
  <c r="AK29" i="16"/>
  <c r="AF30" i="16"/>
  <c r="AG30" i="16"/>
  <c r="AH30" i="16"/>
  <c r="AI30" i="16"/>
  <c r="AJ30" i="16"/>
  <c r="AK30" i="16"/>
  <c r="X31" i="16"/>
  <c r="AF31" i="16"/>
  <c r="AG31" i="16"/>
  <c r="AH31" i="16"/>
  <c r="AI31" i="16"/>
  <c r="AJ31" i="16"/>
  <c r="AK31" i="16"/>
  <c r="AF32" i="16"/>
  <c r="AG32" i="16"/>
  <c r="AH32" i="16"/>
  <c r="AI32" i="16"/>
  <c r="AJ32" i="16"/>
  <c r="AK32" i="16"/>
  <c r="V33" i="16"/>
  <c r="X33" i="16"/>
  <c r="Y33" i="16"/>
  <c r="AF33" i="16"/>
  <c r="AG33" i="16"/>
  <c r="AH33" i="16"/>
  <c r="AI33" i="16"/>
  <c r="AJ33" i="16"/>
  <c r="AK33" i="16"/>
  <c r="W34" i="16"/>
  <c r="X34" i="16"/>
  <c r="Y34" i="16"/>
  <c r="AF34" i="16"/>
  <c r="AG34" i="16"/>
  <c r="AH34" i="16"/>
  <c r="AI34" i="16"/>
  <c r="AJ34" i="16"/>
  <c r="AK34" i="16"/>
  <c r="V35" i="16"/>
  <c r="W35" i="16"/>
  <c r="AF35" i="16"/>
  <c r="AG35" i="16"/>
  <c r="AH35" i="16"/>
  <c r="AI35" i="16"/>
  <c r="AJ35" i="16"/>
  <c r="AK35" i="16"/>
  <c r="X36" i="16"/>
  <c r="AF36" i="16"/>
  <c r="AG36" i="16"/>
  <c r="AH36" i="16"/>
  <c r="AI36" i="16"/>
  <c r="AJ36" i="16"/>
  <c r="AK36" i="16"/>
  <c r="V37" i="16"/>
  <c r="X37" i="16"/>
  <c r="Y37" i="16"/>
  <c r="AF37" i="16"/>
  <c r="AG37" i="16"/>
  <c r="AH37" i="16"/>
  <c r="AI37" i="16"/>
  <c r="AJ37" i="16"/>
  <c r="AK37" i="16"/>
  <c r="AF38" i="16"/>
  <c r="AH38" i="16"/>
  <c r="AI38" i="16"/>
  <c r="AJ38" i="16"/>
  <c r="AK38" i="16"/>
  <c r="X39" i="16"/>
  <c r="AF39" i="16"/>
  <c r="AH39" i="16"/>
  <c r="AI39" i="16"/>
  <c r="AJ39" i="16"/>
  <c r="AK39" i="16"/>
  <c r="X40" i="16"/>
  <c r="Y40" i="16"/>
  <c r="Z40" i="16"/>
  <c r="AB40" i="16"/>
  <c r="AD40" i="16"/>
  <c r="AF40" i="16"/>
  <c r="AH40" i="16"/>
  <c r="AF41" i="16"/>
  <c r="AG41" i="16"/>
  <c r="AH41" i="16"/>
  <c r="Y42" i="16"/>
  <c r="AF42" i="16"/>
  <c r="AH42" i="16"/>
  <c r="AF43" i="16"/>
  <c r="AG43" i="16"/>
  <c r="AH43" i="16"/>
  <c r="AI43" i="16"/>
  <c r="AF44" i="16"/>
  <c r="AG44" i="16"/>
  <c r="AH44" i="16"/>
  <c r="AI44" i="16"/>
  <c r="AD45" i="16"/>
  <c r="AE45" i="16"/>
  <c r="AF45" i="16"/>
  <c r="AG45" i="16"/>
  <c r="AH45" i="16"/>
  <c r="AF46" i="16"/>
  <c r="AG46" i="16"/>
  <c r="AH46" i="16"/>
  <c r="AD47" i="16"/>
  <c r="AE47" i="16"/>
  <c r="AF47" i="16"/>
  <c r="AG47" i="16"/>
  <c r="AH47" i="16"/>
  <c r="AF48" i="16"/>
  <c r="AG48" i="16"/>
  <c r="AH48" i="16"/>
  <c r="AI48" i="16"/>
  <c r="AF49" i="16"/>
  <c r="AG49" i="16"/>
  <c r="AH49" i="16"/>
  <c r="AI49" i="16"/>
  <c r="AF50" i="16"/>
  <c r="AG50" i="16"/>
  <c r="AH50" i="16"/>
  <c r="AI50" i="16"/>
  <c r="AJ50" i="16"/>
  <c r="AF51" i="16"/>
  <c r="AG51" i="16"/>
  <c r="AH51" i="16"/>
  <c r="AI51" i="16"/>
  <c r="AJ51" i="16"/>
  <c r="AF52" i="16"/>
  <c r="AG52" i="16"/>
  <c r="AH52" i="16"/>
  <c r="AI52" i="16"/>
  <c r="AJ52" i="16"/>
  <c r="AF53" i="16"/>
  <c r="AG53" i="16"/>
  <c r="AH53" i="16"/>
  <c r="AI53" i="16"/>
  <c r="AJ53" i="16"/>
  <c r="AK53" i="16"/>
  <c r="AF54" i="16"/>
  <c r="AG54" i="16"/>
  <c r="AH54" i="16"/>
  <c r="AI54" i="16"/>
  <c r="AJ54" i="16"/>
  <c r="AK54" i="16"/>
  <c r="AF55" i="16"/>
  <c r="AG55" i="16"/>
  <c r="AH55" i="16"/>
  <c r="AI55" i="16"/>
  <c r="AJ55" i="16"/>
  <c r="AK55" i="16"/>
  <c r="V56" i="16"/>
  <c r="AF56" i="16"/>
  <c r="AG56" i="16"/>
  <c r="AH56" i="16"/>
  <c r="AI56" i="16"/>
  <c r="AJ56" i="16"/>
  <c r="AK56" i="16"/>
  <c r="AF57" i="16"/>
  <c r="AG57" i="16"/>
  <c r="AH57" i="16"/>
  <c r="AI57" i="16"/>
  <c r="AJ57" i="16"/>
  <c r="AK57" i="16"/>
  <c r="V58" i="16"/>
  <c r="X58" i="16"/>
  <c r="AF58" i="16"/>
  <c r="AG58" i="16"/>
  <c r="AH58" i="16"/>
  <c r="AI58" i="16"/>
  <c r="AJ58" i="16"/>
  <c r="AK58" i="16"/>
  <c r="AF59" i="16"/>
  <c r="AG59" i="16"/>
  <c r="AH59" i="16"/>
  <c r="AI59" i="16"/>
  <c r="AJ59" i="16"/>
  <c r="AK59" i="16"/>
  <c r="X60" i="16"/>
  <c r="Y60" i="16"/>
  <c r="AF60" i="16"/>
  <c r="AH60" i="16"/>
  <c r="AI60" i="16"/>
  <c r="AJ60" i="16"/>
  <c r="AK60" i="16"/>
  <c r="V61" i="16"/>
  <c r="X61" i="16"/>
  <c r="Y61" i="16"/>
  <c r="Z61" i="16"/>
  <c r="AF61" i="16"/>
  <c r="AH61" i="16"/>
  <c r="AI61" i="16"/>
  <c r="AJ61" i="16"/>
  <c r="AK61" i="16"/>
  <c r="AF2" i="16"/>
  <c r="AH2" i="16"/>
  <c r="V63" i="15"/>
  <c r="V49" i="15" s="1"/>
  <c r="W63" i="15"/>
  <c r="W21" i="15" s="1"/>
  <c r="X63" i="15"/>
  <c r="Y63" i="15"/>
  <c r="Z63" i="15"/>
  <c r="AA63" i="15"/>
  <c r="AB63" i="15"/>
  <c r="AC63" i="15"/>
  <c r="AC39" i="15" s="1"/>
  <c r="AD63" i="15"/>
  <c r="AD7" i="15" s="1"/>
  <c r="AE63" i="15"/>
  <c r="AF63" i="15"/>
  <c r="AF4" i="15" s="1"/>
  <c r="AG63" i="15"/>
  <c r="AH63" i="15"/>
  <c r="AI63" i="15"/>
  <c r="AJ63" i="15"/>
  <c r="AK63" i="15"/>
  <c r="V62" i="15"/>
  <c r="W62" i="15"/>
  <c r="X62" i="15"/>
  <c r="X7" i="15" s="1"/>
  <c r="Y62" i="15"/>
  <c r="Y13" i="15" s="1"/>
  <c r="Z62" i="15"/>
  <c r="Z8" i="15" s="1"/>
  <c r="AA62" i="15"/>
  <c r="AA12" i="15" s="1"/>
  <c r="AB62" i="15"/>
  <c r="AB9" i="15" s="1"/>
  <c r="AC62" i="15"/>
  <c r="AD62" i="15"/>
  <c r="AE62" i="15"/>
  <c r="AE3" i="15" s="1"/>
  <c r="AF62" i="15"/>
  <c r="AG62" i="15"/>
  <c r="AH62" i="15"/>
  <c r="AH4" i="15" s="1"/>
  <c r="AI62" i="15"/>
  <c r="AJ62" i="15"/>
  <c r="AJ19" i="15" s="1"/>
  <c r="AK62" i="15"/>
  <c r="AK17" i="15" s="1"/>
  <c r="X3" i="15"/>
  <c r="Y3" i="15"/>
  <c r="Z3" i="15"/>
  <c r="AG3" i="15"/>
  <c r="AI3" i="15"/>
  <c r="AE4" i="15"/>
  <c r="AG4" i="15"/>
  <c r="AI4" i="15"/>
  <c r="AE5" i="15"/>
  <c r="AG5" i="15"/>
  <c r="AH5" i="15"/>
  <c r="AI5" i="15"/>
  <c r="W6" i="15"/>
  <c r="AG6" i="15"/>
  <c r="AH6" i="15"/>
  <c r="AI6" i="15"/>
  <c r="AK6" i="15"/>
  <c r="W7" i="15"/>
  <c r="AE7" i="15"/>
  <c r="AG7" i="15"/>
  <c r="AH7" i="15"/>
  <c r="AI7" i="15"/>
  <c r="AK7" i="15"/>
  <c r="AE8" i="15"/>
  <c r="AG8" i="15"/>
  <c r="AH8" i="15"/>
  <c r="AI8" i="15"/>
  <c r="AK8" i="15"/>
  <c r="W9" i="15"/>
  <c r="X9" i="15"/>
  <c r="AG9" i="15"/>
  <c r="AH9" i="15"/>
  <c r="AI9" i="15"/>
  <c r="X10" i="15"/>
  <c r="Y10" i="15"/>
  <c r="Z10" i="15"/>
  <c r="AD10" i="15"/>
  <c r="AE10" i="15"/>
  <c r="AG10" i="15"/>
  <c r="AI10" i="15"/>
  <c r="AG11" i="15"/>
  <c r="AH11" i="15"/>
  <c r="AI11" i="15"/>
  <c r="AE12" i="15"/>
  <c r="AG12" i="15"/>
  <c r="AH12" i="15"/>
  <c r="AI12" i="15"/>
  <c r="AK12" i="15"/>
  <c r="W13" i="15"/>
  <c r="AE13" i="15"/>
  <c r="AG13" i="15"/>
  <c r="AH13" i="15"/>
  <c r="AI13" i="15"/>
  <c r="AK13" i="15"/>
  <c r="W14" i="15"/>
  <c r="X14" i="15"/>
  <c r="AG14" i="15"/>
  <c r="AH14" i="15"/>
  <c r="AI14" i="15"/>
  <c r="AJ14" i="15"/>
  <c r="AK14" i="15"/>
  <c r="X15" i="15"/>
  <c r="Y15" i="15"/>
  <c r="Z15" i="15"/>
  <c r="AB15" i="15"/>
  <c r="AE15" i="15"/>
  <c r="AG15" i="15"/>
  <c r="AI15" i="15"/>
  <c r="W16" i="15"/>
  <c r="AC16" i="15"/>
  <c r="AD16" i="15"/>
  <c r="AG16" i="15"/>
  <c r="AH16" i="15"/>
  <c r="AI16" i="15"/>
  <c r="AE17" i="15"/>
  <c r="AG17" i="15"/>
  <c r="AI17" i="15"/>
  <c r="AE18" i="15"/>
  <c r="AG18" i="15"/>
  <c r="AH18" i="15"/>
  <c r="AI18" i="15"/>
  <c r="AG19" i="15"/>
  <c r="AH19" i="15"/>
  <c r="AI19" i="15"/>
  <c r="W20" i="15"/>
  <c r="X20" i="15"/>
  <c r="AE20" i="15"/>
  <c r="AG20" i="15"/>
  <c r="AI20" i="15"/>
  <c r="AJ20" i="15"/>
  <c r="AK20" i="15"/>
  <c r="X21" i="15"/>
  <c r="AE21" i="15"/>
  <c r="AF21" i="15"/>
  <c r="AG21" i="15"/>
  <c r="AH21" i="15"/>
  <c r="AI21" i="15"/>
  <c r="AK21" i="15"/>
  <c r="X22" i="15"/>
  <c r="Y22" i="15"/>
  <c r="Z22" i="15"/>
  <c r="AG22" i="15"/>
  <c r="AI22" i="15"/>
  <c r="AE23" i="15"/>
  <c r="AG23" i="15"/>
  <c r="AH23" i="15"/>
  <c r="AI23" i="15"/>
  <c r="AE24" i="15"/>
  <c r="AG24" i="15"/>
  <c r="AH24" i="15"/>
  <c r="AI24" i="15"/>
  <c r="AK24" i="15"/>
  <c r="AE25" i="15"/>
  <c r="AG25" i="15"/>
  <c r="AH25" i="15"/>
  <c r="AI25" i="15"/>
  <c r="AJ25" i="15"/>
  <c r="AK25" i="15"/>
  <c r="X26" i="15"/>
  <c r="AE26" i="15"/>
  <c r="AG26" i="15"/>
  <c r="AI26" i="15"/>
  <c r="AK26" i="15"/>
  <c r="W27" i="15"/>
  <c r="X27" i="15"/>
  <c r="Y27" i="15"/>
  <c r="Z27" i="15"/>
  <c r="AE27" i="15"/>
  <c r="AG27" i="15"/>
  <c r="AI27" i="15"/>
  <c r="W28" i="15"/>
  <c r="X28" i="15"/>
  <c r="Y28" i="15"/>
  <c r="Z28" i="15"/>
  <c r="AD28" i="15"/>
  <c r="AG28" i="15"/>
  <c r="AH28" i="15"/>
  <c r="AI28" i="15"/>
  <c r="AE29" i="15"/>
  <c r="AG29" i="15"/>
  <c r="AH29" i="15"/>
  <c r="AI29" i="15"/>
  <c r="AG30" i="15"/>
  <c r="AH30" i="15"/>
  <c r="AI30" i="15"/>
  <c r="AJ30" i="15"/>
  <c r="AK30" i="15"/>
  <c r="X31" i="15"/>
  <c r="AE31" i="15"/>
  <c r="AG31" i="15"/>
  <c r="AH31" i="15"/>
  <c r="AI31" i="15"/>
  <c r="X32" i="15"/>
  <c r="Y32" i="15"/>
  <c r="Z32" i="15"/>
  <c r="AA32" i="15"/>
  <c r="AB32" i="15"/>
  <c r="AE32" i="15"/>
  <c r="AG32" i="15"/>
  <c r="AI32" i="15"/>
  <c r="AE33" i="15"/>
  <c r="AG33" i="15"/>
  <c r="AH33" i="15"/>
  <c r="AI33" i="15"/>
  <c r="W34" i="15"/>
  <c r="AE34" i="15"/>
  <c r="AG34" i="15"/>
  <c r="AH34" i="15"/>
  <c r="AI34" i="15"/>
  <c r="AK34" i="15"/>
  <c r="W35" i="15"/>
  <c r="AE35" i="15"/>
  <c r="AG35" i="15"/>
  <c r="AH35" i="15"/>
  <c r="AI35" i="15"/>
  <c r="AJ35" i="15"/>
  <c r="AK35" i="15"/>
  <c r="AE36" i="15"/>
  <c r="AG36" i="15"/>
  <c r="AH36" i="15"/>
  <c r="AI36" i="15"/>
  <c r="AJ36" i="15"/>
  <c r="AK36" i="15"/>
  <c r="AE37" i="15"/>
  <c r="AG37" i="15"/>
  <c r="AH37" i="15"/>
  <c r="AI37" i="15"/>
  <c r="AJ37" i="15"/>
  <c r="AK37" i="15"/>
  <c r="X38" i="15"/>
  <c r="AE38" i="15"/>
  <c r="AG38" i="15"/>
  <c r="AH38" i="15"/>
  <c r="AI38" i="15"/>
  <c r="AJ38" i="15"/>
  <c r="AK38" i="15"/>
  <c r="X39" i="15"/>
  <c r="Y39" i="15"/>
  <c r="AG39" i="15"/>
  <c r="AH39" i="15"/>
  <c r="AI39" i="15"/>
  <c r="AJ39" i="15"/>
  <c r="AK39" i="15"/>
  <c r="W40" i="15"/>
  <c r="X40" i="15"/>
  <c r="Y40" i="15"/>
  <c r="AE40" i="15"/>
  <c r="AG40" i="15"/>
  <c r="AH40" i="15"/>
  <c r="AI40" i="15"/>
  <c r="AJ40" i="15"/>
  <c r="AK40" i="15"/>
  <c r="W41" i="15"/>
  <c r="X41" i="15"/>
  <c r="Y41" i="15"/>
  <c r="Z41" i="15"/>
  <c r="AE41" i="15"/>
  <c r="AG41" i="15"/>
  <c r="AH41" i="15"/>
  <c r="AI41" i="15"/>
  <c r="AJ41" i="15"/>
  <c r="AK41" i="15"/>
  <c r="X42" i="15"/>
  <c r="Y42" i="15"/>
  <c r="Z42" i="15"/>
  <c r="AB42" i="15"/>
  <c r="AG42" i="15"/>
  <c r="AI42" i="15"/>
  <c r="W43" i="15"/>
  <c r="AC43" i="15"/>
  <c r="AD43" i="15"/>
  <c r="AE43" i="15"/>
  <c r="AG43" i="15"/>
  <c r="AI43" i="15"/>
  <c r="AE44" i="15"/>
  <c r="AG44" i="15"/>
  <c r="AH44" i="15"/>
  <c r="AI44" i="15"/>
  <c r="AG45" i="15"/>
  <c r="AH45" i="15"/>
  <c r="AI45" i="15"/>
  <c r="AE46" i="15"/>
  <c r="AG46" i="15"/>
  <c r="AH46" i="15"/>
  <c r="AI46" i="15"/>
  <c r="W47" i="15"/>
  <c r="AE47" i="15"/>
  <c r="AG47" i="15"/>
  <c r="AH47" i="15"/>
  <c r="AI47" i="15"/>
  <c r="W48" i="15"/>
  <c r="AG48" i="15"/>
  <c r="AH48" i="15"/>
  <c r="AI48" i="15"/>
  <c r="AJ48" i="15"/>
  <c r="AK48" i="15"/>
  <c r="AE49" i="15"/>
  <c r="AG49" i="15"/>
  <c r="AH49" i="15"/>
  <c r="AI49" i="15"/>
  <c r="AJ49" i="15"/>
  <c r="AK49" i="15"/>
  <c r="W50" i="15"/>
  <c r="AE50" i="15"/>
  <c r="AG50" i="15"/>
  <c r="AH50" i="15"/>
  <c r="AI50" i="15"/>
  <c r="AJ50" i="15"/>
  <c r="AK50" i="15"/>
  <c r="X51" i="15"/>
  <c r="Y51" i="15"/>
  <c r="AE51" i="15"/>
  <c r="AG51" i="15"/>
  <c r="AI51" i="15"/>
  <c r="AJ51" i="15"/>
  <c r="AK51" i="15"/>
  <c r="X52" i="15"/>
  <c r="Y52" i="15"/>
  <c r="Z52" i="15"/>
  <c r="AE52" i="15"/>
  <c r="AG52" i="15"/>
  <c r="AI52" i="15"/>
  <c r="X53" i="15"/>
  <c r="Y53" i="15"/>
  <c r="Z53" i="15"/>
  <c r="AD53" i="15"/>
  <c r="AE53" i="15"/>
  <c r="AG53" i="15"/>
  <c r="AI53" i="15"/>
  <c r="W54" i="15"/>
  <c r="AE54" i="15"/>
  <c r="AG54" i="15"/>
  <c r="AH54" i="15"/>
  <c r="AI54" i="15"/>
  <c r="W55" i="15"/>
  <c r="AG55" i="15"/>
  <c r="AH55" i="15"/>
  <c r="AI55" i="15"/>
  <c r="AJ55" i="15"/>
  <c r="AE56" i="15"/>
  <c r="AG56" i="15"/>
  <c r="AH56" i="15"/>
  <c r="AI56" i="15"/>
  <c r="AJ56" i="15"/>
  <c r="AK56" i="15"/>
  <c r="W57" i="15"/>
  <c r="AG57" i="15"/>
  <c r="AH57" i="15"/>
  <c r="AI57" i="15"/>
  <c r="AJ57" i="15"/>
  <c r="AK57" i="15"/>
  <c r="X58" i="15"/>
  <c r="Y58" i="15"/>
  <c r="AE58" i="15"/>
  <c r="AG58" i="15"/>
  <c r="AH58" i="15"/>
  <c r="AI58" i="15"/>
  <c r="X59" i="15"/>
  <c r="Y59" i="15"/>
  <c r="Z59" i="15"/>
  <c r="AE59" i="15"/>
  <c r="AG59" i="15"/>
  <c r="AH59" i="15"/>
  <c r="AI59" i="15"/>
  <c r="AG60" i="15"/>
  <c r="AH60" i="15"/>
  <c r="AI60" i="15"/>
  <c r="AJ60" i="15"/>
  <c r="W61" i="15"/>
  <c r="AE61" i="15"/>
  <c r="AG61" i="15"/>
  <c r="AH61" i="15"/>
  <c r="AI61" i="15"/>
  <c r="AJ61" i="15"/>
  <c r="W2" i="15"/>
  <c r="AE2" i="15"/>
  <c r="AG2" i="15"/>
  <c r="AH2" i="15"/>
  <c r="AI2" i="15"/>
  <c r="AJ2" i="15"/>
  <c r="AK2" i="15"/>
  <c r="U62" i="16"/>
  <c r="L24" i="17" l="1"/>
  <c r="C38" i="17"/>
  <c r="T15" i="17"/>
  <c r="R42" i="17"/>
  <c r="E61" i="17"/>
  <c r="M12" i="17"/>
  <c r="J40" i="17"/>
  <c r="P57" i="17"/>
  <c r="C6" i="17"/>
  <c r="M4" i="17"/>
  <c r="T39" i="17"/>
  <c r="C54" i="17"/>
  <c r="J57" i="17"/>
  <c r="E56" i="17"/>
  <c r="K55" i="17"/>
  <c r="M53" i="17"/>
  <c r="J37" i="17"/>
  <c r="F52" i="17"/>
  <c r="G35" i="17"/>
  <c r="B52" i="17"/>
  <c r="R34" i="17"/>
  <c r="T2" i="17"/>
  <c r="F50" i="17"/>
  <c r="H32" i="17"/>
  <c r="P2" i="17"/>
  <c r="R49" i="17"/>
  <c r="O29" i="17"/>
  <c r="E52" i="17"/>
  <c r="H61" i="17"/>
  <c r="S47" i="17"/>
  <c r="F27" i="17"/>
  <c r="M42" i="17"/>
  <c r="O60" i="17"/>
  <c r="M47" i="17"/>
  <c r="H19" i="17"/>
  <c r="J9" i="17"/>
  <c r="M59" i="17"/>
  <c r="M45" i="17"/>
  <c r="S21" i="17"/>
  <c r="I6" i="17"/>
  <c r="H59" i="17"/>
  <c r="C45" i="17"/>
  <c r="O2" i="17"/>
  <c r="N60" i="17"/>
  <c r="D59" i="17"/>
  <c r="H57" i="17"/>
  <c r="J55" i="17"/>
  <c r="L53" i="17"/>
  <c r="R51" i="17"/>
  <c r="Q49" i="17"/>
  <c r="J47" i="17"/>
  <c r="M31" i="17"/>
  <c r="R3" i="17"/>
  <c r="I2" i="17"/>
  <c r="K60" i="17"/>
  <c r="O58" i="17"/>
  <c r="P56" i="17"/>
  <c r="F55" i="17"/>
  <c r="E53" i="17"/>
  <c r="G51" i="17"/>
  <c r="C49" i="17"/>
  <c r="R46" i="17"/>
  <c r="G44" i="17"/>
  <c r="P41" i="17"/>
  <c r="E39" i="17"/>
  <c r="N36" i="17"/>
  <c r="B34" i="17"/>
  <c r="L31" i="17"/>
  <c r="S28" i="17"/>
  <c r="I26" i="17"/>
  <c r="P23" i="17"/>
  <c r="S20" i="17"/>
  <c r="S17" i="17"/>
  <c r="Q14" i="17"/>
  <c r="N11" i="17"/>
  <c r="F8" i="17"/>
  <c r="B45" i="17"/>
  <c r="L42" i="17"/>
  <c r="S39" i="17"/>
  <c r="I37" i="17"/>
  <c r="Q34" i="17"/>
  <c r="G32" i="17"/>
  <c r="N29" i="17"/>
  <c r="E27" i="17"/>
  <c r="J24" i="17"/>
  <c r="R21" i="17"/>
  <c r="O18" i="17"/>
  <c r="S15" i="17"/>
  <c r="L12" i="17"/>
  <c r="H9" i="17"/>
  <c r="S5" i="17"/>
  <c r="C3" i="17"/>
  <c r="N2" i="17"/>
  <c r="M60" i="17"/>
  <c r="Q58" i="17"/>
  <c r="G57" i="17"/>
  <c r="I55" i="17"/>
  <c r="G53" i="17"/>
  <c r="I51" i="17"/>
  <c r="N49" i="17"/>
  <c r="F47" i="17"/>
  <c r="T44" i="17"/>
  <c r="K42" i="17"/>
  <c r="Q39" i="17"/>
  <c r="H37" i="17"/>
  <c r="P34" i="17"/>
  <c r="E32" i="17"/>
  <c r="M29" i="17"/>
  <c r="D27" i="17"/>
  <c r="I24" i="17"/>
  <c r="Q21" i="17"/>
  <c r="M18" i="17"/>
  <c r="O15" i="17"/>
  <c r="I12" i="17"/>
  <c r="B9" i="17"/>
  <c r="P5" i="17"/>
  <c r="T3" i="17"/>
  <c r="J2" i="17"/>
  <c r="L60" i="17"/>
  <c r="P58" i="17"/>
  <c r="F57" i="17"/>
  <c r="G55" i="17"/>
  <c r="F53" i="17"/>
  <c r="H51" i="17"/>
  <c r="F49" i="17"/>
  <c r="S46" i="17"/>
  <c r="H44" i="17"/>
  <c r="Q41" i="17"/>
  <c r="F39" i="17"/>
  <c r="O36" i="17"/>
  <c r="C34" i="17"/>
  <c r="T28" i="17"/>
  <c r="J26" i="17"/>
  <c r="Q23" i="17"/>
  <c r="C21" i="17"/>
  <c r="G18" i="17"/>
  <c r="S14" i="17"/>
  <c r="O11" i="17"/>
  <c r="G8" i="17"/>
  <c r="R4" i="17"/>
  <c r="Q3" i="17"/>
  <c r="G2" i="17"/>
  <c r="I60" i="17"/>
  <c r="N58" i="17"/>
  <c r="O56" i="17"/>
  <c r="C55" i="17"/>
  <c r="C53" i="17"/>
  <c r="D51" i="17"/>
  <c r="R48" i="17"/>
  <c r="N46" i="17"/>
  <c r="D44" i="17"/>
  <c r="L41" i="17"/>
  <c r="C39" i="17"/>
  <c r="I36" i="17"/>
  <c r="S33" i="17"/>
  <c r="J31" i="17"/>
  <c r="P28" i="17"/>
  <c r="G26" i="17"/>
  <c r="L23" i="17"/>
  <c r="Q20" i="17"/>
  <c r="N17" i="17"/>
  <c r="O14" i="17"/>
  <c r="F11" i="17"/>
  <c r="D8" i="17"/>
  <c r="L4" i="17"/>
  <c r="P3" i="17"/>
  <c r="Q61" i="17"/>
  <c r="G60" i="17"/>
  <c r="M58" i="17"/>
  <c r="N56" i="17"/>
  <c r="N54" i="17"/>
  <c r="B53" i="17"/>
  <c r="C51" i="17"/>
  <c r="Q48" i="17"/>
  <c r="J46" i="17"/>
  <c r="C44" i="17"/>
  <c r="K41" i="17"/>
  <c r="T38" i="17"/>
  <c r="H36" i="17"/>
  <c r="R33" i="17"/>
  <c r="F31" i="17"/>
  <c r="O28" i="17"/>
  <c r="F26" i="17"/>
  <c r="J23" i="17"/>
  <c r="N20" i="17"/>
  <c r="M17" i="17"/>
  <c r="N14" i="17"/>
  <c r="D11" i="17"/>
  <c r="C8" i="17"/>
  <c r="J4" i="17"/>
  <c r="E5" i="17"/>
  <c r="J30" i="17"/>
  <c r="N31" i="17"/>
  <c r="B33" i="17"/>
  <c r="D34" i="17"/>
  <c r="L35" i="17"/>
  <c r="Q36" i="17"/>
  <c r="E38" i="17"/>
  <c r="G39" i="17"/>
  <c r="N40" i="17"/>
  <c r="R41" i="17"/>
  <c r="G43" i="17"/>
  <c r="J44" i="17"/>
  <c r="Q45" i="17"/>
  <c r="T46" i="17"/>
  <c r="B48" i="17"/>
  <c r="G49" i="17"/>
  <c r="H50" i="17"/>
  <c r="J51" i="17"/>
  <c r="J52" i="17"/>
  <c r="O53" i="17"/>
  <c r="O54" i="17"/>
  <c r="Q55" i="17"/>
  <c r="S56" i="17"/>
  <c r="S57" i="17"/>
  <c r="R58" i="17"/>
  <c r="Q59" i="17"/>
  <c r="S60" i="17"/>
  <c r="R61" i="17"/>
  <c r="S2" i="17"/>
  <c r="C2" i="17"/>
  <c r="I5" i="17"/>
  <c r="D7" i="17"/>
  <c r="M8" i="17"/>
  <c r="F10" i="17"/>
  <c r="T11" i="17"/>
  <c r="O13" i="17"/>
  <c r="E15" i="17"/>
  <c r="P16" i="17"/>
  <c r="I18" i="17"/>
  <c r="Q19" i="17"/>
  <c r="E21" i="17"/>
  <c r="P22" i="17"/>
  <c r="B24" i="17"/>
  <c r="H25" i="17"/>
  <c r="L26" i="17"/>
  <c r="T27" i="17"/>
  <c r="G29" i="17"/>
  <c r="K30" i="17"/>
  <c r="O31" i="17"/>
  <c r="C33" i="17"/>
  <c r="E34" i="17"/>
  <c r="M35" i="17"/>
  <c r="R36" i="17"/>
  <c r="F38" i="17"/>
  <c r="H39" i="17"/>
  <c r="O40" i="17"/>
  <c r="S41" i="17"/>
  <c r="H43" i="17"/>
  <c r="K44" i="17"/>
  <c r="R45" i="17"/>
  <c r="B47" i="17"/>
  <c r="C48" i="17"/>
  <c r="H49" i="17"/>
  <c r="I50" i="17"/>
  <c r="K51" i="17"/>
  <c r="P52" i="17"/>
  <c r="P53" i="17"/>
  <c r="P54" i="17"/>
  <c r="R55" i="17"/>
  <c r="T56" i="17"/>
  <c r="T57" i="17"/>
  <c r="S58" i="17"/>
  <c r="R59" i="17"/>
  <c r="T60" i="17"/>
  <c r="S61" i="17"/>
  <c r="M5" i="17"/>
  <c r="F7" i="17"/>
  <c r="R8" i="17"/>
  <c r="P10" i="17"/>
  <c r="F12" i="17"/>
  <c r="Q13" i="17"/>
  <c r="K15" i="17"/>
  <c r="E17" i="17"/>
  <c r="K18" i="17"/>
  <c r="B20" i="17"/>
  <c r="H21" i="17"/>
  <c r="R22" i="17"/>
  <c r="G24" i="17"/>
  <c r="L25" i="17"/>
  <c r="T26" i="17"/>
  <c r="D28" i="17"/>
  <c r="K29" i="17"/>
  <c r="O30" i="17"/>
  <c r="T31" i="17"/>
  <c r="E33" i="17"/>
  <c r="M34" i="17"/>
  <c r="R35" i="17"/>
  <c r="D37" i="17"/>
  <c r="H38" i="17"/>
  <c r="M39" i="17"/>
  <c r="Q40" i="17"/>
  <c r="D42" i="17"/>
  <c r="K43" i="17"/>
  <c r="P44" i="17"/>
  <c r="T45" i="17"/>
  <c r="D47" i="17"/>
  <c r="I48" i="17"/>
  <c r="K49" i="17"/>
  <c r="N50" i="17"/>
  <c r="P51" i="17"/>
  <c r="R52" i="17"/>
  <c r="R53" i="17"/>
  <c r="T54" i="17"/>
  <c r="C56" i="17"/>
  <c r="D57" i="17"/>
  <c r="C58" i="17"/>
  <c r="B59" i="17"/>
  <c r="D60" i="17"/>
  <c r="C61" i="17"/>
  <c r="D2" i="17"/>
  <c r="F3" i="17"/>
  <c r="G4" i="17"/>
  <c r="O5" i="17"/>
  <c r="G7" i="17"/>
  <c r="T8" i="17"/>
  <c r="Q10" i="17"/>
  <c r="G12" i="17"/>
  <c r="R13" i="17"/>
  <c r="L15" i="17"/>
  <c r="F17" i="17"/>
  <c r="L18" i="17"/>
  <c r="C20" i="17"/>
  <c r="N21" i="17"/>
  <c r="S22" i="17"/>
  <c r="H24" i="17"/>
  <c r="N25" i="17"/>
  <c r="C27" i="17"/>
  <c r="E28" i="17"/>
  <c r="L29" i="17"/>
  <c r="P30" i="17"/>
  <c r="D32" i="17"/>
  <c r="G33" i="17"/>
  <c r="O34" i="17"/>
  <c r="S35" i="17"/>
  <c r="G37" i="17"/>
  <c r="I38" i="17"/>
  <c r="P39" i="17"/>
  <c r="B41" i="17"/>
  <c r="J42" i="17"/>
  <c r="L43" i="17"/>
  <c r="S44" i="17"/>
  <c r="D46" i="17"/>
  <c r="E47" i="17"/>
  <c r="K48" i="17"/>
  <c r="M49" i="17"/>
  <c r="O50" i="17"/>
  <c r="Q51" i="17"/>
  <c r="S52" i="17"/>
  <c r="S53" i="17"/>
  <c r="B55" i="17"/>
  <c r="D56" i="17"/>
  <c r="E57" i="17"/>
  <c r="D58" i="17"/>
  <c r="C59" i="17"/>
  <c r="E60" i="17"/>
  <c r="D61" i="17"/>
  <c r="E2" i="17"/>
  <c r="H3" i="17"/>
  <c r="T21" i="17"/>
  <c r="G23" i="17"/>
  <c r="M24" i="17"/>
  <c r="C26" i="17"/>
  <c r="G27" i="17"/>
  <c r="N28" i="17"/>
  <c r="P29" i="17"/>
  <c r="E31" i="17"/>
  <c r="J32" i="17"/>
  <c r="Q33" i="17"/>
  <c r="S34" i="17"/>
  <c r="G36" i="17"/>
  <c r="K37" i="17"/>
  <c r="S38" i="17"/>
  <c r="C40" i="17"/>
  <c r="J41" i="17"/>
  <c r="N42" i="17"/>
  <c r="S43" i="17"/>
  <c r="D45" i="17"/>
  <c r="I46" i="17"/>
  <c r="O47" i="17"/>
  <c r="P48" i="17"/>
  <c r="S49" i="17"/>
  <c r="B51" i="17"/>
  <c r="D52" i="17"/>
  <c r="D53" i="17"/>
  <c r="F54" i="17"/>
  <c r="H55" i="17"/>
  <c r="J56" i="17"/>
  <c r="I57" i="17"/>
  <c r="H58" i="17"/>
  <c r="K59" i="17"/>
  <c r="J60" i="17"/>
  <c r="I61" i="17"/>
  <c r="M2" i="17"/>
  <c r="N3" i="17"/>
  <c r="O4" i="17"/>
  <c r="J6" i="17"/>
  <c r="E8" i="17"/>
  <c r="Q9" i="17"/>
  <c r="G11" i="17"/>
  <c r="E13" i="17"/>
  <c r="P14" i="17"/>
  <c r="I16" i="17"/>
  <c r="P17" i="17"/>
  <c r="I19" i="17"/>
  <c r="R20" i="17"/>
  <c r="D22" i="17"/>
  <c r="M23" i="17"/>
  <c r="D25" i="17"/>
  <c r="H26" i="17"/>
  <c r="K27" i="17"/>
  <c r="Q28" i="17"/>
  <c r="D30" i="17"/>
  <c r="K31" i="17"/>
  <c r="N32" i="17"/>
  <c r="T33" i="17"/>
  <c r="E35" i="17"/>
  <c r="L36" i="17"/>
  <c r="O37" i="17"/>
  <c r="D39" i="17"/>
  <c r="H40" i="17"/>
  <c r="O41" i="17"/>
  <c r="Q42" i="17"/>
  <c r="E44" i="17"/>
  <c r="J45" i="17"/>
  <c r="O46" i="17"/>
  <c r="R47" i="17"/>
  <c r="S48" i="17"/>
  <c r="E50" i="17"/>
  <c r="O3" i="17"/>
  <c r="P61" i="17"/>
  <c r="F60" i="17"/>
  <c r="G58" i="17"/>
  <c r="L56" i="17"/>
  <c r="L54" i="17"/>
  <c r="T52" i="17"/>
  <c r="T50" i="17"/>
  <c r="O48" i="17"/>
  <c r="G46" i="17"/>
  <c r="O43" i="17"/>
  <c r="G41" i="17"/>
  <c r="L38" i="17"/>
  <c r="D36" i="17"/>
  <c r="P33" i="17"/>
  <c r="T30" i="17"/>
  <c r="M28" i="17"/>
  <c r="B26" i="17"/>
  <c r="C23" i="17"/>
  <c r="K20" i="17"/>
  <c r="K17" i="17"/>
  <c r="E14" i="17"/>
  <c r="B11" i="17"/>
  <c r="M7" i="17"/>
  <c r="I4" i="17"/>
  <c r="M3" i="17"/>
  <c r="O61" i="17"/>
  <c r="P59" i="17"/>
  <c r="F58" i="17"/>
  <c r="K56" i="17"/>
  <c r="K54" i="17"/>
  <c r="I52" i="17"/>
  <c r="S50" i="17"/>
  <c r="N48" i="17"/>
  <c r="F46" i="17"/>
  <c r="N43" i="17"/>
  <c r="E41" i="17"/>
  <c r="K38" i="17"/>
  <c r="B36" i="17"/>
  <c r="M33" i="17"/>
  <c r="R30" i="17"/>
  <c r="J28" i="17"/>
  <c r="T25" i="17"/>
  <c r="B23" i="17"/>
  <c r="H20" i="17"/>
  <c r="J17" i="17"/>
  <c r="C14" i="17"/>
  <c r="S10" i="17"/>
  <c r="I7" i="17"/>
  <c r="H4" i="17"/>
  <c r="L3" i="17"/>
  <c r="L61" i="17"/>
  <c r="O59" i="17"/>
  <c r="E58" i="17"/>
  <c r="G56" i="17"/>
  <c r="J54" i="17"/>
  <c r="H52" i="17"/>
  <c r="P50" i="17"/>
  <c r="L48" i="17"/>
  <c r="E46" i="17"/>
  <c r="M43" i="17"/>
  <c r="C41" i="17"/>
  <c r="J38" i="17"/>
  <c r="T35" i="17"/>
  <c r="H33" i="17"/>
  <c r="Q30" i="17"/>
  <c r="F28" i="17"/>
  <c r="O25" i="17"/>
  <c r="T22" i="17"/>
  <c r="E20" i="17"/>
  <c r="I17" i="17"/>
  <c r="S13" i="17"/>
  <c r="R10" i="17"/>
  <c r="H7" i="17"/>
  <c r="K3" i="17"/>
  <c r="J61" i="17"/>
  <c r="N59" i="17"/>
  <c r="R57" i="17"/>
  <c r="F56" i="17"/>
  <c r="I54" i="17"/>
  <c r="G52" i="17"/>
  <c r="G50" i="17"/>
  <c r="T47" i="17"/>
  <c r="P45" i="17"/>
  <c r="T42" i="17"/>
  <c r="M40" i="17"/>
  <c r="D38" i="17"/>
  <c r="J35" i="17"/>
  <c r="T32" i="17"/>
  <c r="I30" i="17"/>
  <c r="Q27" i="17"/>
  <c r="F25" i="17"/>
  <c r="H22" i="17"/>
  <c r="N19" i="17"/>
  <c r="K16" i="17"/>
  <c r="J13" i="17"/>
  <c r="B10" i="17"/>
  <c r="Q6" i="17"/>
  <c r="S32" i="17"/>
  <c r="H30" i="17"/>
  <c r="P27" i="17"/>
  <c r="E25" i="17"/>
  <c r="E22" i="17"/>
  <c r="J19" i="17"/>
  <c r="J16" i="17"/>
  <c r="G13" i="17"/>
  <c r="R9" i="17"/>
  <c r="O6" i="17"/>
  <c r="J5" i="17"/>
  <c r="R2" i="17"/>
  <c r="G61" i="17"/>
  <c r="L59" i="17"/>
  <c r="O57" i="17"/>
  <c r="P55" i="17"/>
  <c r="B54" i="17"/>
  <c r="D50" i="17"/>
  <c r="Q47" i="17"/>
  <c r="I45" i="17"/>
  <c r="P42" i="17"/>
  <c r="G40" i="17"/>
  <c r="N37" i="17"/>
  <c r="D35" i="17"/>
  <c r="L32" i="17"/>
  <c r="B30" i="17"/>
  <c r="I27" i="17"/>
  <c r="T24" i="17"/>
  <c r="C22" i="17"/>
  <c r="H16" i="17"/>
  <c r="T12" i="17"/>
  <c r="P9" i="17"/>
  <c r="Q2" i="17"/>
  <c r="I59" i="17"/>
  <c r="L57" i="17"/>
  <c r="O55" i="17"/>
  <c r="T53" i="17"/>
  <c r="C52" i="17"/>
  <c r="C50" i="17"/>
  <c r="P47" i="17"/>
  <c r="E45" i="17"/>
  <c r="O42" i="17"/>
  <c r="F40" i="17"/>
  <c r="L37" i="17"/>
  <c r="C35" i="17"/>
  <c r="K32" i="17"/>
  <c r="S29" i="17"/>
  <c r="H27" i="17"/>
  <c r="R24" i="17"/>
  <c r="B22" i="17"/>
  <c r="E19" i="17"/>
  <c r="G16" i="17"/>
  <c r="Q12" i="17"/>
  <c r="M9" i="17"/>
  <c r="E6" i="17"/>
  <c r="L20" i="17"/>
  <c r="D19" i="17"/>
  <c r="L17" i="17"/>
  <c r="C16" i="17"/>
  <c r="M14" i="17"/>
  <c r="O12" i="17"/>
  <c r="C11" i="17"/>
  <c r="K9" i="17"/>
  <c r="Q7" i="17"/>
  <c r="D6" i="17"/>
  <c r="K4" i="17"/>
  <c r="B3" i="17"/>
  <c r="D3" i="17"/>
  <c r="T61" i="17"/>
  <c r="B61" i="17"/>
  <c r="S59" i="17"/>
  <c r="T58" i="17"/>
  <c r="B58" i="17"/>
  <c r="B57" i="17"/>
  <c r="S55" i="17"/>
  <c r="Q54" i="17"/>
  <c r="Q53" i="17"/>
  <c r="Q52" i="17"/>
  <c r="M51" i="17"/>
  <c r="L50" i="17"/>
  <c r="J49" i="17"/>
  <c r="D48" i="17"/>
  <c r="C47" i="17"/>
  <c r="S45" i="17"/>
  <c r="N44" i="17"/>
  <c r="J43" i="17"/>
  <c r="B42" i="17"/>
  <c r="P40" i="17"/>
  <c r="K39" i="17"/>
  <c r="G38" i="17"/>
  <c r="T36" i="17"/>
  <c r="Q35" i="17"/>
  <c r="J34" i="17"/>
  <c r="D33" i="17"/>
  <c r="Q31" i="17"/>
  <c r="N30" i="17"/>
  <c r="J29" i="17"/>
  <c r="C28" i="17"/>
  <c r="Q26" i="17"/>
  <c r="K25" i="17"/>
  <c r="D24" i="17"/>
  <c r="Q22" i="17"/>
  <c r="G21" i="17"/>
  <c r="T19" i="17"/>
  <c r="J18" i="17"/>
  <c r="B17" i="17"/>
  <c r="I15" i="17"/>
  <c r="P13" i="17"/>
  <c r="B12" i="17"/>
  <c r="H10" i="17"/>
  <c r="O8" i="17"/>
  <c r="E7" i="17"/>
  <c r="P15" i="17"/>
  <c r="L45" i="17"/>
  <c r="B5" i="17"/>
  <c r="H6" i="17"/>
  <c r="L7" i="17"/>
  <c r="S8" i="17"/>
  <c r="E10" i="17"/>
  <c r="K11" i="17"/>
  <c r="P12" i="17"/>
  <c r="B14" i="17"/>
  <c r="J15" i="17"/>
  <c r="N16" i="17"/>
  <c r="O17" i="17"/>
  <c r="C19" i="17"/>
  <c r="D20" i="17"/>
  <c r="F21" i="17"/>
  <c r="F22" i="17"/>
  <c r="K23" i="17"/>
  <c r="K24" i="17"/>
  <c r="M25" i="17"/>
  <c r="N26" i="17"/>
  <c r="R27" i="17"/>
  <c r="R28" i="17"/>
  <c r="T29" i="17"/>
  <c r="D31" i="17"/>
  <c r="F32" i="17"/>
  <c r="F33" i="17"/>
  <c r="H34" i="17"/>
  <c r="K35" i="17"/>
  <c r="M36" i="17"/>
  <c r="M37" i="17"/>
  <c r="P38" i="17"/>
  <c r="R39" i="17"/>
  <c r="T40" i="17"/>
  <c r="T41" i="17"/>
  <c r="F43" i="17"/>
  <c r="F44" i="17"/>
  <c r="F45" i="17"/>
  <c r="H46" i="17"/>
  <c r="G47" i="17"/>
  <c r="J48" i="17"/>
  <c r="I49" i="17"/>
  <c r="G5" i="17"/>
  <c r="K6" i="17"/>
  <c r="T7" i="17"/>
  <c r="C9" i="17"/>
  <c r="I10" i="17"/>
  <c r="P11" i="17"/>
  <c r="B13" i="17"/>
  <c r="K14" i="17"/>
  <c r="M15" i="17"/>
  <c r="Q16" i="17"/>
  <c r="E18" i="17"/>
  <c r="F19" i="17"/>
  <c r="I20" i="17"/>
  <c r="I21" i="17"/>
  <c r="N22" i="17"/>
  <c r="N23" i="17"/>
  <c r="P24" i="17"/>
  <c r="Q25" i="17"/>
  <c r="B27" i="17"/>
  <c r="B28" i="17"/>
  <c r="B29" i="17"/>
  <c r="G30" i="17"/>
  <c r="I31" i="17"/>
  <c r="I32" i="17"/>
  <c r="I33" i="17"/>
  <c r="N34" i="17"/>
  <c r="N35" i="17"/>
  <c r="P36" i="17"/>
  <c r="Q37" i="17"/>
  <c r="B39" i="17"/>
  <c r="B40" i="17"/>
  <c r="D41" i="17"/>
  <c r="G42" i="17"/>
  <c r="I43" i="17"/>
  <c r="I44" i="17"/>
  <c r="K45" i="17"/>
  <c r="M46" i="17"/>
  <c r="N47" i="17"/>
  <c r="M48" i="17"/>
  <c r="L49" i="17"/>
  <c r="M50" i="17"/>
  <c r="L51" i="17"/>
  <c r="M52" i="17"/>
  <c r="N53" i="17"/>
  <c r="M54" i="17"/>
  <c r="L55" i="17"/>
  <c r="M56" i="17"/>
  <c r="K57" i="17"/>
  <c r="K58" i="17"/>
  <c r="J59" i="17"/>
  <c r="H60" i="17"/>
  <c r="F61" i="17"/>
  <c r="F2" i="17"/>
  <c r="G3" i="17"/>
  <c r="H5" i="17"/>
  <c r="M6" i="17"/>
  <c r="B8" i="17"/>
  <c r="D9" i="17"/>
  <c r="K10" i="17"/>
  <c r="R11" i="17"/>
  <c r="D13" i="17"/>
  <c r="L14" i="17"/>
  <c r="N15" i="17"/>
  <c r="R16" i="17"/>
  <c r="F18" i="17"/>
  <c r="G19" i="17"/>
  <c r="J20" i="17"/>
  <c r="K21" i="17"/>
  <c r="O22" i="17"/>
  <c r="O23" i="17"/>
  <c r="Q24" i="17"/>
  <c r="E29" i="17"/>
  <c r="S27" i="17"/>
  <c r="K26" i="17"/>
  <c r="G25" i="17"/>
  <c r="R23" i="17"/>
  <c r="M22" i="17"/>
  <c r="D21" i="17"/>
  <c r="O19" i="17"/>
  <c r="H18" i="17"/>
  <c r="O16" i="17"/>
  <c r="T14" i="17"/>
  <c r="L13" i="17"/>
  <c r="S11" i="17"/>
  <c r="C10" i="17"/>
  <c r="L8" i="17"/>
  <c r="C7" i="17"/>
  <c r="F5" i="17"/>
  <c r="N4" i="17"/>
  <c r="D4" i="17"/>
  <c r="S4" i="17"/>
  <c r="J3" i="17"/>
  <c r="L2" i="17"/>
  <c r="N61" i="17"/>
  <c r="R60" i="17"/>
  <c r="C60" i="17"/>
  <c r="F59" i="17"/>
  <c r="J58" i="17"/>
  <c r="N57" i="17"/>
  <c r="R56" i="17"/>
  <c r="B56" i="17"/>
  <c r="E55" i="17"/>
  <c r="H54" i="17"/>
  <c r="K53" i="17"/>
  <c r="L52" i="17"/>
  <c r="O51" i="17"/>
  <c r="R50" i="17"/>
  <c r="B50" i="17"/>
  <c r="E49" i="17"/>
  <c r="H48" i="17"/>
  <c r="I47" i="17"/>
  <c r="L46" i="17"/>
  <c r="O45" i="17"/>
  <c r="R44" i="17"/>
  <c r="B44" i="17"/>
  <c r="E43" i="17"/>
  <c r="F42" i="17"/>
  <c r="I41" i="17"/>
  <c r="L40" i="17"/>
  <c r="O39" i="17"/>
  <c r="R38" i="17"/>
  <c r="B38" i="17"/>
  <c r="C37" i="17"/>
  <c r="F36" i="17"/>
  <c r="I35" i="17"/>
  <c r="L34" i="17"/>
  <c r="O33" i="17"/>
  <c r="R32" i="17"/>
  <c r="S31" i="17"/>
  <c r="C31" i="17"/>
  <c r="F30" i="17"/>
  <c r="I29" i="17"/>
  <c r="L28" i="17"/>
  <c r="O27" i="17"/>
  <c r="P26" i="17"/>
  <c r="S25" i="17"/>
  <c r="C25" i="17"/>
  <c r="F24" i="17"/>
  <c r="I23" i="17"/>
  <c r="L22" i="17"/>
  <c r="M21" i="17"/>
  <c r="P20" i="17"/>
  <c r="S19" i="17"/>
  <c r="B19" i="17"/>
  <c r="D18" i="17"/>
  <c r="D17" i="17"/>
  <c r="F16" i="17"/>
  <c r="H15" i="17"/>
  <c r="G14" i="17"/>
  <c r="I13" i="17"/>
  <c r="K12" i="17"/>
  <c r="M11" i="17"/>
  <c r="M10" i="17"/>
  <c r="O9" i="17"/>
  <c r="Q8" i="17"/>
  <c r="S7" i="17"/>
  <c r="S6" i="17"/>
  <c r="B6" i="17"/>
  <c r="D5" i="17"/>
  <c r="F4" i="17"/>
  <c r="B2" i="17"/>
  <c r="I3" i="17"/>
  <c r="K2" i="17"/>
  <c r="M61" i="17"/>
  <c r="Q60" i="17"/>
  <c r="T59" i="17"/>
  <c r="E59" i="17"/>
  <c r="I58" i="17"/>
  <c r="M57" i="17"/>
  <c r="Q56" i="17"/>
  <c r="T55" i="17"/>
  <c r="D55" i="17"/>
  <c r="G54" i="17"/>
  <c r="H53" i="17"/>
  <c r="K52" i="17"/>
  <c r="N51" i="17"/>
  <c r="Q50" i="17"/>
  <c r="T49" i="17"/>
  <c r="D49" i="17"/>
  <c r="E48" i="17"/>
  <c r="H47" i="17"/>
  <c r="K46" i="17"/>
  <c r="N45" i="17"/>
  <c r="Q44" i="17"/>
  <c r="T43" i="17"/>
  <c r="B43" i="17"/>
  <c r="E42" i="17"/>
  <c r="H41" i="17"/>
  <c r="K40" i="17"/>
  <c r="N39" i="17"/>
  <c r="Q38" i="17"/>
  <c r="R37" i="17"/>
  <c r="B37" i="17"/>
  <c r="E36" i="17"/>
  <c r="H35" i="17"/>
  <c r="K34" i="17"/>
  <c r="N33" i="17"/>
  <c r="O32" i="17"/>
  <c r="R31" i="17"/>
  <c r="B31" i="17"/>
  <c r="E30" i="17"/>
  <c r="H29" i="17"/>
  <c r="K28" i="17"/>
  <c r="L27" i="17"/>
  <c r="O26" i="17"/>
  <c r="R25" i="17"/>
  <c r="B25" i="17"/>
  <c r="E24" i="17"/>
  <c r="H23" i="17"/>
  <c r="I22" i="17"/>
  <c r="L21" i="17"/>
  <c r="O20" i="17"/>
  <c r="R19" i="17"/>
  <c r="T18" i="17"/>
  <c r="T17" i="17"/>
  <c r="C17" i="17"/>
  <c r="E16" i="17"/>
  <c r="F15" i="17"/>
  <c r="F14" i="17"/>
  <c r="H13" i="17"/>
  <c r="J12" i="17"/>
  <c r="L11" i="17"/>
  <c r="L10" i="17"/>
  <c r="N9" i="17"/>
  <c r="P8" i="17"/>
  <c r="R7" i="17"/>
  <c r="R6" i="17"/>
  <c r="T5" i="17"/>
  <c r="C5" i="17"/>
  <c r="E4" i="17"/>
  <c r="O44" i="17"/>
  <c r="P43" i="17"/>
  <c r="S42" i="17"/>
  <c r="C42" i="17"/>
  <c r="F41" i="17"/>
  <c r="I40" i="17"/>
  <c r="L39" i="17"/>
  <c r="M38" i="17"/>
  <c r="P37" i="17"/>
  <c r="S36" i="17"/>
  <c r="C36" i="17"/>
  <c r="F35" i="17"/>
  <c r="I34" i="17"/>
  <c r="J33" i="17"/>
  <c r="M32" i="17"/>
  <c r="P31" i="17"/>
  <c r="S30" i="17"/>
  <c r="C30" i="17"/>
  <c r="F29" i="17"/>
  <c r="G28" i="17"/>
  <c r="J27" i="17"/>
  <c r="M26" i="17"/>
  <c r="P25" i="17"/>
  <c r="S24" i="17"/>
  <c r="C24" i="17"/>
  <c r="D23" i="17"/>
  <c r="G22" i="17"/>
  <c r="J21" i="17"/>
  <c r="M20" i="17"/>
  <c r="P19" i="17"/>
  <c r="R18" i="17"/>
  <c r="R17" i="17"/>
  <c r="S16" i="17"/>
  <c r="B16" i="17"/>
  <c r="B15" i="17"/>
  <c r="D14" i="17"/>
  <c r="F13" i="17"/>
  <c r="H12" i="17"/>
  <c r="H11" i="17"/>
  <c r="J10" i="17"/>
  <c r="L9" i="17"/>
  <c r="N8" i="17"/>
  <c r="N7" i="17"/>
  <c r="P6" i="17"/>
  <c r="R5" i="17"/>
  <c r="R14" i="17"/>
  <c r="T13" i="17"/>
  <c r="C13" i="17"/>
  <c r="C12" i="17"/>
  <c r="E11" i="17"/>
  <c r="G10" i="17"/>
  <c r="I9" i="17"/>
  <c r="I8" i="17"/>
  <c r="J7" i="17"/>
  <c r="L6" i="17"/>
  <c r="N5" i="17"/>
  <c r="M19" i="17"/>
  <c r="N18" i="17"/>
  <c r="Q17" i="17"/>
  <c r="T16" i="17"/>
  <c r="D16" i="17"/>
  <c r="G15" i="17"/>
  <c r="J14" i="17"/>
  <c r="K13" i="17"/>
  <c r="N12" i="17"/>
  <c r="Q11" i="17"/>
  <c r="T10" i="17"/>
  <c r="D10" i="17"/>
  <c r="G9" i="17"/>
  <c r="H8" i="17"/>
  <c r="K7" i="17"/>
  <c r="N6" i="17"/>
  <c r="Q5" i="17"/>
  <c r="T4" i="17"/>
  <c r="B4" i="17"/>
  <c r="P4" i="17"/>
  <c r="K5" i="17"/>
  <c r="F6" i="17"/>
  <c r="T6" i="17"/>
  <c r="O7" i="17"/>
  <c r="J8" i="17"/>
  <c r="E9" i="17"/>
  <c r="S9" i="17"/>
  <c r="N10" i="17"/>
  <c r="I11" i="17"/>
  <c r="D12" i="17"/>
  <c r="R12" i="17"/>
  <c r="M13" i="17"/>
  <c r="H14" i="17"/>
  <c r="C15" i="17"/>
  <c r="Q15" i="17"/>
  <c r="L16" i="17"/>
  <c r="G17" i="17"/>
  <c r="B18" i="17"/>
  <c r="P18" i="17"/>
  <c r="K19" i="17"/>
  <c r="F20" i="17"/>
  <c r="T20" i="17"/>
  <c r="O21" i="17"/>
  <c r="J22" i="17"/>
  <c r="E23" i="17"/>
  <c r="S23" i="17"/>
  <c r="N24" i="17"/>
  <c r="I25" i="17"/>
  <c r="D26" i="17"/>
  <c r="R26" i="17"/>
  <c r="M27" i="17"/>
  <c r="H28" i="17"/>
  <c r="C29" i="17"/>
  <c r="Q29" i="17"/>
  <c r="L30" i="17"/>
  <c r="G31" i="17"/>
  <c r="B32" i="17"/>
  <c r="P32" i="17"/>
  <c r="K33" i="17"/>
  <c r="F34" i="17"/>
  <c r="T34" i="17"/>
  <c r="O35" i="17"/>
  <c r="J36" i="17"/>
  <c r="E37" i="17"/>
  <c r="S37" i="17"/>
  <c r="N38" i="17"/>
  <c r="I39" i="17"/>
  <c r="D40" i="17"/>
  <c r="R40" i="17"/>
  <c r="M41" i="17"/>
  <c r="H42" i="17"/>
  <c r="C43" i="17"/>
  <c r="Q43" i="17"/>
  <c r="L44" i="17"/>
  <c r="G45" i="17"/>
  <c r="B46" i="17"/>
  <c r="P46" i="17"/>
  <c r="K47" i="17"/>
  <c r="F48" i="17"/>
  <c r="T48" i="17"/>
  <c r="O49" i="17"/>
  <c r="J50" i="17"/>
  <c r="E51" i="17"/>
  <c r="S51" i="17"/>
  <c r="N52" i="17"/>
  <c r="I53" i="17"/>
  <c r="D54" i="17"/>
  <c r="R54" i="17"/>
  <c r="M55" i="17"/>
  <c r="H56" i="17"/>
  <c r="C57" i="17"/>
  <c r="Q57" i="17"/>
  <c r="L58" i="17"/>
  <c r="G59" i="17"/>
  <c r="B60" i="17"/>
  <c r="P60" i="17"/>
  <c r="K61" i="17"/>
  <c r="H2" i="17"/>
  <c r="E3" i="17"/>
  <c r="S3" i="17"/>
  <c r="C4" i="17"/>
  <c r="Q4" i="17"/>
  <c r="L5" i="17"/>
  <c r="G6" i="17"/>
  <c r="B7" i="17"/>
  <c r="P7" i="17"/>
  <c r="K8" i="17"/>
  <c r="F9" i="17"/>
  <c r="T9" i="17"/>
  <c r="O10" i="17"/>
  <c r="J11" i="17"/>
  <c r="E12" i="17"/>
  <c r="S12" i="17"/>
  <c r="N13" i="17"/>
  <c r="I14" i="17"/>
  <c r="D15" i="17"/>
  <c r="R15" i="17"/>
  <c r="M16" i="17"/>
  <c r="H17" i="17"/>
  <c r="C18" i="17"/>
  <c r="Q18" i="17"/>
  <c r="L19" i="17"/>
  <c r="G20" i="17"/>
  <c r="B21" i="17"/>
  <c r="P21" i="17"/>
  <c r="K22" i="17"/>
  <c r="F23" i="17"/>
  <c r="T23" i="17"/>
  <c r="O24" i="17"/>
  <c r="J25" i="17"/>
  <c r="E26" i="17"/>
  <c r="S26" i="17"/>
  <c r="N27" i="17"/>
  <c r="I28" i="17"/>
  <c r="D29" i="17"/>
  <c r="R29" i="17"/>
  <c r="M30" i="17"/>
  <c r="H31" i="17"/>
  <c r="C32" i="17"/>
  <c r="Q32" i="17"/>
  <c r="L33" i="17"/>
  <c r="G34" i="17"/>
  <c r="B35" i="17"/>
  <c r="P35" i="17"/>
  <c r="K36" i="17"/>
  <c r="F37" i="17"/>
  <c r="T37" i="17"/>
  <c r="O38" i="17"/>
  <c r="J39" i="17"/>
  <c r="E40" i="17"/>
  <c r="S40" i="17"/>
  <c r="N41" i="17"/>
  <c r="I42" i="17"/>
  <c r="D43" i="17"/>
  <c r="R43" i="17"/>
  <c r="M44" i="17"/>
  <c r="H45" i="17"/>
  <c r="C46" i="17"/>
  <c r="Q46" i="17"/>
  <c r="L47" i="17"/>
  <c r="G48" i="17"/>
  <c r="B49" i="17"/>
  <c r="P49" i="17"/>
  <c r="K50" i="17"/>
  <c r="F51" i="17"/>
  <c r="T51" i="17"/>
  <c r="O52" i="17"/>
  <c r="J53" i="17"/>
  <c r="E54" i="17"/>
  <c r="S54" i="17"/>
  <c r="N55" i="17"/>
  <c r="I56" i="17"/>
  <c r="V40" i="15"/>
  <c r="W23" i="15"/>
  <c r="V21" i="15"/>
  <c r="AD4" i="15"/>
  <c r="AD45" i="15"/>
  <c r="AB55" i="15"/>
  <c r="AB44" i="15"/>
  <c r="AD29" i="15"/>
  <c r="AD18" i="15"/>
  <c r="AB17" i="15"/>
  <c r="AB11" i="15"/>
  <c r="Z60" i="15"/>
  <c r="AC18" i="15"/>
  <c r="X16" i="15"/>
  <c r="AC6" i="15"/>
  <c r="AD35" i="15"/>
  <c r="AB58" i="15"/>
  <c r="AD52" i="15"/>
  <c r="AA51" i="15"/>
  <c r="Y50" i="15"/>
  <c r="X49" i="15"/>
  <c r="AK46" i="15"/>
  <c r="AJ45" i="15"/>
  <c r="AB40" i="15"/>
  <c r="AB39" i="15"/>
  <c r="Z38" i="15"/>
  <c r="Y37" i="15"/>
  <c r="X36" i="15"/>
  <c r="AK33" i="15"/>
  <c r="Z31" i="15"/>
  <c r="AK29" i="15"/>
  <c r="AD27" i="15"/>
  <c r="Z26" i="15"/>
  <c r="X25" i="15"/>
  <c r="AJ23" i="15"/>
  <c r="AD22" i="15"/>
  <c r="Z21" i="15"/>
  <c r="Z20" i="15"/>
  <c r="Z14" i="15"/>
  <c r="X13" i="15"/>
  <c r="Z9" i="15"/>
  <c r="Y8" i="15"/>
  <c r="AK5" i="15"/>
  <c r="AD3" i="15"/>
  <c r="AD15" i="15"/>
  <c r="AD54" i="15"/>
  <c r="AB53" i="15"/>
  <c r="AD44" i="15"/>
  <c r="AB54" i="15"/>
  <c r="Y54" i="15"/>
  <c r="AD47" i="15"/>
  <c r="AD46" i="15"/>
  <c r="Y43" i="15"/>
  <c r="AB33" i="15"/>
  <c r="X54" i="15"/>
  <c r="AB48" i="15"/>
  <c r="AK47" i="15"/>
  <c r="AB41" i="15"/>
  <c r="AK61" i="15"/>
  <c r="AK60" i="15"/>
  <c r="Z58" i="15"/>
  <c r="AB52" i="15"/>
  <c r="Z51" i="15"/>
  <c r="X50" i="15"/>
  <c r="AJ47" i="15"/>
  <c r="AJ46" i="15"/>
  <c r="AD42" i="15"/>
  <c r="AA41" i="15"/>
  <c r="Z40" i="15"/>
  <c r="Z39" i="15"/>
  <c r="Y38" i="15"/>
  <c r="X37" i="15"/>
  <c r="AJ33" i="15"/>
  <c r="Y31" i="15"/>
  <c r="AJ29" i="15"/>
  <c r="AB27" i="15"/>
  <c r="Y26" i="15"/>
  <c r="AB22" i="15"/>
  <c r="Y21" i="15"/>
  <c r="Y20" i="15"/>
  <c r="AK18" i="15"/>
  <c r="AH17" i="15"/>
  <c r="Y14" i="15"/>
  <c r="AK11" i="15"/>
  <c r="Y9" i="15"/>
  <c r="X8" i="15"/>
  <c r="AC3" i="15"/>
  <c r="AC20" i="15"/>
  <c r="AB3" i="15"/>
  <c r="AB10" i="15"/>
  <c r="AB43" i="15"/>
  <c r="Z54" i="15"/>
  <c r="AC45" i="15"/>
  <c r="AD11" i="15"/>
  <c r="AD5" i="15"/>
  <c r="AB4" i="15"/>
  <c r="AB60" i="15"/>
  <c r="Z55" i="15"/>
  <c r="AB45" i="15"/>
  <c r="Z4" i="15"/>
  <c r="Y44" i="15"/>
  <c r="AD24" i="15"/>
  <c r="AB5" i="15"/>
  <c r="AB61" i="15"/>
  <c r="AB56" i="15"/>
  <c r="Y45" i="15"/>
  <c r="AB24" i="15"/>
  <c r="AB18" i="15"/>
  <c r="AD12" i="15"/>
  <c r="Y11" i="15"/>
  <c r="AK9" i="15"/>
  <c r="AB6" i="15"/>
  <c r="AC2" i="15"/>
  <c r="AA61" i="15"/>
  <c r="X60" i="15"/>
  <c r="AJ58" i="15"/>
  <c r="Z56" i="15"/>
  <c r="AJ52" i="15"/>
  <c r="AH51" i="15"/>
  <c r="Z48" i="15"/>
  <c r="Z47" i="15"/>
  <c r="Z46" i="15"/>
  <c r="X45" i="15"/>
  <c r="AD36" i="15"/>
  <c r="AC35" i="15"/>
  <c r="Z34" i="15"/>
  <c r="X33" i="15"/>
  <c r="AB30" i="15"/>
  <c r="Y29" i="15"/>
  <c r="AJ27" i="15"/>
  <c r="AH26" i="15"/>
  <c r="Z24" i="15"/>
  <c r="AH20" i="15"/>
  <c r="AC19" i="15"/>
  <c r="Z18" i="15"/>
  <c r="X17" i="15"/>
  <c r="AB12" i="15"/>
  <c r="X11" i="15"/>
  <c r="AC7" i="15"/>
  <c r="Z6" i="15"/>
  <c r="Y5" i="15"/>
  <c r="AB59" i="15"/>
  <c r="Z43" i="15"/>
  <c r="AC17" i="15"/>
  <c r="AC47" i="15"/>
  <c r="AB29" i="15"/>
  <c r="Y4" i="15"/>
  <c r="X55" i="15"/>
  <c r="AK52" i="15"/>
  <c r="AB47" i="15"/>
  <c r="X4" i="15"/>
  <c r="Y48" i="15"/>
  <c r="Y47" i="15"/>
  <c r="Y46" i="15"/>
  <c r="AK43" i="15"/>
  <c r="AK42" i="15"/>
  <c r="AD37" i="15"/>
  <c r="AC36" i="15"/>
  <c r="AB35" i="15"/>
  <c r="Y34" i="15"/>
  <c r="Z30" i="15"/>
  <c r="X29" i="15"/>
  <c r="AD25" i="15"/>
  <c r="Y24" i="15"/>
  <c r="AJ22" i="15"/>
  <c r="AB19" i="15"/>
  <c r="Y18" i="15"/>
  <c r="AK15" i="15"/>
  <c r="AD13" i="15"/>
  <c r="AD8" i="15"/>
  <c r="AB7" i="15"/>
  <c r="Y6" i="15"/>
  <c r="X5" i="15"/>
  <c r="AK3" i="15"/>
  <c r="AB28" i="15"/>
  <c r="AB16" i="15"/>
  <c r="Z44" i="15"/>
  <c r="Y16" i="15"/>
  <c r="AC5" i="15"/>
  <c r="AC46" i="15"/>
  <c r="Z45" i="15"/>
  <c r="AC34" i="15"/>
  <c r="Y23" i="15"/>
  <c r="AB46" i="15"/>
  <c r="Y33" i="15"/>
  <c r="Z5" i="15"/>
  <c r="Z61" i="15"/>
  <c r="Z2" i="15"/>
  <c r="Y61" i="15"/>
  <c r="AK59" i="15"/>
  <c r="Z57" i="15"/>
  <c r="X56" i="15"/>
  <c r="AK54" i="15"/>
  <c r="AJ53" i="15"/>
  <c r="AH52" i="15"/>
  <c r="AD50" i="15"/>
  <c r="AB49" i="15"/>
  <c r="X48" i="15"/>
  <c r="X47" i="15"/>
  <c r="X46" i="15"/>
  <c r="AK44" i="15"/>
  <c r="AJ43" i="15"/>
  <c r="AJ42" i="15"/>
  <c r="AD38" i="15"/>
  <c r="AC37" i="15"/>
  <c r="AB36" i="15"/>
  <c r="Z35" i="15"/>
  <c r="X34" i="15"/>
  <c r="AK32" i="15"/>
  <c r="Y30" i="15"/>
  <c r="AH27" i="15"/>
  <c r="AB25" i="15"/>
  <c r="X24" i="15"/>
  <c r="Z19" i="15"/>
  <c r="X18" i="15"/>
  <c r="AK16" i="15"/>
  <c r="AJ15" i="15"/>
  <c r="AB13" i="15"/>
  <c r="Z12" i="15"/>
  <c r="AK10" i="15"/>
  <c r="AC8" i="15"/>
  <c r="Z7" i="15"/>
  <c r="X6" i="15"/>
  <c r="AB23" i="15"/>
  <c r="Z16" i="15"/>
  <c r="AD6" i="15"/>
  <c r="Z11" i="15"/>
  <c r="AK58" i="15"/>
  <c r="X44" i="15"/>
  <c r="AB34" i="15"/>
  <c r="Z29" i="15"/>
  <c r="X23" i="15"/>
  <c r="AD19" i="15"/>
  <c r="AB2" i="15"/>
  <c r="AB57" i="15"/>
  <c r="Y56" i="15"/>
  <c r="AK53" i="15"/>
  <c r="AD49" i="15"/>
  <c r="Y2" i="15"/>
  <c r="X61" i="15"/>
  <c r="AJ59" i="15"/>
  <c r="Y57" i="15"/>
  <c r="AJ54" i="15"/>
  <c r="AD51" i="15"/>
  <c r="AB50" i="15"/>
  <c r="Z49" i="15"/>
  <c r="AJ44" i="15"/>
  <c r="AD39" i="15"/>
  <c r="AC38" i="15"/>
  <c r="AB37" i="15"/>
  <c r="Z36" i="15"/>
  <c r="Y35" i="15"/>
  <c r="X30" i="15"/>
  <c r="AJ28" i="15"/>
  <c r="AD26" i="15"/>
  <c r="Z25" i="15"/>
  <c r="AH22" i="15"/>
  <c r="AD21" i="15"/>
  <c r="AD20" i="15"/>
  <c r="Y19" i="15"/>
  <c r="AJ16" i="15"/>
  <c r="AD14" i="15"/>
  <c r="Z13" i="15"/>
  <c r="Y12" i="15"/>
  <c r="AD9" i="15"/>
  <c r="AB8" i="15"/>
  <c r="Y7" i="15"/>
  <c r="AH3" i="15"/>
  <c r="AF6" i="15"/>
  <c r="AD55" i="15"/>
  <c r="AC44" i="15"/>
  <c r="AD17" i="15"/>
  <c r="AC4" i="15"/>
  <c r="AA21" i="15"/>
  <c r="Z23" i="15"/>
  <c r="AC61" i="15"/>
  <c r="Y55" i="15"/>
  <c r="AD48" i="15"/>
  <c r="X43" i="15"/>
  <c r="Z33" i="15"/>
  <c r="Z17" i="15"/>
  <c r="Y60" i="15"/>
  <c r="AK31" i="15"/>
  <c r="Y17" i="15"/>
  <c r="X2" i="15"/>
  <c r="X57" i="15"/>
  <c r="AK55" i="15"/>
  <c r="AH53" i="15"/>
  <c r="AB51" i="15"/>
  <c r="Z50" i="15"/>
  <c r="Y49" i="15"/>
  <c r="AK45" i="15"/>
  <c r="AH43" i="15"/>
  <c r="AH42" i="15"/>
  <c r="AD41" i="15"/>
  <c r="AD40" i="15"/>
  <c r="AB38" i="15"/>
  <c r="Z37" i="15"/>
  <c r="Y36" i="15"/>
  <c r="X35" i="15"/>
  <c r="AH32" i="15"/>
  <c r="AB31" i="15"/>
  <c r="AB26" i="15"/>
  <c r="Y25" i="15"/>
  <c r="AK23" i="15"/>
  <c r="AB21" i="15"/>
  <c r="AB20" i="15"/>
  <c r="X19" i="15"/>
  <c r="AJ17" i="15"/>
  <c r="AH15" i="15"/>
  <c r="AB14" i="15"/>
  <c r="X12" i="15"/>
  <c r="AH10" i="15"/>
  <c r="AD12" i="16"/>
  <c r="AD32" i="16"/>
  <c r="AD33" i="16"/>
  <c r="AD34" i="16"/>
  <c r="AD36" i="16"/>
  <c r="AD37" i="16"/>
  <c r="AD59" i="16"/>
  <c r="AD54" i="16"/>
  <c r="AD28" i="16"/>
  <c r="AD11" i="16"/>
  <c r="AD31" i="16"/>
  <c r="AD35" i="16"/>
  <c r="AD57" i="16"/>
  <c r="AD58" i="16"/>
  <c r="AD10" i="16"/>
  <c r="AD30" i="16"/>
  <c r="AD55" i="16"/>
  <c r="AD56" i="16"/>
  <c r="AD27" i="16"/>
  <c r="AD50" i="16"/>
  <c r="AD29" i="16"/>
  <c r="AD25" i="16"/>
  <c r="AD53" i="16"/>
  <c r="AD51" i="16"/>
  <c r="AD16" i="16"/>
  <c r="AD39" i="16"/>
  <c r="AD61" i="16"/>
  <c r="AD9" i="16"/>
  <c r="AD24" i="16"/>
  <c r="AD3" i="16"/>
  <c r="AD4" i="16"/>
  <c r="AD13" i="16"/>
  <c r="AD14" i="16"/>
  <c r="AD15" i="16"/>
  <c r="AD38" i="16"/>
  <c r="AD60" i="16"/>
  <c r="AD26" i="16"/>
  <c r="AE51" i="16"/>
  <c r="AB45" i="16"/>
  <c r="AC35" i="16"/>
  <c r="AE43" i="16"/>
  <c r="AE21" i="16"/>
  <c r="Z10" i="16"/>
  <c r="Z30" i="16"/>
  <c r="Z55" i="16"/>
  <c r="Z56" i="16"/>
  <c r="Z51" i="16"/>
  <c r="Z7" i="16"/>
  <c r="Z20" i="16"/>
  <c r="Z47" i="16"/>
  <c r="Z26" i="16"/>
  <c r="Z27" i="16"/>
  <c r="Z29" i="16"/>
  <c r="Z54" i="16"/>
  <c r="Z50" i="16"/>
  <c r="Z52" i="16"/>
  <c r="Z48" i="16"/>
  <c r="Z25" i="16"/>
  <c r="Z28" i="16"/>
  <c r="Z53" i="16"/>
  <c r="Z22" i="16"/>
  <c r="Z49" i="16"/>
  <c r="Z9" i="16"/>
  <c r="Z24" i="16"/>
  <c r="Z8" i="16"/>
  <c r="Z21" i="16"/>
  <c r="Z45" i="16"/>
  <c r="Z12" i="16"/>
  <c r="Z32" i="16"/>
  <c r="Z33" i="16"/>
  <c r="Z34" i="16"/>
  <c r="Z36" i="16"/>
  <c r="Z37" i="16"/>
  <c r="Z59" i="16"/>
  <c r="Z57" i="16"/>
  <c r="Z23" i="16"/>
  <c r="Z46" i="16"/>
  <c r="Z11" i="16"/>
  <c r="Z31" i="16"/>
  <c r="Z35" i="16"/>
  <c r="Z58" i="16"/>
  <c r="AD43" i="16"/>
  <c r="AB4" i="16"/>
  <c r="AB42" i="16"/>
  <c r="Z39" i="16"/>
  <c r="AE24" i="16"/>
  <c r="AD22" i="16"/>
  <c r="AB20" i="16"/>
  <c r="AE18" i="16"/>
  <c r="X14" i="16"/>
  <c r="Y5" i="16"/>
  <c r="AE3" i="16"/>
  <c r="Z60" i="16"/>
  <c r="X57" i="16"/>
  <c r="Z42" i="16"/>
  <c r="Y39" i="16"/>
  <c r="Y36" i="16"/>
  <c r="AD18" i="16"/>
  <c r="AE8" i="16"/>
  <c r="AD8" i="16"/>
  <c r="AE23" i="16"/>
  <c r="AE19" i="16"/>
  <c r="AB16" i="16"/>
  <c r="Z6" i="16"/>
  <c r="AB43" i="16"/>
  <c r="AE41" i="16"/>
  <c r="AD23" i="16"/>
  <c r="AB21" i="16"/>
  <c r="AD19" i="16"/>
  <c r="Z16" i="16"/>
  <c r="Z4" i="16"/>
  <c r="X25" i="16"/>
  <c r="X28" i="16"/>
  <c r="X53" i="16"/>
  <c r="X45" i="16"/>
  <c r="X6" i="16"/>
  <c r="X9" i="16"/>
  <c r="X24" i="16"/>
  <c r="X50" i="16"/>
  <c r="X51" i="16"/>
  <c r="X52" i="16"/>
  <c r="X46" i="16"/>
  <c r="X19" i="16"/>
  <c r="X7" i="16"/>
  <c r="X8" i="16"/>
  <c r="X22" i="16"/>
  <c r="X23" i="16"/>
  <c r="X48" i="16"/>
  <c r="X49" i="16"/>
  <c r="X44" i="16"/>
  <c r="X20" i="16"/>
  <c r="X21" i="16"/>
  <c r="X47" i="16"/>
  <c r="X10" i="16"/>
  <c r="X30" i="16"/>
  <c r="X55" i="16"/>
  <c r="X56" i="16"/>
  <c r="X54" i="16"/>
  <c r="X42" i="16"/>
  <c r="X26" i="16"/>
  <c r="X27" i="16"/>
  <c r="X29" i="16"/>
  <c r="X43" i="16"/>
  <c r="Z43" i="16"/>
  <c r="AD41" i="16"/>
  <c r="AB19" i="16"/>
  <c r="Y16" i="16"/>
  <c r="Z13" i="16"/>
  <c r="Y4" i="16"/>
  <c r="AC9" i="16"/>
  <c r="AC3" i="16"/>
  <c r="AC4" i="16"/>
  <c r="AE49" i="16"/>
  <c r="AD49" i="16"/>
  <c r="AC6" i="16"/>
  <c r="AB11" i="16"/>
  <c r="AB31" i="16"/>
  <c r="AB35" i="16"/>
  <c r="AB57" i="16"/>
  <c r="AB58" i="16"/>
  <c r="AB9" i="16"/>
  <c r="AB23" i="16"/>
  <c r="AB10" i="16"/>
  <c r="AB30" i="16"/>
  <c r="AB55" i="16"/>
  <c r="AB56" i="16"/>
  <c r="AB24" i="16"/>
  <c r="AB29" i="16"/>
  <c r="AB54" i="16"/>
  <c r="AB50" i="16"/>
  <c r="AB52" i="16"/>
  <c r="AB48" i="16"/>
  <c r="AB25" i="16"/>
  <c r="AB26" i="16"/>
  <c r="AB27" i="16"/>
  <c r="AB28" i="16"/>
  <c r="AB53" i="16"/>
  <c r="AB13" i="16"/>
  <c r="AB14" i="16"/>
  <c r="AB15" i="16"/>
  <c r="AB38" i="16"/>
  <c r="AB60" i="16"/>
  <c r="AB61" i="16"/>
  <c r="AB33" i="16"/>
  <c r="AB59" i="16"/>
  <c r="AB51" i="16"/>
  <c r="AB7" i="16"/>
  <c r="AB49" i="16"/>
  <c r="AB12" i="16"/>
  <c r="AB32" i="16"/>
  <c r="AB34" i="16"/>
  <c r="AB36" i="16"/>
  <c r="AB37" i="16"/>
  <c r="AB8" i="16"/>
  <c r="AB22" i="16"/>
  <c r="AA6" i="16"/>
  <c r="AA26" i="16"/>
  <c r="AA27" i="16"/>
  <c r="AD21" i="16"/>
  <c r="AE46" i="16"/>
  <c r="AC5" i="16"/>
  <c r="AE56" i="16"/>
  <c r="AE26" i="16"/>
  <c r="AE55" i="16"/>
  <c r="AE29" i="16"/>
  <c r="AE54" i="16"/>
  <c r="AE25" i="16"/>
  <c r="AE28" i="16"/>
  <c r="AE10" i="16"/>
  <c r="AE30" i="16"/>
  <c r="AE27" i="16"/>
  <c r="AE16" i="16"/>
  <c r="AE39" i="16"/>
  <c r="Z38" i="16"/>
  <c r="AD17" i="16"/>
  <c r="Y13" i="16"/>
  <c r="AD46" i="16"/>
  <c r="Z41" i="16"/>
  <c r="AB17" i="16"/>
  <c r="X13" i="16"/>
  <c r="AE7" i="16"/>
  <c r="Z2" i="16"/>
  <c r="AD52" i="16"/>
  <c r="AE50" i="16"/>
  <c r="AB46" i="16"/>
  <c r="AD44" i="16"/>
  <c r="Y41" i="16"/>
  <c r="Z17" i="16"/>
  <c r="AD7" i="16"/>
  <c r="Y2" i="16"/>
  <c r="X59" i="16"/>
  <c r="AB44" i="16"/>
  <c r="AE42" i="16"/>
  <c r="X41" i="16"/>
  <c r="Y32" i="16"/>
  <c r="AE20" i="16"/>
  <c r="Z14" i="16"/>
  <c r="AE9" i="16"/>
  <c r="AC7" i="16"/>
  <c r="AB5" i="16"/>
  <c r="AE53" i="16"/>
  <c r="AD6" i="16"/>
  <c r="AB47" i="16"/>
  <c r="AC8" i="16"/>
  <c r="Y26" i="16"/>
  <c r="Y27" i="16"/>
  <c r="Y29" i="16"/>
  <c r="Y54" i="16"/>
  <c r="Y48" i="16"/>
  <c r="Y20" i="16"/>
  <c r="Y25" i="16"/>
  <c r="Y28" i="16"/>
  <c r="Y53" i="16"/>
  <c r="Y9" i="16"/>
  <c r="Y24" i="16"/>
  <c r="Y50" i="16"/>
  <c r="Y51" i="16"/>
  <c r="Y52" i="16"/>
  <c r="Y47" i="16"/>
  <c r="Y19" i="16"/>
  <c r="Y43" i="16"/>
  <c r="Y7" i="16"/>
  <c r="Y8" i="16"/>
  <c r="Y22" i="16"/>
  <c r="Y23" i="16"/>
  <c r="Y49" i="16"/>
  <c r="Y21" i="16"/>
  <c r="Y46" i="16"/>
  <c r="Y6" i="16"/>
  <c r="Y11" i="16"/>
  <c r="Y31" i="16"/>
  <c r="Y35" i="16"/>
  <c r="Y57" i="16"/>
  <c r="Y58" i="16"/>
  <c r="Y45" i="16"/>
  <c r="Y44" i="16"/>
  <c r="Y10" i="16"/>
  <c r="Y30" i="16"/>
  <c r="Y55" i="16"/>
  <c r="Y56" i="16"/>
  <c r="AD2" i="16"/>
  <c r="AB41" i="16"/>
  <c r="Z19" i="16"/>
  <c r="AB2" i="16"/>
  <c r="AE52" i="16"/>
  <c r="AE48" i="16"/>
  <c r="Y38" i="16"/>
  <c r="X35" i="16"/>
  <c r="AD5" i="16"/>
  <c r="Y59" i="16"/>
  <c r="AD48" i="16"/>
  <c r="X38" i="16"/>
  <c r="X2" i="16"/>
  <c r="Z44" i="16"/>
  <c r="AD42" i="16"/>
  <c r="AB39" i="16"/>
  <c r="X32" i="16"/>
  <c r="AE22" i="16"/>
  <c r="AD20" i="16"/>
  <c r="X17" i="16"/>
  <c r="Y14" i="16"/>
  <c r="X11" i="16"/>
  <c r="Z5" i="16"/>
  <c r="AK48" i="16"/>
  <c r="AJ46" i="16"/>
  <c r="V28" i="16"/>
  <c r="AK23" i="16"/>
  <c r="AK22" i="16"/>
  <c r="AJ21" i="16"/>
  <c r="AJ20" i="16"/>
  <c r="AJ7" i="16"/>
  <c r="AK49" i="16"/>
  <c r="AJ47" i="16"/>
  <c r="AJ45" i="16"/>
  <c r="AE2" i="16"/>
  <c r="AK52" i="16"/>
  <c r="AK51" i="16"/>
  <c r="AK50" i="16"/>
  <c r="AJ49" i="16"/>
  <c r="AJ48" i="16"/>
  <c r="AI47" i="16"/>
  <c r="AI46" i="16"/>
  <c r="AI45" i="16"/>
  <c r="AG42" i="16"/>
  <c r="AE40" i="16"/>
  <c r="AK24" i="16"/>
  <c r="AJ23" i="16"/>
  <c r="AJ22" i="16"/>
  <c r="AI21" i="16"/>
  <c r="AI20" i="16"/>
  <c r="AE17" i="16"/>
  <c r="AI8" i="16"/>
  <c r="AI7" i="16"/>
  <c r="AG6" i="16"/>
  <c r="AE5" i="16"/>
  <c r="AK2" i="16"/>
  <c r="Y2" i="17" s="1"/>
  <c r="AK17" i="16"/>
  <c r="V44" i="16"/>
  <c r="AJ17" i="16"/>
  <c r="W9" i="16"/>
  <c r="AK40" i="16"/>
  <c r="AJ2" i="16"/>
  <c r="X2" i="17" s="1"/>
  <c r="AI2" i="16"/>
  <c r="AG61" i="16"/>
  <c r="AG60" i="16"/>
  <c r="AE58" i="16"/>
  <c r="AE57" i="16"/>
  <c r="V47" i="16"/>
  <c r="W46" i="16"/>
  <c r="AK42" i="16"/>
  <c r="AJ41" i="16"/>
  <c r="AI40" i="16"/>
  <c r="AG38" i="16"/>
  <c r="AE35" i="16"/>
  <c r="AE31" i="16"/>
  <c r="V21" i="16"/>
  <c r="AJ18" i="16"/>
  <c r="AI17" i="16"/>
  <c r="AG15" i="16"/>
  <c r="AG14" i="16"/>
  <c r="AG13" i="16"/>
  <c r="AE11" i="16"/>
  <c r="AI5" i="16"/>
  <c r="AG4" i="16"/>
  <c r="AG3" i="16"/>
  <c r="V30" i="16"/>
  <c r="AE59" i="16"/>
  <c r="V49" i="16"/>
  <c r="AK44" i="16"/>
  <c r="AK43" i="16"/>
  <c r="AJ42" i="16"/>
  <c r="AI41" i="16"/>
  <c r="AG39" i="16"/>
  <c r="AE37" i="16"/>
  <c r="AE36" i="16"/>
  <c r="AE34" i="16"/>
  <c r="AE33" i="16"/>
  <c r="AE32" i="16"/>
  <c r="V23" i="16"/>
  <c r="AK19" i="16"/>
  <c r="AI18" i="16"/>
  <c r="AG16" i="16"/>
  <c r="AE12" i="16"/>
  <c r="AK41" i="16"/>
  <c r="AJ40" i="16"/>
  <c r="AG2" i="16"/>
  <c r="AE61" i="16"/>
  <c r="AE60" i="16"/>
  <c r="V51" i="16"/>
  <c r="AK47" i="16"/>
  <c r="AK46" i="16"/>
  <c r="AK45" i="16"/>
  <c r="AJ44" i="16"/>
  <c r="AJ43" i="16"/>
  <c r="AI42" i="16"/>
  <c r="AG40" i="16"/>
  <c r="AE38" i="16"/>
  <c r="AK21" i="16"/>
  <c r="AK20" i="16"/>
  <c r="AJ19" i="16"/>
  <c r="AG17" i="16"/>
  <c r="AE15" i="16"/>
  <c r="AE14" i="16"/>
  <c r="AE13" i="16"/>
  <c r="V9" i="16"/>
  <c r="AK7" i="16"/>
  <c r="AE4" i="16"/>
  <c r="AJ26" i="15"/>
  <c r="AJ24" i="15"/>
  <c r="AJ13" i="15"/>
  <c r="AJ6" i="15"/>
  <c r="AJ3" i="15"/>
  <c r="AJ9" i="15"/>
  <c r="AK4" i="15"/>
  <c r="AK8" i="16"/>
  <c r="AK4" i="16"/>
  <c r="AJ3" i="16"/>
  <c r="AJ34" i="15"/>
  <c r="AJ32" i="15"/>
  <c r="AK27" i="15"/>
  <c r="AJ21" i="15"/>
  <c r="AJ18" i="15"/>
  <c r="AJ11" i="15"/>
  <c r="AJ7" i="15"/>
  <c r="AJ4" i="15"/>
  <c r="AJ8" i="16"/>
  <c r="AJ4" i="16"/>
  <c r="AK18" i="16"/>
  <c r="AK15" i="16"/>
  <c r="AK9" i="16"/>
  <c r="AK5" i="16"/>
  <c r="AJ9" i="16"/>
  <c r="AJ5" i="16"/>
  <c r="AK19" i="15"/>
  <c r="AJ12" i="15"/>
  <c r="AJ10" i="15"/>
  <c r="AJ8" i="15"/>
  <c r="AJ5" i="15"/>
  <c r="AJ31" i="15"/>
  <c r="AK28" i="15"/>
  <c r="AK22" i="15"/>
  <c r="AE60" i="15"/>
  <c r="AE55" i="15"/>
  <c r="AE45" i="15"/>
  <c r="AE42" i="15"/>
  <c r="AE39" i="15"/>
  <c r="AE28" i="15"/>
  <c r="AE16" i="15"/>
  <c r="AE11" i="15"/>
  <c r="AE9" i="15"/>
  <c r="AE6" i="15"/>
  <c r="AE48" i="15"/>
  <c r="AE57" i="15"/>
  <c r="AE30" i="15"/>
  <c r="AE22" i="15"/>
  <c r="AE19" i="15"/>
  <c r="AE14" i="15"/>
  <c r="AF12" i="15"/>
  <c r="AF13" i="15"/>
  <c r="AF34" i="15"/>
  <c r="AF33" i="15"/>
  <c r="AF14" i="15"/>
  <c r="AF56" i="15"/>
  <c r="AF18" i="15"/>
  <c r="AF27" i="15"/>
  <c r="AF11" i="15"/>
  <c r="AF3" i="15"/>
  <c r="AF22" i="15"/>
  <c r="AF19" i="15"/>
  <c r="AF57" i="15"/>
  <c r="AF58" i="15"/>
  <c r="AF30" i="15"/>
  <c r="AF51" i="15"/>
  <c r="AF50" i="15"/>
  <c r="AF49" i="15"/>
  <c r="AF46" i="15"/>
  <c r="AF45" i="15"/>
  <c r="AF44" i="15"/>
  <c r="AF43" i="15"/>
  <c r="AF41" i="15"/>
  <c r="AF31" i="15"/>
  <c r="AF5" i="15"/>
  <c r="AF16" i="15"/>
  <c r="AF15" i="15"/>
  <c r="AF23" i="15"/>
  <c r="AF59" i="15"/>
  <c r="AF28" i="15"/>
  <c r="AF29" i="15"/>
  <c r="AF2" i="15"/>
  <c r="AF47" i="15"/>
  <c r="AF52" i="15"/>
  <c r="AF42" i="15"/>
  <c r="AF40" i="15"/>
  <c r="AF32" i="15"/>
  <c r="AF9" i="15"/>
  <c r="AF8" i="15"/>
  <c r="AF7" i="15"/>
  <c r="AF20" i="15"/>
  <c r="AF17" i="15"/>
  <c r="AF24" i="15"/>
  <c r="AF25" i="15"/>
  <c r="AF26" i="15"/>
  <c r="AF61" i="15"/>
  <c r="AF60" i="15"/>
  <c r="AF48" i="15"/>
  <c r="AF55" i="15"/>
  <c r="AF54" i="15"/>
  <c r="AF53" i="15"/>
  <c r="AF39" i="15"/>
  <c r="AF38" i="15"/>
  <c r="AF37" i="15"/>
  <c r="AF36" i="15"/>
  <c r="AF35" i="15"/>
  <c r="AF10" i="15"/>
  <c r="AD33" i="15"/>
  <c r="AD30" i="15"/>
  <c r="AD57" i="15"/>
  <c r="AD56" i="15"/>
  <c r="AD34" i="15"/>
  <c r="AD32" i="15"/>
  <c r="AD31" i="15"/>
  <c r="AD2" i="15"/>
  <c r="AD61" i="15"/>
  <c r="AD58" i="15"/>
  <c r="AD59" i="15"/>
  <c r="AD60" i="15"/>
  <c r="AD23" i="15"/>
  <c r="AC15" i="15"/>
  <c r="AC14" i="15"/>
  <c r="AC42" i="15"/>
  <c r="AC41" i="15"/>
  <c r="AC13" i="15"/>
  <c r="AC12" i="15"/>
  <c r="AC40" i="15"/>
  <c r="AC11" i="15"/>
  <c r="AC10" i="15"/>
  <c r="AC9" i="15"/>
  <c r="AC60" i="15"/>
  <c r="AC52" i="15"/>
  <c r="AC26" i="15"/>
  <c r="AC25" i="15"/>
  <c r="AC23" i="15"/>
  <c r="AC22" i="15"/>
  <c r="AC21" i="15"/>
  <c r="AC50" i="15"/>
  <c r="AC59" i="15"/>
  <c r="AC58" i="15"/>
  <c r="AC57" i="15"/>
  <c r="AC33" i="15"/>
  <c r="AC32" i="15"/>
  <c r="AC56" i="15"/>
  <c r="AC55" i="15"/>
  <c r="AC31" i="15"/>
  <c r="AC30" i="15"/>
  <c r="AC29" i="15"/>
  <c r="AC28" i="15"/>
  <c r="AC54" i="15"/>
  <c r="AC27" i="15"/>
  <c r="AC53" i="15"/>
  <c r="AC51" i="15"/>
  <c r="AC24" i="15"/>
  <c r="AC49" i="15"/>
  <c r="AC48" i="15"/>
  <c r="AC43" i="16"/>
  <c r="AC42" i="16"/>
  <c r="AC41" i="16"/>
  <c r="AC40" i="16"/>
  <c r="AC39" i="16"/>
  <c r="AC38" i="16"/>
  <c r="AC37" i="16"/>
  <c r="AC36" i="16"/>
  <c r="AC61" i="16"/>
  <c r="AC32" i="16"/>
  <c r="AC30" i="16"/>
  <c r="AC29" i="16"/>
  <c r="AC2" i="16"/>
  <c r="AC60" i="16"/>
  <c r="AC58" i="16"/>
  <c r="AC27" i="16"/>
  <c r="AC56" i="16"/>
  <c r="AC55" i="16"/>
  <c r="AC52" i="16"/>
  <c r="AC24" i="16"/>
  <c r="AC17" i="16"/>
  <c r="AC34" i="16"/>
  <c r="AC33" i="16"/>
  <c r="AC31" i="16"/>
  <c r="AC28" i="16"/>
  <c r="AC59" i="16"/>
  <c r="AC57" i="16"/>
  <c r="AC26" i="16"/>
  <c r="AC54" i="16"/>
  <c r="AC53" i="16"/>
  <c r="AC25" i="16"/>
  <c r="AC23" i="16"/>
  <c r="AC51" i="16"/>
  <c r="AC22" i="16"/>
  <c r="AC21" i="16"/>
  <c r="AC50" i="16"/>
  <c r="AC49" i="16"/>
  <c r="AC20" i="16"/>
  <c r="AC19" i="16"/>
  <c r="AC18" i="16"/>
  <c r="AC16" i="16"/>
  <c r="AC48" i="16"/>
  <c r="AC47" i="16"/>
  <c r="AC15" i="16"/>
  <c r="AC46" i="16"/>
  <c r="AC14" i="16"/>
  <c r="AC45" i="16"/>
  <c r="AC44" i="16"/>
  <c r="AC13" i="16"/>
  <c r="AC12" i="16"/>
  <c r="AC11" i="16"/>
  <c r="AC10" i="16"/>
  <c r="AA60" i="15"/>
  <c r="AA30" i="15"/>
  <c r="AA9" i="15"/>
  <c r="AA48" i="15"/>
  <c r="AA19" i="15"/>
  <c r="AA39" i="15"/>
  <c r="AA8" i="15"/>
  <c r="AA47" i="15"/>
  <c r="AA6" i="15"/>
  <c r="AA50" i="15"/>
  <c r="AA31" i="15"/>
  <c r="AA11" i="15"/>
  <c r="AA40" i="15"/>
  <c r="AA20" i="15"/>
  <c r="AA10" i="15"/>
  <c r="AA59" i="15"/>
  <c r="AA49" i="15"/>
  <c r="AA29" i="15"/>
  <c r="AA58" i="15"/>
  <c r="AA28" i="15"/>
  <c r="AA57" i="15"/>
  <c r="AA18" i="15"/>
  <c r="AA38" i="15"/>
  <c r="AA27" i="15"/>
  <c r="AA17" i="15"/>
  <c r="AA7" i="15"/>
  <c r="AA56" i="15"/>
  <c r="AA37" i="15"/>
  <c r="AA16" i="15"/>
  <c r="AA55" i="15"/>
  <c r="AA46" i="15"/>
  <c r="AA36" i="15"/>
  <c r="AA26" i="15"/>
  <c r="AA45" i="15"/>
  <c r="AA35" i="15"/>
  <c r="AA25" i="15"/>
  <c r="AA15" i="15"/>
  <c r="AA54" i="15"/>
  <c r="AA44" i="15"/>
  <c r="AA24" i="15"/>
  <c r="AA5" i="15"/>
  <c r="AA43" i="15"/>
  <c r="AA34" i="15"/>
  <c r="AA23" i="15"/>
  <c r="AA4" i="15"/>
  <c r="AA53" i="15"/>
  <c r="AA22" i="15"/>
  <c r="AA13" i="15"/>
  <c r="AA3" i="15"/>
  <c r="AA2" i="15"/>
  <c r="AA52" i="15"/>
  <c r="AA42" i="15"/>
  <c r="AA33" i="15"/>
  <c r="AA14" i="15"/>
  <c r="AA5" i="16"/>
  <c r="AA4" i="16"/>
  <c r="AA53" i="16"/>
  <c r="AA23" i="16"/>
  <c r="AA45" i="16"/>
  <c r="AA25" i="16"/>
  <c r="AA46" i="16"/>
  <c r="AA24" i="16"/>
  <c r="AA44" i="16"/>
  <c r="AA56" i="16"/>
  <c r="AA36" i="16"/>
  <c r="AA55" i="16"/>
  <c r="AA35" i="16"/>
  <c r="AA54" i="16"/>
  <c r="AA15" i="16"/>
  <c r="AA34" i="16"/>
  <c r="AA14" i="16"/>
  <c r="AA60" i="16"/>
  <c r="AA52" i="16"/>
  <c r="AA13" i="16"/>
  <c r="AA43" i="16"/>
  <c r="AA33" i="16"/>
  <c r="AA22" i="16"/>
  <c r="AA12" i="16"/>
  <c r="AA2" i="16"/>
  <c r="AA61" i="16"/>
  <c r="AA51" i="16"/>
  <c r="AA42" i="16"/>
  <c r="AA21" i="16"/>
  <c r="AA11" i="16"/>
  <c r="AA41" i="16"/>
  <c r="AA32" i="16"/>
  <c r="AA10" i="16"/>
  <c r="AA50" i="16"/>
  <c r="AA40" i="16"/>
  <c r="AA31" i="16"/>
  <c r="AA20" i="16"/>
  <c r="AA9" i="16"/>
  <c r="AA59" i="16"/>
  <c r="AA49" i="16"/>
  <c r="AA39" i="16"/>
  <c r="AA30" i="16"/>
  <c r="AA19" i="16"/>
  <c r="AA58" i="16"/>
  <c r="AA38" i="16"/>
  <c r="AA29" i="16"/>
  <c r="AA18" i="16"/>
  <c r="AA8" i="16"/>
  <c r="AA48" i="16"/>
  <c r="AA37" i="16"/>
  <c r="AA28" i="16"/>
  <c r="AA17" i="16"/>
  <c r="AA7" i="16"/>
  <c r="AA57" i="16"/>
  <c r="AA47" i="16"/>
  <c r="AA16" i="16"/>
  <c r="W29" i="15"/>
  <c r="W36" i="15"/>
  <c r="W22" i="15"/>
  <c r="W56" i="15"/>
  <c r="W49" i="15"/>
  <c r="W42" i="15"/>
  <c r="W15" i="15"/>
  <c r="W8" i="15"/>
  <c r="W33" i="15"/>
  <c r="W26" i="15"/>
  <c r="W60" i="15"/>
  <c r="W53" i="15"/>
  <c r="W46" i="15"/>
  <c r="W19" i="15"/>
  <c r="W12" i="15"/>
  <c r="W5" i="15"/>
  <c r="W39" i="15"/>
  <c r="W32" i="15"/>
  <c r="W25" i="15"/>
  <c r="W59" i="15"/>
  <c r="W52" i="15"/>
  <c r="W45" i="15"/>
  <c r="W18" i="15"/>
  <c r="W11" i="15"/>
  <c r="W4" i="15"/>
  <c r="W38" i="15"/>
  <c r="W31" i="15"/>
  <c r="W24" i="15"/>
  <c r="W58" i="15"/>
  <c r="W51" i="15"/>
  <c r="W44" i="15"/>
  <c r="W17" i="15"/>
  <c r="W10" i="15"/>
  <c r="W3" i="15"/>
  <c r="W37" i="15"/>
  <c r="W30" i="15"/>
  <c r="W3" i="16"/>
  <c r="W40" i="16"/>
  <c r="W21" i="16"/>
  <c r="W58" i="16"/>
  <c r="W29" i="16"/>
  <c r="W39" i="16"/>
  <c r="W33" i="16"/>
  <c r="W45" i="16"/>
  <c r="W8" i="16"/>
  <c r="W38" i="16"/>
  <c r="W20" i="16"/>
  <c r="W56" i="16"/>
  <c r="W50" i="16"/>
  <c r="W44" i="16"/>
  <c r="W32" i="16"/>
  <c r="W7" i="16"/>
  <c r="W37" i="16"/>
  <c r="W25" i="16"/>
  <c r="W19" i="16"/>
  <c r="W13" i="16"/>
  <c r="W61" i="16"/>
  <c r="W49" i="16"/>
  <c r="W31" i="16"/>
  <c r="W6" i="16"/>
  <c r="W55" i="16"/>
  <c r="W43" i="16"/>
  <c r="W24" i="16"/>
  <c r="W18" i="16"/>
  <c r="W12" i="16"/>
  <c r="W36" i="16"/>
  <c r="W30" i="16"/>
  <c r="W5" i="16"/>
  <c r="W51" i="16"/>
  <c r="W27" i="16"/>
  <c r="W57" i="16"/>
  <c r="W14" i="16"/>
  <c r="W26" i="16"/>
  <c r="W2" i="16"/>
  <c r="W60" i="16"/>
  <c r="W54" i="16"/>
  <c r="W48" i="16"/>
  <c r="W42" i="16"/>
  <c r="W23" i="16"/>
  <c r="W17" i="16"/>
  <c r="W11" i="16"/>
  <c r="W59" i="16"/>
  <c r="W53" i="16"/>
  <c r="W47" i="16"/>
  <c r="W41" i="16"/>
  <c r="W16" i="16"/>
  <c r="W10" i="16"/>
  <c r="W28" i="16"/>
  <c r="W22" i="16"/>
  <c r="V26" i="15"/>
  <c r="V54" i="15"/>
  <c r="V35" i="15"/>
  <c r="V3" i="15"/>
  <c r="V12" i="15"/>
  <c r="V30" i="15"/>
  <c r="V58" i="15"/>
  <c r="V7" i="15"/>
  <c r="V44" i="15"/>
  <c r="V39" i="15"/>
  <c r="V11" i="15"/>
  <c r="V34" i="15"/>
  <c r="V29" i="15"/>
  <c r="V24" i="15"/>
  <c r="V61" i="15"/>
  <c r="V5" i="15"/>
  <c r="V14" i="15"/>
  <c r="V51" i="15"/>
  <c r="V37" i="15"/>
  <c r="V23" i="15"/>
  <c r="V9" i="15"/>
  <c r="V60" i="15"/>
  <c r="V46" i="15"/>
  <c r="V32" i="15"/>
  <c r="V18" i="15"/>
  <c r="V4" i="15"/>
  <c r="V25" i="15"/>
  <c r="V6" i="15"/>
  <c r="V43" i="15"/>
  <c r="V15" i="15"/>
  <c r="V52" i="15"/>
  <c r="V10" i="15"/>
  <c r="V33" i="15"/>
  <c r="V19" i="15"/>
  <c r="V56" i="15"/>
  <c r="V28" i="15"/>
  <c r="V55" i="15"/>
  <c r="V41" i="15"/>
  <c r="V27" i="15"/>
  <c r="V13" i="15"/>
  <c r="V50" i="15"/>
  <c r="V36" i="15"/>
  <c r="V22" i="15"/>
  <c r="V8" i="15"/>
  <c r="V16" i="15"/>
  <c r="V53" i="15"/>
  <c r="V48" i="15"/>
  <c r="V20" i="15"/>
  <c r="V2" i="15"/>
  <c r="V57" i="15"/>
  <c r="V38" i="15"/>
  <c r="V47" i="15"/>
  <c r="V42" i="15"/>
  <c r="V59" i="15"/>
  <c r="V45" i="15"/>
  <c r="V31" i="15"/>
  <c r="V17" i="15"/>
  <c r="V5" i="16"/>
  <c r="V7" i="16"/>
  <c r="V19" i="16"/>
  <c r="V42" i="16"/>
  <c r="V55" i="16"/>
  <c r="V41" i="16"/>
  <c r="V27" i="16"/>
  <c r="V13" i="16"/>
  <c r="V60" i="16"/>
  <c r="V46" i="16"/>
  <c r="V32" i="16"/>
  <c r="V18" i="16"/>
  <c r="V4" i="16"/>
  <c r="V50" i="16"/>
  <c r="V36" i="16"/>
  <c r="V22" i="16"/>
  <c r="V8" i="16"/>
  <c r="V59" i="16"/>
  <c r="V45" i="16"/>
  <c r="V31" i="16"/>
  <c r="V17" i="16"/>
  <c r="V3" i="16"/>
  <c r="V54" i="16"/>
  <c r="V40" i="16"/>
  <c r="V26" i="16"/>
  <c r="V12" i="16"/>
  <c r="V53" i="16"/>
  <c r="V39" i="16"/>
  <c r="V25" i="16"/>
  <c r="V11" i="16"/>
  <c r="V48" i="16"/>
  <c r="V34" i="16"/>
  <c r="V20" i="16"/>
  <c r="V6" i="16"/>
  <c r="V2" i="16"/>
  <c r="V57" i="16"/>
  <c r="V43" i="16"/>
  <c r="V29" i="16"/>
  <c r="V15" i="16"/>
  <c r="V52" i="16"/>
  <c r="V38" i="16"/>
  <c r="V24" i="16"/>
  <c r="J30" i="18" l="1"/>
  <c r="G14" i="18"/>
  <c r="S57" i="18"/>
  <c r="H52" i="18"/>
  <c r="B8" i="18"/>
  <c r="G33" i="18"/>
  <c r="R24" i="18"/>
  <c r="R42" i="18"/>
  <c r="J28" i="18"/>
  <c r="M45" i="18"/>
  <c r="N48" i="18"/>
  <c r="T8" i="18"/>
  <c r="S33" i="18"/>
  <c r="E46" i="18"/>
  <c r="F61" i="18"/>
  <c r="M38" i="18"/>
  <c r="E16" i="18"/>
  <c r="T36" i="18"/>
  <c r="E7" i="18"/>
  <c r="S19" i="18"/>
  <c r="I54" i="18"/>
  <c r="P36" i="18"/>
  <c r="J6" i="18"/>
  <c r="N49" i="18"/>
  <c r="Q14" i="18"/>
  <c r="R20" i="18"/>
  <c r="H28" i="18"/>
  <c r="K52" i="18"/>
  <c r="S31" i="18"/>
  <c r="G38" i="18"/>
  <c r="K49" i="18"/>
  <c r="C50" i="18"/>
  <c r="O31" i="18"/>
  <c r="L21" i="18"/>
  <c r="M60" i="18"/>
  <c r="C60" i="18"/>
  <c r="H32" i="18"/>
  <c r="Q50" i="18"/>
  <c r="N8" i="18"/>
  <c r="G46" i="18"/>
  <c r="H51" i="18"/>
  <c r="B53" i="18"/>
  <c r="Q25" i="18"/>
  <c r="C24" i="18"/>
  <c r="Q43" i="18"/>
  <c r="T27" i="18"/>
  <c r="F17" i="18"/>
  <c r="N35" i="18"/>
  <c r="P52" i="18"/>
  <c r="L3" i="18"/>
  <c r="F43" i="18"/>
  <c r="C54" i="18"/>
  <c r="H41" i="18"/>
  <c r="I6" i="18"/>
  <c r="F46" i="18"/>
  <c r="I15" i="18"/>
  <c r="J11" i="18"/>
  <c r="H50" i="18"/>
  <c r="G47" i="18"/>
  <c r="G59" i="18"/>
  <c r="K4" i="18"/>
  <c r="S46" i="18"/>
  <c r="B29" i="18"/>
  <c r="J15" i="18"/>
  <c r="F51" i="18"/>
  <c r="M56" i="18"/>
  <c r="L39" i="18"/>
  <c r="P25" i="18"/>
  <c r="R55" i="18"/>
  <c r="C37" i="18"/>
  <c r="P14" i="18"/>
  <c r="H8" i="18"/>
  <c r="Q51" i="18"/>
  <c r="D23" i="18"/>
  <c r="O49" i="18"/>
  <c r="M14" i="18"/>
  <c r="H21" i="18"/>
  <c r="O29" i="18"/>
  <c r="C14" i="18"/>
  <c r="O55" i="18"/>
  <c r="R17" i="18"/>
  <c r="H56" i="18"/>
  <c r="C46" i="18"/>
  <c r="O24" i="18"/>
  <c r="H53" i="18"/>
  <c r="G19" i="18"/>
  <c r="K34" i="18"/>
  <c r="C56" i="18"/>
  <c r="G17" i="18"/>
  <c r="D9" i="18"/>
  <c r="Q47" i="18"/>
  <c r="E25" i="18"/>
  <c r="H43" i="18"/>
  <c r="E44" i="18"/>
  <c r="D53" i="18"/>
  <c r="R12" i="18"/>
  <c r="P19" i="18"/>
  <c r="S21" i="18"/>
  <c r="N33" i="18"/>
  <c r="K42" i="18"/>
  <c r="I30" i="18"/>
  <c r="M28" i="18"/>
  <c r="R54" i="18"/>
  <c r="K46" i="18"/>
  <c r="K56" i="18"/>
  <c r="J36" i="18"/>
  <c r="M41" i="18"/>
  <c r="D17" i="18"/>
  <c r="B24" i="18"/>
  <c r="B25" i="18"/>
  <c r="M54" i="18"/>
  <c r="N10" i="18"/>
  <c r="I51" i="18"/>
  <c r="B2" i="18"/>
  <c r="I45" i="18"/>
  <c r="O15" i="18"/>
  <c r="E13" i="18"/>
  <c r="B4" i="18"/>
  <c r="E51" i="18"/>
  <c r="K40" i="18"/>
  <c r="O33" i="18"/>
  <c r="C17" i="18"/>
  <c r="M46" i="18"/>
  <c r="S2" i="18"/>
  <c r="R47" i="18"/>
  <c r="S36" i="18"/>
  <c r="D34" i="18"/>
  <c r="P53" i="18"/>
  <c r="D44" i="18"/>
  <c r="K23" i="18"/>
  <c r="H10" i="18"/>
  <c r="D18" i="18"/>
  <c r="O20" i="18"/>
  <c r="N30" i="18"/>
  <c r="S48" i="18"/>
  <c r="R35" i="18"/>
  <c r="Q23" i="18"/>
  <c r="K61" i="18"/>
  <c r="P29" i="18"/>
  <c r="G54" i="18"/>
  <c r="O47" i="18"/>
  <c r="O21" i="18"/>
  <c r="F45" i="18"/>
  <c r="G12" i="18"/>
  <c r="C7" i="18"/>
  <c r="G29" i="18"/>
  <c r="C3" i="18"/>
  <c r="N55" i="18"/>
  <c r="L27" i="18"/>
  <c r="S60" i="18"/>
  <c r="C22" i="18"/>
  <c r="Q12" i="18"/>
  <c r="G9" i="18"/>
  <c r="R58" i="18"/>
  <c r="J12" i="18"/>
  <c r="T29" i="18"/>
  <c r="P55" i="18"/>
  <c r="J23" i="18"/>
  <c r="S8" i="18"/>
  <c r="F33" i="18"/>
  <c r="P20" i="18"/>
  <c r="I20" i="18"/>
  <c r="I61" i="18"/>
  <c r="J4" i="18"/>
  <c r="M42" i="18"/>
  <c r="T26" i="18"/>
  <c r="Q28" i="18"/>
  <c r="O26" i="18"/>
  <c r="H17" i="18"/>
  <c r="D50" i="18"/>
  <c r="J27" i="18"/>
  <c r="I32" i="18"/>
  <c r="B55" i="18"/>
  <c r="J29" i="18"/>
  <c r="C10" i="18"/>
  <c r="S51" i="18"/>
  <c r="Q30" i="18"/>
  <c r="N29" i="18"/>
  <c r="C21" i="18"/>
  <c r="I9" i="18"/>
  <c r="K41" i="18"/>
  <c r="P4" i="18"/>
  <c r="P34" i="18"/>
  <c r="N59" i="18"/>
  <c r="B39" i="18"/>
  <c r="T10" i="18"/>
  <c r="S32" i="18"/>
  <c r="H4" i="18"/>
  <c r="I29" i="18"/>
  <c r="G30" i="18"/>
  <c r="N58" i="18"/>
  <c r="J7" i="18"/>
  <c r="M50" i="18"/>
  <c r="E10" i="18"/>
  <c r="K32" i="18"/>
  <c r="L38" i="18"/>
  <c r="F16" i="18"/>
  <c r="E11" i="18"/>
  <c r="I40" i="18"/>
  <c r="T12" i="18"/>
  <c r="F49" i="18"/>
  <c r="T37" i="18"/>
  <c r="R49" i="18"/>
  <c r="G41" i="18"/>
  <c r="C20" i="18"/>
  <c r="N24" i="18"/>
  <c r="S34" i="18"/>
  <c r="I24" i="18"/>
  <c r="G27" i="18"/>
  <c r="G15" i="18"/>
  <c r="E28" i="18"/>
  <c r="C49" i="18"/>
  <c r="J47" i="18"/>
  <c r="J42" i="18"/>
  <c r="Q36" i="18"/>
  <c r="R7" i="18"/>
  <c r="O59" i="18"/>
  <c r="K37" i="18"/>
  <c r="H26" i="18"/>
  <c r="R60" i="18"/>
  <c r="R44" i="18"/>
  <c r="B35" i="18"/>
  <c r="D16" i="18"/>
  <c r="C29" i="18"/>
  <c r="S10" i="18"/>
  <c r="R18" i="18"/>
  <c r="R28" i="18"/>
  <c r="E59" i="18"/>
  <c r="T55" i="18"/>
  <c r="T20" i="18"/>
  <c r="Q13" i="18"/>
  <c r="Q4" i="18"/>
  <c r="L44" i="18"/>
  <c r="I55" i="18"/>
  <c r="T18" i="18"/>
  <c r="D60" i="18"/>
  <c r="E57" i="18"/>
  <c r="F38" i="18"/>
  <c r="L61" i="18"/>
  <c r="K5" i="18"/>
  <c r="H55" i="18"/>
  <c r="E6" i="18"/>
  <c r="P40" i="18"/>
  <c r="D27" i="18"/>
  <c r="J16" i="18"/>
  <c r="N37" i="18"/>
  <c r="O37" i="18"/>
  <c r="C39" i="18"/>
  <c r="M10" i="18"/>
  <c r="I44" i="18"/>
  <c r="L34" i="18"/>
  <c r="B22" i="18"/>
  <c r="S39" i="18"/>
  <c r="F8" i="18"/>
  <c r="L23" i="18"/>
  <c r="O60" i="18"/>
  <c r="O22" i="18"/>
  <c r="R23" i="18"/>
  <c r="S37" i="18"/>
  <c r="R3" i="18"/>
  <c r="P51" i="18"/>
  <c r="L37" i="18"/>
  <c r="Q61" i="18"/>
  <c r="J50" i="18"/>
  <c r="S52" i="18"/>
  <c r="N61" i="18"/>
  <c r="S23" i="18"/>
  <c r="T23" i="18"/>
  <c r="O12" i="18"/>
  <c r="E47" i="18"/>
  <c r="G49" i="18"/>
  <c r="Q22" i="18"/>
  <c r="L55" i="18"/>
  <c r="P27" i="18"/>
  <c r="D43" i="18"/>
  <c r="E31" i="18"/>
  <c r="J31" i="18"/>
  <c r="L20" i="18"/>
  <c r="D35" i="18"/>
  <c r="Q7" i="18"/>
  <c r="D55" i="18"/>
  <c r="Q44" i="18"/>
  <c r="S43" i="18"/>
  <c r="R52" i="18"/>
  <c r="E61" i="18"/>
  <c r="T47" i="18"/>
  <c r="G60" i="18"/>
  <c r="T14" i="18"/>
  <c r="B32" i="18"/>
  <c r="B11" i="18"/>
  <c r="E38" i="18"/>
  <c r="B42" i="18"/>
  <c r="Q45" i="18"/>
  <c r="P48" i="18"/>
  <c r="H20" i="18"/>
  <c r="B15" i="18"/>
  <c r="L51" i="18"/>
  <c r="L50" i="18"/>
  <c r="Q5" i="18"/>
  <c r="G34" i="18"/>
  <c r="N32" i="18"/>
  <c r="T51" i="18"/>
  <c r="D51" i="18"/>
  <c r="B50" i="18"/>
  <c r="H46" i="18"/>
  <c r="P39" i="18"/>
  <c r="I48" i="18"/>
  <c r="P41" i="18"/>
  <c r="M61" i="18"/>
  <c r="P26" i="18"/>
  <c r="F18" i="18"/>
  <c r="G56" i="18"/>
  <c r="F21" i="18"/>
  <c r="D3" i="18"/>
  <c r="P24" i="18"/>
  <c r="I3" i="18"/>
  <c r="C19" i="18"/>
  <c r="O51" i="18"/>
  <c r="P15" i="18"/>
  <c r="O53" i="18"/>
  <c r="M37" i="18"/>
  <c r="E52" i="18"/>
  <c r="I7" i="18"/>
  <c r="N52" i="18"/>
  <c r="F23" i="18"/>
  <c r="P23" i="18"/>
  <c r="M26" i="18"/>
  <c r="G53" i="18"/>
  <c r="P57" i="18"/>
  <c r="H13" i="18"/>
  <c r="N34" i="18"/>
  <c r="T11" i="18"/>
  <c r="K45" i="18"/>
  <c r="N11" i="18"/>
  <c r="S29" i="18"/>
  <c r="D26" i="18"/>
  <c r="T45" i="18"/>
  <c r="I41" i="18"/>
  <c r="B13" i="18"/>
  <c r="C4" i="18"/>
  <c r="D29" i="18"/>
  <c r="F58" i="18"/>
  <c r="I10" i="18"/>
  <c r="I5" i="18"/>
  <c r="F52" i="18"/>
  <c r="R48" i="18"/>
  <c r="R26" i="18"/>
  <c r="D59" i="18"/>
  <c r="I43" i="18"/>
  <c r="C36" i="18"/>
  <c r="R25" i="18"/>
  <c r="M17" i="18"/>
  <c r="G48" i="18"/>
  <c r="Q38" i="18"/>
  <c r="R53" i="18"/>
  <c r="K15" i="18"/>
  <c r="S3" i="18"/>
  <c r="M20" i="18"/>
  <c r="R13" i="18"/>
  <c r="L16" i="18"/>
  <c r="Q8" i="18"/>
  <c r="R34" i="18"/>
  <c r="M18" i="18"/>
  <c r="N31" i="18"/>
  <c r="E35" i="18"/>
  <c r="G40" i="18"/>
  <c r="J52" i="18"/>
  <c r="T54" i="18"/>
  <c r="R21" i="18"/>
  <c r="T44" i="18"/>
  <c r="L31" i="18"/>
  <c r="G6" i="18"/>
  <c r="F60" i="18"/>
  <c r="D11" i="18"/>
  <c r="T2" i="18"/>
  <c r="P11" i="18"/>
  <c r="Q37" i="18"/>
  <c r="L26" i="18"/>
  <c r="N56" i="18"/>
  <c r="N57" i="18"/>
  <c r="L35" i="18"/>
  <c r="I28" i="18"/>
  <c r="R22" i="18"/>
  <c r="C59" i="18"/>
  <c r="G50" i="18"/>
  <c r="L43" i="18"/>
  <c r="F5" i="18"/>
  <c r="P56" i="18"/>
  <c r="E14" i="18"/>
  <c r="J14" i="18"/>
  <c r="M5" i="18"/>
  <c r="B3" i="18"/>
  <c r="M35" i="18"/>
  <c r="D20" i="18"/>
  <c r="G32" i="18"/>
  <c r="H44" i="18"/>
  <c r="P42" i="18"/>
  <c r="F9" i="18"/>
  <c r="O40" i="18"/>
  <c r="Q19" i="18"/>
  <c r="P7" i="18"/>
  <c r="O48" i="18"/>
  <c r="L5" i="18"/>
  <c r="E4" i="18"/>
  <c r="G26" i="18"/>
  <c r="O11" i="18"/>
  <c r="M12" i="18"/>
  <c r="M51" i="18"/>
  <c r="I38" i="18"/>
  <c r="T49" i="18"/>
  <c r="J3" i="18"/>
  <c r="Q24" i="18"/>
  <c r="H29" i="18"/>
  <c r="G8" i="18"/>
  <c r="O32" i="18"/>
  <c r="M19" i="18"/>
  <c r="I39" i="18"/>
  <c r="P5" i="18"/>
  <c r="F3" i="18"/>
  <c r="G39" i="18"/>
  <c r="H54" i="18"/>
  <c r="P50" i="18"/>
  <c r="J49" i="18"/>
  <c r="B18" i="18"/>
  <c r="O41" i="18"/>
  <c r="B19" i="18"/>
  <c r="D33" i="18"/>
  <c r="L12" i="18"/>
  <c r="C33" i="18"/>
  <c r="C41" i="18"/>
  <c r="S49" i="18"/>
  <c r="T19" i="18"/>
  <c r="K33" i="18"/>
  <c r="G7" i="18"/>
  <c r="F41" i="18"/>
  <c r="L33" i="18"/>
  <c r="H40" i="18"/>
  <c r="K26" i="18"/>
  <c r="N44" i="18"/>
  <c r="C40" i="18"/>
  <c r="R51" i="18"/>
  <c r="P21" i="18"/>
  <c r="M9" i="18"/>
  <c r="R32" i="18"/>
  <c r="S15" i="18"/>
  <c r="I26" i="18"/>
  <c r="H27" i="18"/>
  <c r="N28" i="18"/>
  <c r="Q16" i="18"/>
  <c r="J56" i="18"/>
  <c r="O30" i="18"/>
  <c r="T40" i="18"/>
  <c r="F12" i="18"/>
  <c r="S35" i="18"/>
  <c r="G22" i="18"/>
  <c r="J22" i="18"/>
  <c r="S54" i="18"/>
  <c r="B12" i="18"/>
  <c r="B31" i="18"/>
  <c r="O44" i="18"/>
  <c r="L41" i="18"/>
  <c r="C5" i="18"/>
  <c r="F57" i="18"/>
  <c r="P58" i="18"/>
  <c r="T21" i="18"/>
  <c r="B51" i="18"/>
  <c r="B34" i="18"/>
  <c r="H59" i="18"/>
  <c r="T9" i="18"/>
  <c r="Q11" i="18"/>
  <c r="K55" i="18"/>
  <c r="G20" i="18"/>
  <c r="B41" i="18"/>
  <c r="F32" i="18"/>
  <c r="B14" i="18"/>
  <c r="C52" i="18"/>
  <c r="K53" i="18"/>
  <c r="D25" i="18"/>
  <c r="C57" i="18"/>
  <c r="H42" i="18"/>
  <c r="R31" i="18"/>
  <c r="O2" i="18"/>
  <c r="D31" i="18"/>
  <c r="F22" i="18"/>
  <c r="I33" i="18"/>
  <c r="P17" i="18"/>
  <c r="D47" i="18"/>
  <c r="O50" i="18"/>
  <c r="O46" i="18"/>
  <c r="Q46" i="18"/>
  <c r="F20" i="18"/>
  <c r="E58" i="18"/>
  <c r="H5" i="18"/>
  <c r="K10" i="18"/>
  <c r="R37" i="18"/>
  <c r="C55" i="18"/>
  <c r="N38" i="18"/>
  <c r="Q58" i="18"/>
  <c r="L54" i="18"/>
  <c r="R16" i="18"/>
  <c r="Q53" i="18"/>
  <c r="I37" i="18"/>
  <c r="I60" i="18"/>
  <c r="O17" i="18"/>
  <c r="D54" i="18"/>
  <c r="J10" i="18"/>
  <c r="K8" i="18"/>
  <c r="J43" i="18"/>
  <c r="O9" i="18"/>
  <c r="T50" i="18"/>
  <c r="D19" i="18"/>
  <c r="O27" i="18"/>
  <c r="L11" i="18"/>
  <c r="H18" i="18"/>
  <c r="C35" i="18"/>
  <c r="P28" i="18"/>
  <c r="L58" i="18"/>
  <c r="Q60" i="18"/>
  <c r="K13" i="18"/>
  <c r="H16" i="18"/>
  <c r="F35" i="18"/>
  <c r="N36" i="18"/>
  <c r="E19" i="18"/>
  <c r="F19" i="18"/>
  <c r="I11" i="18"/>
  <c r="M30" i="18"/>
  <c r="B30" i="18"/>
  <c r="E40" i="18"/>
  <c r="D5" i="18"/>
  <c r="F25" i="18"/>
  <c r="T4" i="18"/>
  <c r="T25" i="18"/>
  <c r="J20" i="18"/>
  <c r="D30" i="18"/>
  <c r="F54" i="18"/>
  <c r="E3" i="18"/>
  <c r="T57" i="18"/>
  <c r="P35" i="18"/>
  <c r="S40" i="18"/>
  <c r="J17" i="18"/>
  <c r="R15" i="18"/>
  <c r="J21" i="18"/>
  <c r="N15" i="18"/>
  <c r="J58" i="18"/>
  <c r="I50" i="18"/>
  <c r="Q42" i="18"/>
  <c r="K20" i="18"/>
  <c r="M2" i="18"/>
  <c r="N39" i="18"/>
  <c r="F59" i="18"/>
  <c r="B52" i="18"/>
  <c r="E30" i="18"/>
  <c r="H57" i="18"/>
  <c r="E22" i="18"/>
  <c r="T48" i="18"/>
  <c r="R61" i="18"/>
  <c r="L28" i="18"/>
  <c r="R27" i="18"/>
  <c r="C27" i="18"/>
  <c r="K51" i="18"/>
  <c r="D21" i="18"/>
  <c r="M33" i="18"/>
  <c r="E29" i="18"/>
  <c r="P3" i="18"/>
  <c r="I36" i="18"/>
  <c r="S58" i="18"/>
  <c r="D32" i="18"/>
  <c r="F4" i="18"/>
  <c r="E55" i="18"/>
  <c r="K44" i="18"/>
  <c r="N20" i="18"/>
  <c r="Q20" i="18"/>
  <c r="H19" i="18"/>
  <c r="D28" i="18"/>
  <c r="J53" i="18"/>
  <c r="H38" i="18"/>
  <c r="J34" i="18"/>
  <c r="M7" i="18"/>
  <c r="G11" i="18"/>
  <c r="K60" i="18"/>
  <c r="O35" i="18"/>
  <c r="M25" i="18"/>
  <c r="H6" i="18"/>
  <c r="J24" i="18"/>
  <c r="J19" i="18"/>
  <c r="M6" i="18"/>
  <c r="B23" i="18"/>
  <c r="F24" i="18"/>
  <c r="O4" i="18"/>
  <c r="R4" i="18"/>
  <c r="H9" i="18"/>
  <c r="J40" i="18"/>
  <c r="M39" i="18"/>
  <c r="G44" i="18"/>
  <c r="F50" i="18"/>
  <c r="T42" i="18"/>
  <c r="C2" i="18"/>
  <c r="P43" i="18"/>
  <c r="N50" i="18"/>
  <c r="Q35" i="18"/>
  <c r="S18" i="18"/>
  <c r="K25" i="18"/>
  <c r="F37" i="18"/>
  <c r="T39" i="18"/>
  <c r="O61" i="18"/>
  <c r="H31" i="18"/>
  <c r="T38" i="18"/>
  <c r="E34" i="18"/>
  <c r="E18" i="18"/>
  <c r="L45" i="18"/>
  <c r="N18" i="18"/>
  <c r="S42" i="18"/>
  <c r="C38" i="18"/>
  <c r="L18" i="18"/>
  <c r="K18" i="18"/>
  <c r="P9" i="18"/>
  <c r="S14" i="18"/>
  <c r="L60" i="18"/>
  <c r="T22" i="18"/>
  <c r="N27" i="18"/>
  <c r="J8" i="18"/>
  <c r="F34" i="18"/>
  <c r="K38" i="18"/>
  <c r="Q15" i="18"/>
  <c r="P31" i="18"/>
  <c r="M15" i="18"/>
  <c r="J37" i="18"/>
  <c r="Q3" i="18"/>
  <c r="D49" i="18"/>
  <c r="H30" i="18"/>
  <c r="C32" i="18"/>
  <c r="C6" i="18"/>
  <c r="L52" i="18"/>
  <c r="G58" i="18"/>
  <c r="B20" i="18"/>
  <c r="O28" i="18"/>
  <c r="I52" i="18"/>
  <c r="M8" i="18"/>
  <c r="L53" i="18"/>
  <c r="H11" i="18"/>
  <c r="P60" i="18"/>
  <c r="N17" i="18"/>
  <c r="C15" i="18"/>
  <c r="T7" i="18"/>
  <c r="J59" i="18"/>
  <c r="P49" i="18"/>
  <c r="P6" i="18"/>
  <c r="J13" i="18"/>
  <c r="O6" i="18"/>
  <c r="K3" i="18"/>
  <c r="T56" i="18"/>
  <c r="O39" i="18"/>
  <c r="D14" i="18"/>
  <c r="C12" i="18"/>
  <c r="N7" i="18"/>
  <c r="L19" i="18"/>
  <c r="I4" i="18"/>
  <c r="M36" i="18"/>
  <c r="B49" i="18"/>
  <c r="H60" i="18"/>
  <c r="F48" i="18"/>
  <c r="O38" i="18"/>
  <c r="F30" i="18"/>
  <c r="T61" i="18"/>
  <c r="B48" i="18"/>
  <c r="L57" i="18"/>
  <c r="B57" i="18"/>
  <c r="K30" i="18"/>
  <c r="Q34" i="18"/>
  <c r="B59" i="18"/>
  <c r="H25" i="18"/>
  <c r="C8" i="18"/>
  <c r="J46" i="18"/>
  <c r="O13" i="18"/>
  <c r="R39" i="18"/>
  <c r="J55" i="18"/>
  <c r="S53" i="18"/>
  <c r="B60" i="18"/>
  <c r="Q55" i="18"/>
  <c r="K7" i="18"/>
  <c r="L25" i="18"/>
  <c r="K57" i="18"/>
  <c r="D13" i="18"/>
  <c r="F6" i="18"/>
  <c r="O7" i="18"/>
  <c r="F40" i="18"/>
  <c r="N46" i="18"/>
  <c r="D10" i="18"/>
  <c r="I58" i="18"/>
  <c r="P18" i="18"/>
  <c r="T43" i="18"/>
  <c r="R19" i="18"/>
  <c r="O23" i="18"/>
  <c r="M23" i="18"/>
  <c r="E20" i="18"/>
  <c r="I56" i="18"/>
  <c r="R10" i="18"/>
  <c r="T41" i="18"/>
  <c r="I13" i="18"/>
  <c r="F27" i="18"/>
  <c r="K2" i="18"/>
  <c r="B6" i="18"/>
  <c r="B5" i="18"/>
  <c r="T6" i="18"/>
  <c r="F36" i="18"/>
  <c r="R14" i="18"/>
  <c r="C30" i="18"/>
  <c r="N51" i="18"/>
  <c r="T30" i="18"/>
  <c r="O14" i="18"/>
  <c r="Q21" i="18"/>
  <c r="F39" i="18"/>
  <c r="N54" i="18"/>
  <c r="I8" i="18"/>
  <c r="P32" i="18"/>
  <c r="D45" i="18"/>
  <c r="B58" i="18"/>
  <c r="E54" i="18"/>
  <c r="N53" i="18"/>
  <c r="I12" i="18"/>
  <c r="R8" i="18"/>
  <c r="N14" i="18"/>
  <c r="E26" i="18"/>
  <c r="G21" i="18"/>
  <c r="L15" i="18"/>
  <c r="C28" i="18"/>
  <c r="T35" i="18"/>
  <c r="G45" i="18"/>
  <c r="B46" i="18"/>
  <c r="D56" i="18"/>
  <c r="F15" i="18"/>
  <c r="G24" i="18"/>
  <c r="J33" i="18"/>
  <c r="Q49" i="18"/>
  <c r="L22" i="18"/>
  <c r="F29" i="18"/>
  <c r="F11" i="18"/>
  <c r="G51" i="18"/>
  <c r="R36" i="18"/>
  <c r="E32" i="18"/>
  <c r="K31" i="18"/>
  <c r="C47" i="18"/>
  <c r="D15" i="18"/>
  <c r="G31" i="18"/>
  <c r="J25" i="18"/>
  <c r="R5" i="18"/>
  <c r="B9" i="18"/>
  <c r="E2" i="18"/>
  <c r="O42" i="18"/>
  <c r="F42" i="18"/>
  <c r="I42" i="18"/>
  <c r="C43" i="18"/>
  <c r="N26" i="18"/>
  <c r="J9" i="18"/>
  <c r="H12" i="18"/>
  <c r="J39" i="18"/>
  <c r="T52" i="18"/>
  <c r="E24" i="18"/>
  <c r="H23" i="18"/>
  <c r="D61" i="18"/>
  <c r="K9" i="18"/>
  <c r="H49" i="18"/>
  <c r="F44" i="18"/>
  <c r="S47" i="18"/>
  <c r="I16" i="18"/>
  <c r="J44" i="18"/>
  <c r="Q10" i="18"/>
  <c r="E41" i="18"/>
  <c r="H37" i="18"/>
  <c r="K22" i="18"/>
  <c r="M22" i="18"/>
  <c r="C53" i="18"/>
  <c r="I59" i="18"/>
  <c r="K14" i="18"/>
  <c r="H45" i="18"/>
  <c r="Q59" i="18"/>
  <c r="R43" i="18"/>
  <c r="N42" i="18"/>
  <c r="Q57" i="18"/>
  <c r="M16" i="18"/>
  <c r="H14" i="18"/>
  <c r="R57" i="18"/>
  <c r="R30" i="18"/>
  <c r="I31" i="18"/>
  <c r="L36" i="18"/>
  <c r="J35" i="18"/>
  <c r="S30" i="18"/>
  <c r="P54" i="18"/>
  <c r="T16" i="18"/>
  <c r="I23" i="18"/>
  <c r="I57" i="18"/>
  <c r="E23" i="18"/>
  <c r="T46" i="18"/>
  <c r="D36" i="18"/>
  <c r="Q6" i="18"/>
  <c r="H39" i="18"/>
  <c r="B26" i="18"/>
  <c r="H58" i="18"/>
  <c r="L13" i="18"/>
  <c r="M21" i="18"/>
  <c r="N19" i="18"/>
  <c r="C61" i="18"/>
  <c r="L46" i="18"/>
  <c r="H33" i="18"/>
  <c r="I21" i="18"/>
  <c r="H35" i="18"/>
  <c r="N23" i="18"/>
  <c r="M53" i="18"/>
  <c r="N45" i="18"/>
  <c r="S55" i="18"/>
  <c r="M55" i="18"/>
  <c r="H61" i="18"/>
  <c r="S27" i="18"/>
  <c r="M34" i="18"/>
  <c r="D39" i="18"/>
  <c r="Q26" i="18"/>
  <c r="L56" i="18"/>
  <c r="F28" i="18"/>
  <c r="O19" i="18"/>
  <c r="T13" i="18"/>
  <c r="J57" i="18"/>
  <c r="C26" i="18"/>
  <c r="S25" i="18"/>
  <c r="O54" i="18"/>
  <c r="C44" i="18"/>
  <c r="S22" i="18"/>
  <c r="E39" i="18"/>
  <c r="Q2" i="18"/>
  <c r="T60" i="18"/>
  <c r="Q33" i="18"/>
  <c r="H47" i="18"/>
  <c r="O57" i="18"/>
  <c r="P45" i="18"/>
  <c r="G5" i="18"/>
  <c r="E56" i="18"/>
  <c r="M32" i="18"/>
  <c r="T15" i="18"/>
  <c r="T58" i="18"/>
  <c r="P10" i="18"/>
  <c r="I14" i="18"/>
  <c r="S12" i="18"/>
  <c r="S56" i="18"/>
  <c r="D46" i="18"/>
  <c r="S41" i="18"/>
  <c r="N4" i="18"/>
  <c r="M59" i="18"/>
  <c r="D8" i="18"/>
  <c r="M43" i="18"/>
  <c r="M52" i="18"/>
  <c r="J54" i="18"/>
  <c r="D22" i="18"/>
  <c r="K58" i="18"/>
  <c r="P61" i="18"/>
  <c r="D42" i="18"/>
  <c r="I22" i="18"/>
  <c r="E37" i="18"/>
  <c r="L47" i="18"/>
  <c r="Q32" i="18"/>
  <c r="B36" i="18"/>
  <c r="G35" i="18"/>
  <c r="R29" i="18"/>
  <c r="C18" i="18"/>
  <c r="L4" i="18"/>
  <c r="L9" i="18"/>
  <c r="G61" i="18"/>
  <c r="T28" i="18"/>
  <c r="B44" i="18"/>
  <c r="R11" i="18"/>
  <c r="F47" i="18"/>
  <c r="K6" i="18"/>
  <c r="T17" i="18"/>
  <c r="N25" i="18"/>
  <c r="E33" i="18"/>
  <c r="G28" i="18"/>
  <c r="P13" i="18"/>
  <c r="M44" i="18"/>
  <c r="O16" i="18"/>
  <c r="B10" i="18"/>
  <c r="P8" i="18"/>
  <c r="I47" i="18"/>
  <c r="G13" i="18"/>
  <c r="E12" i="18"/>
  <c r="P30" i="18"/>
  <c r="D24" i="18"/>
  <c r="L30" i="18"/>
  <c r="C58" i="18"/>
  <c r="B33" i="18"/>
  <c r="K19" i="18"/>
  <c r="I34" i="18"/>
  <c r="C9" i="18"/>
  <c r="N6" i="18"/>
  <c r="D38" i="18"/>
  <c r="I19" i="18"/>
  <c r="N16" i="18"/>
  <c r="M40" i="18"/>
  <c r="M3" i="18"/>
  <c r="L24" i="18"/>
  <c r="B7" i="18"/>
  <c r="C31" i="18"/>
  <c r="S38" i="18"/>
  <c r="N9" i="18"/>
  <c r="B21" i="18"/>
  <c r="G3" i="18"/>
  <c r="B38" i="18"/>
  <c r="K24" i="18"/>
  <c r="T53" i="18"/>
  <c r="I35" i="18"/>
  <c r="C51" i="18"/>
  <c r="R59" i="18"/>
  <c r="T34" i="18"/>
  <c r="E45" i="18"/>
  <c r="K43" i="18"/>
  <c r="H2" i="18"/>
  <c r="M49" i="18"/>
  <c r="M29" i="18"/>
  <c r="H3" i="18"/>
  <c r="B54" i="18"/>
  <c r="I49" i="18"/>
  <c r="D58" i="18"/>
  <c r="K12" i="18"/>
  <c r="Q48" i="18"/>
  <c r="N21" i="18"/>
  <c r="D6" i="18"/>
  <c r="D2" i="18"/>
  <c r="B43" i="18"/>
  <c r="E53" i="18"/>
  <c r="G57" i="18"/>
  <c r="Q18" i="18"/>
  <c r="P46" i="18"/>
  <c r="R33" i="18"/>
  <c r="T24" i="18"/>
  <c r="K17" i="18"/>
  <c r="P37" i="18"/>
  <c r="J61" i="18"/>
  <c r="E43" i="18"/>
  <c r="S44" i="18"/>
  <c r="J38" i="18"/>
  <c r="N5" i="18"/>
  <c r="B47" i="18"/>
  <c r="C34" i="18"/>
  <c r="R41" i="18"/>
  <c r="I18" i="18"/>
  <c r="K54" i="18"/>
  <c r="M24" i="18"/>
  <c r="G18" i="18"/>
  <c r="F14" i="18"/>
  <c r="N12" i="18"/>
  <c r="H24" i="18"/>
  <c r="Q54" i="18"/>
  <c r="O10" i="18"/>
  <c r="P47" i="18"/>
  <c r="Q56" i="18"/>
  <c r="N2" i="18"/>
  <c r="Q31" i="18"/>
  <c r="F7" i="18"/>
  <c r="B28" i="18"/>
  <c r="I2" i="18"/>
  <c r="C13" i="18"/>
  <c r="B37" i="18"/>
  <c r="K39" i="18"/>
  <c r="M47" i="18"/>
  <c r="F10" i="18"/>
  <c r="N40" i="18"/>
  <c r="R9" i="18"/>
  <c r="N22" i="18"/>
  <c r="Q40" i="18"/>
  <c r="J26" i="18"/>
  <c r="K35" i="18"/>
  <c r="O45" i="18"/>
  <c r="R2" i="18"/>
  <c r="S6" i="18"/>
  <c r="L59" i="18"/>
  <c r="I27" i="18"/>
  <c r="G36" i="18"/>
  <c r="L2" i="18"/>
  <c r="L32" i="18"/>
  <c r="G16" i="18"/>
  <c r="G37" i="18"/>
  <c r="E48" i="18"/>
  <c r="B16" i="18"/>
  <c r="H15" i="18"/>
  <c r="D40" i="18"/>
  <c r="D12" i="18"/>
  <c r="M27" i="18"/>
  <c r="B17" i="18"/>
  <c r="F2" i="18"/>
  <c r="P16" i="18"/>
  <c r="Q17" i="18"/>
  <c r="L6" i="18"/>
  <c r="L42" i="18"/>
  <c r="J18" i="18"/>
  <c r="E50" i="18"/>
  <c r="P59" i="18"/>
  <c r="K50" i="18"/>
  <c r="O18" i="18"/>
  <c r="L14" i="18"/>
  <c r="M31" i="18"/>
  <c r="P44" i="18"/>
  <c r="S26" i="18"/>
  <c r="M4" i="18"/>
  <c r="G55" i="18"/>
  <c r="O43" i="18"/>
  <c r="D57" i="18"/>
  <c r="N43" i="18"/>
  <c r="S16" i="18"/>
  <c r="B40" i="18"/>
  <c r="G42" i="18"/>
  <c r="I53" i="18"/>
  <c r="K21" i="18"/>
  <c r="R56" i="18"/>
  <c r="K48" i="18"/>
  <c r="S7" i="18"/>
  <c r="J41" i="18"/>
  <c r="S59" i="18"/>
  <c r="N3" i="18"/>
  <c r="H22" i="18"/>
  <c r="C25" i="18"/>
  <c r="T3" i="18"/>
  <c r="D52" i="18"/>
  <c r="J51" i="18"/>
  <c r="J45" i="18"/>
  <c r="E15" i="18"/>
  <c r="E9" i="18"/>
  <c r="G4" i="18"/>
  <c r="K47" i="18"/>
  <c r="N13" i="18"/>
  <c r="K29" i="18"/>
  <c r="G43" i="18"/>
  <c r="N47" i="18"/>
  <c r="L8" i="18"/>
  <c r="G25" i="18"/>
  <c r="P33" i="18"/>
  <c r="H7" i="18"/>
  <c r="L7" i="18"/>
  <c r="O25" i="18"/>
  <c r="P12" i="18"/>
  <c r="C23" i="18"/>
  <c r="G52" i="18"/>
  <c r="J2" i="18"/>
  <c r="O34" i="18"/>
  <c r="J32" i="18"/>
  <c r="P22" i="18"/>
  <c r="P2" i="18"/>
  <c r="E49" i="18"/>
  <c r="L10" i="18"/>
  <c r="S24" i="18"/>
  <c r="O56" i="18"/>
  <c r="K36" i="18"/>
  <c r="T33" i="18"/>
  <c r="S61" i="18"/>
  <c r="D41" i="18"/>
  <c r="S20" i="18"/>
  <c r="T5" i="18"/>
  <c r="N60" i="18"/>
  <c r="N41" i="18"/>
  <c r="Q27" i="18"/>
  <c r="O36" i="18"/>
  <c r="G23" i="18"/>
  <c r="M11" i="18"/>
  <c r="S11" i="18"/>
  <c r="E17" i="18"/>
  <c r="S17" i="18"/>
  <c r="E42" i="18"/>
  <c r="M58" i="18"/>
  <c r="D48" i="18"/>
  <c r="B45" i="18"/>
  <c r="G10" i="18"/>
  <c r="C16" i="18"/>
  <c r="B56" i="18"/>
  <c r="D37" i="18"/>
  <c r="T59" i="18"/>
  <c r="O8" i="18"/>
  <c r="H48" i="18"/>
  <c r="O58" i="18"/>
  <c r="Q52" i="18"/>
  <c r="F13" i="18"/>
  <c r="K16" i="18"/>
  <c r="M57" i="18"/>
  <c r="I17" i="18"/>
  <c r="R50" i="18"/>
  <c r="O3" i="18"/>
  <c r="H34" i="18"/>
  <c r="K59" i="18"/>
  <c r="J5" i="18"/>
  <c r="Q39" i="18"/>
  <c r="F56" i="18"/>
  <c r="R45" i="18"/>
  <c r="S28" i="18"/>
  <c r="F53" i="18"/>
  <c r="O52" i="18"/>
  <c r="E8" i="18"/>
  <c r="P38" i="18"/>
  <c r="E27" i="18"/>
  <c r="S50" i="18"/>
  <c r="B27" i="18"/>
  <c r="K28" i="18"/>
  <c r="D7" i="18"/>
  <c r="K27" i="18"/>
  <c r="Q29" i="18"/>
  <c r="R38" i="18"/>
  <c r="J60" i="18"/>
  <c r="L49" i="18"/>
  <c r="C48" i="18"/>
  <c r="F31" i="18"/>
  <c r="E5" i="18"/>
  <c r="L48" i="18"/>
  <c r="O5" i="18"/>
  <c r="I46" i="18"/>
  <c r="S13" i="18"/>
  <c r="R46" i="18"/>
  <c r="S4" i="18"/>
  <c r="T31" i="18"/>
  <c r="R40" i="18"/>
  <c r="E60" i="18"/>
  <c r="L40" i="18"/>
  <c r="J48" i="18"/>
  <c r="R6" i="18"/>
  <c r="F26" i="18"/>
  <c r="S45" i="18"/>
  <c r="Q9" i="18"/>
  <c r="M13" i="18"/>
  <c r="F55" i="18"/>
  <c r="C42" i="18"/>
  <c r="Q41" i="18"/>
  <c r="G2" i="18"/>
  <c r="D4" i="18"/>
  <c r="E36" i="18"/>
  <c r="L29" i="18"/>
  <c r="E21" i="18"/>
  <c r="S5" i="18"/>
  <c r="C11" i="18"/>
  <c r="S9" i="18"/>
  <c r="L17" i="18"/>
  <c r="T32" i="18"/>
  <c r="I25" i="18"/>
  <c r="H36" i="18"/>
  <c r="C45" i="18"/>
  <c r="M48" i="18"/>
  <c r="K11" i="18"/>
  <c r="B61" i="18"/>
</calcChain>
</file>

<file path=xl/sharedStrings.xml><?xml version="1.0" encoding="utf-8"?>
<sst xmlns="http://schemas.openxmlformats.org/spreadsheetml/2006/main" count="186" uniqueCount="82">
  <si>
    <t>fluid</t>
  </si>
  <si>
    <t>ID</t>
  </si>
  <si>
    <t>date</t>
  </si>
  <si>
    <t>ON</t>
  </si>
  <si>
    <t>OFF</t>
  </si>
  <si>
    <t>consumed</t>
  </si>
  <si>
    <t>why suspicious?</t>
  </si>
  <si>
    <t>transcription good?</t>
  </si>
  <si>
    <t>Problem</t>
  </si>
  <si>
    <t>fix</t>
  </si>
  <si>
    <t>ethanol</t>
  </si>
  <si>
    <t>high ethanol consumption</t>
  </si>
  <si>
    <t>yes</t>
  </si>
  <si>
    <t>Change OFF to 459.3</t>
  </si>
  <si>
    <t>negative consumption</t>
  </si>
  <si>
    <t>Nora said 469.6 in audio then corrected herself to 459.6. I suspect the correction was intended for the tenths digit and was accidentally said for the tens digit.</t>
  </si>
  <si>
    <t>switch ON to 469.5</t>
  </si>
  <si>
    <t>Left fluid (cages 1-30)</t>
  </si>
  <si>
    <t>20% ethanol</t>
  </si>
  <si>
    <t>water</t>
  </si>
  <si>
    <t>20% ethanol + 185 uM quinine</t>
  </si>
  <si>
    <t>20% ethanol + 740 uM quinine</t>
  </si>
  <si>
    <t>Right fluid (cages 1-30)</t>
  </si>
  <si>
    <t>20% ethanol  + 185 uM quinine</t>
  </si>
  <si>
    <t>Left fluid (cages 31-60)</t>
  </si>
  <si>
    <t>Right fluid (cages 31-60)</t>
  </si>
  <si>
    <t>bottles ON time</t>
  </si>
  <si>
    <t>9:49-9:58</t>
  </si>
  <si>
    <t>9:42-9:51</t>
  </si>
  <si>
    <t>10:10-10:20</t>
  </si>
  <si>
    <t>9:47-9:57</t>
  </si>
  <si>
    <t>9:44-9:56</t>
  </si>
  <si>
    <t>9:49-9:59</t>
  </si>
  <si>
    <t>10:00-10:15</t>
  </si>
  <si>
    <t>10:06-10:16</t>
  </si>
  <si>
    <t>9:40-9:50</t>
  </si>
  <si>
    <t>9:30-9:40</t>
  </si>
  <si>
    <t>10:10-10:19</t>
  </si>
  <si>
    <t>9:54-10:05</t>
  </si>
  <si>
    <t>10:16-10:26</t>
  </si>
  <si>
    <t>9:48-10:01</t>
  </si>
  <si>
    <t>9:51-10:02</t>
  </si>
  <si>
    <t>10:12-10:22</t>
  </si>
  <si>
    <t>10:51-10:03</t>
  </si>
  <si>
    <t>bottles OFF time</t>
  </si>
  <si>
    <t>10:09-10:18</t>
  </si>
  <si>
    <t>10:02-10:11</t>
  </si>
  <si>
    <t>10:20-10:40</t>
  </si>
  <si>
    <t>10:07-10:16</t>
  </si>
  <si>
    <t>10:04-10:16</t>
  </si>
  <si>
    <t>10:09-10:19</t>
  </si>
  <si>
    <t>10:20-10:35</t>
  </si>
  <si>
    <t>10:26-10:35</t>
  </si>
  <si>
    <t>10:00-10:10</t>
  </si>
  <si>
    <t>9:50-10:00</t>
  </si>
  <si>
    <t>10:30-10:39</t>
  </si>
  <si>
    <t>10:14-10:25</t>
  </si>
  <si>
    <t>10:36-10:46</t>
  </si>
  <si>
    <t>10:08-10:21</t>
  </si>
  <si>
    <t>10:11-10:23</t>
  </si>
  <si>
    <t>10:32-10:43</t>
  </si>
  <si>
    <t>other notes</t>
  </si>
  <si>
    <t>#10 water and ethanol bottles switched during OFF weighing</t>
  </si>
  <si>
    <t>#6 chewed acrylic piece</t>
  </si>
  <si>
    <t>#6 chews on acrylic piece, took away after giving bottles</t>
  </si>
  <si>
    <t>#47 chewed through water bottle, cage changed before bottles</t>
  </si>
  <si>
    <t>I (David) timed myself putting bottles on (normal leisurly pace). Started Rack #2 @3:34, started rack #3 @9:30, finished @11:37. Taking bottles off, I was initially ~1 minute early to start rack #2. I slowed down and was still ~30s early for rack #3. I ended ~10 early. I am now fairly well calibrated. We will see if this calibration holds until next week.</t>
  </si>
  <si>
    <t>I (David) timed myself putting bottles on. Started Rack #2 @3:07, started rack #3 @8:26, finished @10:19.</t>
  </si>
  <si>
    <t>fresh quinine in E31-E60</t>
  </si>
  <si>
    <t>fresh quinine in E1-E30</t>
  </si>
  <si>
    <t>fresh quinine in E1-E60</t>
  </si>
  <si>
    <t>leak 1</t>
  </si>
  <si>
    <t>leak 2</t>
  </si>
  <si>
    <t>500g calibration weight</t>
  </si>
  <si>
    <t>broke</t>
  </si>
  <si>
    <t>leak1</t>
  </si>
  <si>
    <t>leak2</t>
  </si>
  <si>
    <t>Scale offset</t>
  </si>
  <si>
    <t>Q</t>
  </si>
  <si>
    <t>high consumption</t>
  </si>
  <si>
    <t>Probably missed 6 on entry of OFF</t>
  </si>
  <si>
    <t>switch OFF to 465.5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</si>
</sst>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/d;@"/>
    <numFmt numFmtId="166" formatCode="0.000"/>
  </numFmts>
  <fonts count="9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quotePrefix="1"/>
    <xf numFmtId="0" fontId="0" fillId="0" borderId="1" xfId="0" applyBorder="1"/>
    <xf numFmtId="49" fontId="0" fillId="0" borderId="2" xfId="0" applyNumberFormat="1" applyBorder="1"/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2" xfId="0" applyBorder="1"/>
    <xf numFmtId="0" fontId="2" fillId="0" borderId="0" xfId="0" applyFont="1"/>
    <xf numFmtId="0" fontId="0" fillId="0" borderId="2" xfId="0" quotePrefix="1" applyBorder="1"/>
    <xf numFmtId="1" fontId="0" fillId="0" borderId="2" xfId="0" applyNumberFormat="1" applyBorder="1"/>
    <xf numFmtId="1" fontId="0" fillId="0" borderId="1" xfId="0" applyNumberFormat="1" applyBorder="1"/>
    <xf numFmtId="164" fontId="0" fillId="0" borderId="2" xfId="0" applyNumberFormat="1" applyBorder="1"/>
    <xf numFmtId="1" fontId="0" fillId="0" borderId="3" xfId="0" applyNumberFormat="1" applyBorder="1"/>
    <xf numFmtId="0" fontId="0" fillId="0" borderId="3" xfId="0" applyBorder="1"/>
    <xf numFmtId="1" fontId="0" fillId="0" borderId="5" xfId="0" applyNumberFormat="1" applyBorder="1"/>
    <xf numFmtId="0" fontId="0" fillId="0" borderId="3" xfId="0" quotePrefix="1" applyBorder="1"/>
    <xf numFmtId="0" fontId="0" fillId="0" borderId="6" xfId="0" applyBorder="1"/>
    <xf numFmtId="0" fontId="0" fillId="0" borderId="5" xfId="0" applyBorder="1"/>
    <xf numFmtId="0" fontId="0" fillId="0" borderId="5" xfId="0" quotePrefix="1" applyBorder="1"/>
    <xf numFmtId="0" fontId="4" fillId="0" borderId="0" xfId="0" applyFont="1"/>
    <xf numFmtId="0" fontId="5" fillId="0" borderId="0" xfId="0" applyFont="1"/>
    <xf numFmtId="0" fontId="5" fillId="0" borderId="8" xfId="0" applyFont="1" applyBorder="1"/>
    <xf numFmtId="0" fontId="6" fillId="0" borderId="0" xfId="0" applyFont="1"/>
    <xf numFmtId="0" fontId="0" fillId="0" borderId="9" xfId="0" applyBorder="1"/>
    <xf numFmtId="164" fontId="0" fillId="0" borderId="3" xfId="0" applyNumberFormat="1" applyBorder="1"/>
    <xf numFmtId="164" fontId="0" fillId="0" borderId="5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5" xfId="0" applyNumberFormat="1" applyBorder="1"/>
    <xf numFmtId="165" fontId="5" fillId="0" borderId="2" xfId="0" applyNumberFormat="1" applyFont="1" applyBorder="1"/>
    <xf numFmtId="0" fontId="5" fillId="0" borderId="0" xfId="0" applyFont="1" applyAlignment="1">
      <alignment horizontal="left" vertical="top" wrapText="1"/>
    </xf>
    <xf numFmtId="165" fontId="7" fillId="0" borderId="2" xfId="0" applyNumberFormat="1" applyFont="1" applyBorder="1"/>
    <xf numFmtId="0" fontId="7" fillId="0" borderId="0" xfId="0" applyFont="1"/>
    <xf numFmtId="2" fontId="0" fillId="0" borderId="0" xfId="0" applyNumberFormat="1"/>
    <xf numFmtId="164" fontId="5" fillId="0" borderId="0" xfId="0" applyNumberFormat="1" applyFont="1"/>
    <xf numFmtId="16" fontId="0" fillId="0" borderId="0" xfId="0" applyNumberFormat="1"/>
    <xf numFmtId="166" fontId="0" fillId="0" borderId="0" xfId="0" applyNumberFormat="1"/>
    <xf numFmtId="166" fontId="0" fillId="0" borderId="4" xfId="0" applyNumberFormat="1" applyBorder="1"/>
    <xf numFmtId="1" fontId="0" fillId="0" borderId="3" xfId="0" quotePrefix="1" applyNumberFormat="1" applyBorder="1"/>
    <xf numFmtId="1" fontId="0" fillId="0" borderId="7" xfId="0" quotePrefix="1" applyNumberFormat="1" applyBorder="1"/>
    <xf numFmtId="166" fontId="0" fillId="0" borderId="2" xfId="0" applyNumberFormat="1" applyBorder="1"/>
    <xf numFmtId="165" fontId="5" fillId="0" borderId="0" xfId="0" applyNumberFormat="1" applyFont="1"/>
    <xf numFmtId="165" fontId="0" fillId="0" borderId="0" xfId="0" applyNumberFormat="1"/>
    <xf numFmtId="164" fontId="0" fillId="0" borderId="0" xfId="0" quotePrefix="1" applyNumberFormat="1"/>
    <xf numFmtId="164" fontId="0" fillId="0" borderId="2" xfId="0" quotePrefix="1" applyNumberFormat="1" applyBorder="1"/>
    <xf numFmtId="164" fontId="0" fillId="0" borderId="1" xfId="0" applyNumberFormat="1" applyBorder="1"/>
    <xf numFmtId="164" fontId="0" fillId="0" borderId="6" xfId="0" applyNumberFormat="1" applyBorder="1"/>
    <xf numFmtId="0" fontId="0" fillId="0" borderId="6" xfId="0" applyBorder="1" applyAlignment="1">
      <alignment horizontal="left" vertical="top" wrapText="1"/>
    </xf>
    <xf numFmtId="0" fontId="5" fillId="0" borderId="1" xfId="0" applyFont="1" applyBorder="1"/>
    <xf numFmtId="0" fontId="5" fillId="0" borderId="1" xfId="0" applyFont="1" applyBorder="1" applyAlignment="1">
      <alignment horizontal="left" vertical="top" wrapText="1"/>
    </xf>
    <xf numFmtId="20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5" fillId="0" borderId="2" xfId="0" applyFont="1" applyBorder="1"/>
    <xf numFmtId="0" fontId="5" fillId="0" borderId="2" xfId="0" applyFont="1" applyBorder="1" applyAlignment="1">
      <alignment horizontal="left" vertical="top" wrapText="1"/>
    </xf>
    <xf numFmtId="20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3" xfId="0" applyFont="1" applyBorder="1"/>
    <xf numFmtId="49" fontId="0" fillId="0" borderId="3" xfId="0" applyNumberFormat="1" applyBorder="1"/>
    <xf numFmtId="0" fontId="5" fillId="0" borderId="5" xfId="0" applyFont="1" applyBorder="1"/>
    <xf numFmtId="20" fontId="0" fillId="0" borderId="6" xfId="0" applyNumberFormat="1" applyBorder="1" applyAlignment="1">
      <alignment horizontal="left" vertical="top" wrapText="1"/>
    </xf>
    <xf numFmtId="165" fontId="5" fillId="0" borderId="5" xfId="0" applyNumberFormat="1" applyFont="1" applyBorder="1"/>
    <xf numFmtId="20" fontId="0" fillId="0" borderId="5" xfId="0" applyNumberFormat="1" applyBorder="1" applyAlignment="1">
      <alignment horizontal="left" vertical="top" wrapText="1"/>
    </xf>
    <xf numFmtId="49" fontId="0" fillId="0" borderId="5" xfId="0" applyNumberFormat="1" applyBorder="1"/>
    <xf numFmtId="165" fontId="2" fillId="0" borderId="2" xfId="0" applyNumberFormat="1" applyFont="1" applyBorder="1"/>
    <xf numFmtId="165" fontId="7" fillId="0" borderId="5" xfId="0" applyNumberFormat="1" applyFont="1" applyBorder="1"/>
    <xf numFmtId="0" fontId="7" fillId="0" borderId="3" xfId="0" applyFont="1" applyBorder="1"/>
    <xf numFmtId="165" fontId="4" fillId="0" borderId="2" xfId="0" applyNumberFormat="1" applyFont="1" applyBorder="1"/>
    <xf numFmtId="165" fontId="4" fillId="0" borderId="5" xfId="0" applyNumberFormat="1" applyFont="1" applyBorder="1"/>
    <xf numFmtId="0" fontId="4" fillId="0" borderId="3" xfId="0" applyFont="1" applyBorder="1"/>
    <xf numFmtId="164" fontId="8" fillId="0" borderId="3" xfId="0" applyNumberFormat="1" applyFont="1" applyBorder="1"/>
    <xf numFmtId="164" fontId="5" fillId="0" borderId="3" xfId="0" applyNumberFormat="1" applyFont="1" applyBorder="1"/>
    <xf numFmtId="164" fontId="0" fillId="0" borderId="9" xfId="0" applyNumberFormat="1" applyBorder="1"/>
    <xf numFmtId="165" fontId="0" fillId="0" borderId="9" xfId="0" applyNumberFormat="1" applyBorder="1"/>
    <xf numFmtId="164" fontId="5" fillId="0" borderId="8" xfId="0" applyNumberFormat="1" applyFont="1" applyBorder="1"/>
    <xf numFmtId="164" fontId="1" fillId="0" borderId="3" xfId="0" applyNumberFormat="1" applyFont="1" applyBorder="1"/>
    <xf numFmtId="164" fontId="0" fillId="0" borderId="10" xfId="0" applyNumberFormat="1" applyBorder="1"/>
    <xf numFmtId="164" fontId="1" fillId="0" borderId="5" xfId="0" applyNumberFormat="1" applyFont="1" applyBorder="1"/>
    <xf numFmtId="164" fontId="5" fillId="0" borderId="11" xfId="0" applyNumberFormat="1" applyFont="1" applyBorder="1"/>
    <xf numFmtId="2" fontId="0" fillId="0" borderId="1" xfId="0" applyNumberFormat="1" applyBorder="1"/>
    <xf numFmtId="164" fontId="6" fillId="0" borderId="0" xfId="0" applyNumberFormat="1" applyFont="1"/>
    <xf numFmtId="14" fontId="5" fillId="0" borderId="2" xfId="0" applyNumberFormat="1" applyFont="1" applyBorder="1"/>
    <xf numFmtId="14" fontId="5" fillId="0" borderId="5" xfId="0" applyNumberFormat="1" applyFont="1" applyBorder="1"/>
    <xf numFmtId="14" fontId="0" fillId="0" borderId="2" xfId="0" applyNumberFormat="1" applyBorder="1"/>
    <xf numFmtId="1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997E-A789-48EC-802B-34FC6B26363C}">
  <dimension ref="A1:J4"/>
  <sheetViews>
    <sheetView workbookViewId="0">
      <selection activeCell="G39" sqref="G39"/>
    </sheetView>
  </sheetViews>
  <sheetFormatPr defaultColWidth="8.81640625" defaultRowHeight="14.5"/>
  <cols>
    <col min="4" max="4" width="8" customWidth="1"/>
    <col min="5" max="5" width="7.453125" customWidth="1"/>
    <col min="6" max="6" width="12" customWidth="1"/>
    <col min="7" max="7" width="30" customWidth="1"/>
    <col min="8" max="8" width="18.54296875" customWidth="1"/>
    <col min="9" max="9" width="52.453125" customWidth="1"/>
  </cols>
  <sheetData>
    <row r="1" spans="1:10" s="9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t="s">
        <v>10</v>
      </c>
      <c r="B2">
        <v>52</v>
      </c>
      <c r="C2" s="38">
        <v>1028</v>
      </c>
      <c r="D2">
        <f>eth_ON!C53</f>
        <v>460.6</v>
      </c>
      <c r="E2">
        <f>eth_OFF!C53</f>
        <v>459.3</v>
      </c>
      <c r="F2">
        <v>11.050000000000125</v>
      </c>
      <c r="G2" t="s">
        <v>11</v>
      </c>
      <c r="H2" t="s">
        <v>12</v>
      </c>
      <c r="J2" t="s">
        <v>13</v>
      </c>
    </row>
    <row r="3" spans="1:10">
      <c r="A3" t="s">
        <v>10</v>
      </c>
      <c r="B3">
        <v>11</v>
      </c>
      <c r="C3" s="38">
        <v>45964</v>
      </c>
      <c r="D3">
        <v>459.6</v>
      </c>
      <c r="E3">
        <v>466.5</v>
      </c>
      <c r="F3">
        <v>-6.8999999999999773</v>
      </c>
      <c r="G3" t="s">
        <v>14</v>
      </c>
      <c r="H3" t="s">
        <v>12</v>
      </c>
      <c r="I3" t="s">
        <v>15</v>
      </c>
      <c r="J3" t="s">
        <v>16</v>
      </c>
    </row>
    <row r="4" spans="1:10">
      <c r="A4" t="s">
        <v>19</v>
      </c>
      <c r="B4" t="s">
        <v>78</v>
      </c>
      <c r="C4">
        <v>56</v>
      </c>
      <c r="D4">
        <v>466.6</v>
      </c>
      <c r="E4">
        <v>455</v>
      </c>
      <c r="F4">
        <v>11.53</v>
      </c>
      <c r="G4" t="s">
        <v>79</v>
      </c>
      <c r="I4" t="s">
        <v>80</v>
      </c>
      <c r="J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D07B-532D-4FF6-A7CB-72C77E1DD8E6}">
  <dimension ref="A1:T23"/>
  <sheetViews>
    <sheetView tabSelected="1" workbookViewId="0">
      <pane xSplit="1" topLeftCell="B1" activePane="topRight" state="frozen"/>
      <selection pane="topRight" activeCell="B1" sqref="B1:T1"/>
    </sheetView>
  </sheetViews>
  <sheetFormatPr defaultColWidth="8.54296875" defaultRowHeight="14.5"/>
  <cols>
    <col min="1" max="1" width="22.1796875" style="4" customWidth="1"/>
    <col min="2" max="2" width="18.81640625" style="5" customWidth="1"/>
    <col min="3" max="3" width="14.26953125" style="5" customWidth="1"/>
    <col min="4" max="4" width="20.7265625" style="5" customWidth="1"/>
    <col min="5" max="5" width="23.81640625" style="5" customWidth="1"/>
    <col min="6" max="6" width="22.81640625" style="4" customWidth="1"/>
    <col min="7" max="7" width="20.1796875" style="5" customWidth="1"/>
    <col min="8" max="10" width="34.54296875" style="5" customWidth="1"/>
    <col min="11" max="11" width="34.54296875" style="4" customWidth="1"/>
    <col min="12" max="15" width="34.54296875" style="5" customWidth="1"/>
    <col min="16" max="16" width="34.54296875" style="4" customWidth="1"/>
    <col min="17" max="30" width="34.54296875" style="5" customWidth="1"/>
    <col min="31" max="16384" width="8.54296875" style="5"/>
  </cols>
  <sheetData>
    <row r="1" spans="1:20" s="3" customFormat="1">
      <c r="A1" s="68" t="s">
        <v>1</v>
      </c>
      <c r="B1" s="86">
        <v>45957</v>
      </c>
      <c r="C1" s="86">
        <v>45958</v>
      </c>
      <c r="D1" s="86">
        <v>45959</v>
      </c>
      <c r="E1" s="86">
        <v>45960</v>
      </c>
      <c r="F1" s="87">
        <v>45961</v>
      </c>
      <c r="G1" s="88">
        <v>45964</v>
      </c>
      <c r="H1" s="88">
        <v>45965</v>
      </c>
      <c r="I1" s="88">
        <v>45966</v>
      </c>
      <c r="J1" s="88">
        <v>45967</v>
      </c>
      <c r="K1" s="89">
        <v>45968</v>
      </c>
      <c r="L1" s="88">
        <v>45971</v>
      </c>
      <c r="M1" s="88">
        <v>45972</v>
      </c>
      <c r="N1" s="88">
        <v>45973</v>
      </c>
      <c r="O1" s="88">
        <v>45974</v>
      </c>
      <c r="P1" s="89">
        <v>45975</v>
      </c>
      <c r="Q1" s="88">
        <v>45978</v>
      </c>
      <c r="R1" s="88">
        <v>45979</v>
      </c>
      <c r="S1" s="88">
        <v>45980</v>
      </c>
      <c r="T1" s="88">
        <v>45981</v>
      </c>
    </row>
    <row r="2" spans="1:20">
      <c r="A2" s="4" t="s">
        <v>17</v>
      </c>
      <c r="B2" s="23" t="s">
        <v>18</v>
      </c>
      <c r="C2" s="23" t="s">
        <v>19</v>
      </c>
      <c r="D2" s="33" t="s">
        <v>18</v>
      </c>
      <c r="E2" s="23" t="s">
        <v>19</v>
      </c>
      <c r="F2" s="60" t="s">
        <v>18</v>
      </c>
      <c r="G2" s="23" t="s">
        <v>19</v>
      </c>
      <c r="H2" s="33" t="s">
        <v>18</v>
      </c>
      <c r="I2" s="23" t="s">
        <v>19</v>
      </c>
      <c r="J2" s="33" t="s">
        <v>18</v>
      </c>
      <c r="K2" s="62" t="s">
        <v>19</v>
      </c>
      <c r="L2" s="33" t="s">
        <v>18</v>
      </c>
      <c r="M2" s="23" t="s">
        <v>19</v>
      </c>
      <c r="N2" s="33" t="s">
        <v>20</v>
      </c>
      <c r="O2" s="23" t="s">
        <v>19</v>
      </c>
      <c r="P2" s="60" t="s">
        <v>20</v>
      </c>
      <c r="Q2" s="23" t="s">
        <v>19</v>
      </c>
      <c r="R2" s="33" t="s">
        <v>21</v>
      </c>
      <c r="S2" s="23" t="s">
        <v>19</v>
      </c>
      <c r="T2" s="33" t="s">
        <v>21</v>
      </c>
    </row>
    <row r="3" spans="1:20" s="59" customFormat="1">
      <c r="A3" s="55" t="s">
        <v>22</v>
      </c>
      <c r="B3" s="56" t="s">
        <v>19</v>
      </c>
      <c r="C3" s="56" t="s">
        <v>18</v>
      </c>
      <c r="D3" s="57" t="s">
        <v>19</v>
      </c>
      <c r="E3" s="56" t="s">
        <v>18</v>
      </c>
      <c r="F3" s="61" t="s">
        <v>19</v>
      </c>
      <c r="G3" s="56" t="s">
        <v>18</v>
      </c>
      <c r="H3" s="57" t="s">
        <v>19</v>
      </c>
      <c r="I3" s="56" t="s">
        <v>18</v>
      </c>
      <c r="J3" s="57" t="s">
        <v>19</v>
      </c>
      <c r="K3" s="64" t="s">
        <v>18</v>
      </c>
      <c r="L3" s="57" t="s">
        <v>19</v>
      </c>
      <c r="M3" s="56" t="s">
        <v>23</v>
      </c>
      <c r="N3" s="57" t="s">
        <v>19</v>
      </c>
      <c r="O3" s="56" t="s">
        <v>23</v>
      </c>
      <c r="P3" s="61" t="s">
        <v>19</v>
      </c>
      <c r="Q3" s="56" t="s">
        <v>21</v>
      </c>
      <c r="R3" s="57" t="s">
        <v>19</v>
      </c>
      <c r="S3" s="56" t="s">
        <v>21</v>
      </c>
      <c r="T3" s="57" t="s">
        <v>19</v>
      </c>
    </row>
    <row r="4" spans="1:20">
      <c r="A4" s="4" t="s">
        <v>24</v>
      </c>
      <c r="B4" s="23" t="s">
        <v>19</v>
      </c>
      <c r="C4" s="33" t="s">
        <v>18</v>
      </c>
      <c r="D4" s="23" t="s">
        <v>19</v>
      </c>
      <c r="E4" s="33" t="s">
        <v>18</v>
      </c>
      <c r="F4" s="62" t="s">
        <v>19</v>
      </c>
      <c r="G4" s="33" t="s">
        <v>18</v>
      </c>
      <c r="H4" s="23" t="s">
        <v>19</v>
      </c>
      <c r="I4" s="33" t="s">
        <v>18</v>
      </c>
      <c r="J4" s="23" t="s">
        <v>19</v>
      </c>
      <c r="K4" s="60" t="s">
        <v>18</v>
      </c>
      <c r="L4" s="23" t="s">
        <v>19</v>
      </c>
      <c r="M4" s="33" t="s">
        <v>18</v>
      </c>
      <c r="N4" s="23" t="s">
        <v>19</v>
      </c>
      <c r="O4" s="33" t="s">
        <v>23</v>
      </c>
      <c r="P4" s="62" t="s">
        <v>19</v>
      </c>
      <c r="Q4" s="62" t="s">
        <v>21</v>
      </c>
      <c r="R4" s="23" t="s">
        <v>19</v>
      </c>
      <c r="S4" s="33" t="s">
        <v>21</v>
      </c>
      <c r="T4" s="23" t="s">
        <v>19</v>
      </c>
    </row>
    <row r="5" spans="1:20">
      <c r="A5" s="4" t="s">
        <v>25</v>
      </c>
      <c r="B5" s="23" t="s">
        <v>18</v>
      </c>
      <c r="C5" s="33" t="s">
        <v>19</v>
      </c>
      <c r="D5" s="23" t="s">
        <v>18</v>
      </c>
      <c r="E5" s="33" t="s">
        <v>19</v>
      </c>
      <c r="F5" s="62" t="s">
        <v>18</v>
      </c>
      <c r="G5" s="33" t="s">
        <v>19</v>
      </c>
      <c r="H5" s="23" t="s">
        <v>18</v>
      </c>
      <c r="I5" s="33" t="s">
        <v>19</v>
      </c>
      <c r="J5" s="23" t="s">
        <v>18</v>
      </c>
      <c r="K5" s="60" t="s">
        <v>19</v>
      </c>
      <c r="L5" s="23" t="s">
        <v>20</v>
      </c>
      <c r="M5" s="33" t="s">
        <v>19</v>
      </c>
      <c r="N5" s="23" t="s">
        <v>20</v>
      </c>
      <c r="O5" s="33" t="s">
        <v>19</v>
      </c>
      <c r="P5" s="62" t="s">
        <v>20</v>
      </c>
      <c r="Q5" s="33" t="s">
        <v>19</v>
      </c>
      <c r="R5" s="23" t="s">
        <v>21</v>
      </c>
      <c r="S5" s="33" t="s">
        <v>19</v>
      </c>
      <c r="T5" s="23" t="s">
        <v>21</v>
      </c>
    </row>
    <row r="6" spans="1:20" s="54" customFormat="1">
      <c r="A6" s="50" t="s">
        <v>26</v>
      </c>
      <c r="B6" s="51" t="s">
        <v>27</v>
      </c>
      <c r="C6" s="51" t="s">
        <v>28</v>
      </c>
      <c r="D6" s="52" t="s">
        <v>29</v>
      </c>
      <c r="E6" s="53" t="s">
        <v>30</v>
      </c>
      <c r="F6" s="50" t="s">
        <v>31</v>
      </c>
      <c r="G6" s="54" t="s">
        <v>32</v>
      </c>
      <c r="H6" s="53" t="s">
        <v>33</v>
      </c>
      <c r="I6" s="54" t="s">
        <v>34</v>
      </c>
      <c r="J6" s="54" t="s">
        <v>35</v>
      </c>
      <c r="K6" s="65" t="s">
        <v>36</v>
      </c>
      <c r="L6" s="54" t="s">
        <v>37</v>
      </c>
      <c r="M6" s="54" t="s">
        <v>38</v>
      </c>
      <c r="N6" s="54" t="s">
        <v>39</v>
      </c>
      <c r="O6" s="53" t="s">
        <v>40</v>
      </c>
      <c r="P6" s="50" t="s">
        <v>41</v>
      </c>
      <c r="R6" s="53"/>
      <c r="S6" s="53" t="s">
        <v>42</v>
      </c>
      <c r="T6" s="54" t="s">
        <v>43</v>
      </c>
    </row>
    <row r="7" spans="1:20" s="59" customFormat="1">
      <c r="A7" s="55" t="s">
        <v>44</v>
      </c>
      <c r="B7" s="56" t="s">
        <v>45</v>
      </c>
      <c r="C7" s="56" t="s">
        <v>46</v>
      </c>
      <c r="D7" s="57" t="s">
        <v>47</v>
      </c>
      <c r="E7" s="58" t="s">
        <v>48</v>
      </c>
      <c r="F7" s="67" t="s">
        <v>49</v>
      </c>
      <c r="G7" s="59" t="s">
        <v>50</v>
      </c>
      <c r="H7" s="58" t="s">
        <v>51</v>
      </c>
      <c r="I7" s="58" t="s">
        <v>52</v>
      </c>
      <c r="J7" s="59" t="s">
        <v>53</v>
      </c>
      <c r="K7" s="55" t="s">
        <v>54</v>
      </c>
      <c r="L7" s="59" t="s">
        <v>55</v>
      </c>
      <c r="M7" s="59" t="s">
        <v>56</v>
      </c>
      <c r="N7" s="59" t="s">
        <v>57</v>
      </c>
      <c r="O7" s="59" t="s">
        <v>58</v>
      </c>
      <c r="P7" s="55" t="s">
        <v>59</v>
      </c>
      <c r="S7" s="58" t="s">
        <v>60</v>
      </c>
      <c r="T7" s="59" t="s">
        <v>59</v>
      </c>
    </row>
    <row r="8" spans="1:20" ht="43.5">
      <c r="A8" s="4" t="s">
        <v>61</v>
      </c>
      <c r="E8" s="5" t="s">
        <v>62</v>
      </c>
      <c r="G8" s="5" t="s">
        <v>63</v>
      </c>
      <c r="I8" s="5" t="s">
        <v>64</v>
      </c>
      <c r="L8" s="5" t="s">
        <v>65</v>
      </c>
    </row>
    <row r="9" spans="1:20" ht="203">
      <c r="F9" s="4" t="s">
        <v>66</v>
      </c>
      <c r="G9" s="5" t="s">
        <v>65</v>
      </c>
      <c r="K9" s="4" t="s">
        <v>67</v>
      </c>
      <c r="L9" s="5" t="s">
        <v>68</v>
      </c>
      <c r="M9" s="5" t="s">
        <v>69</v>
      </c>
      <c r="N9" s="5" t="s">
        <v>68</v>
      </c>
      <c r="O9" s="5" t="s">
        <v>69</v>
      </c>
      <c r="P9" s="4" t="s">
        <v>68</v>
      </c>
      <c r="Q9" s="5" t="s">
        <v>70</v>
      </c>
      <c r="S9" s="5" t="s">
        <v>70</v>
      </c>
    </row>
    <row r="23" spans="1:16" s="8" customFormat="1">
      <c r="A23" s="63"/>
      <c r="F23" s="63"/>
      <c r="K23" s="63"/>
      <c r="P23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B7FA-FE03-4F68-AA5C-62CD670E190F}">
  <dimension ref="A1:AJ63"/>
  <sheetViews>
    <sheetView topLeftCell="A43" workbookViewId="0">
      <selection activeCell="W7" sqref="W7"/>
    </sheetView>
  </sheetViews>
  <sheetFormatPr defaultColWidth="7.453125" defaultRowHeight="14.5"/>
  <cols>
    <col min="1" max="1" width="7.453125" style="16" customWidth="1"/>
    <col min="2" max="3" width="7.453125" style="35" customWidth="1"/>
    <col min="4" max="4" width="7.453125" customWidth="1"/>
    <col min="5" max="5" width="7.453125" style="35" customWidth="1"/>
    <col min="6" max="6" width="7.453125" style="71" customWidth="1"/>
    <col min="7" max="8" width="7.453125" style="35" customWidth="1"/>
    <col min="9" max="9" width="7.453125" customWidth="1"/>
    <col min="10" max="10" width="7.453125" style="35" customWidth="1"/>
    <col min="11" max="11" width="7.453125" style="71" customWidth="1"/>
    <col min="12" max="13" width="7.453125" style="22" customWidth="1"/>
    <col min="14" max="14" width="7.453125" style="10" customWidth="1"/>
    <col min="15" max="15" width="7.453125" style="22" customWidth="1"/>
    <col min="16" max="16" width="7.453125" style="74" customWidth="1"/>
    <col min="17" max="18" width="7.453125" style="22" customWidth="1"/>
    <col min="19" max="19" width="7.453125" customWidth="1"/>
    <col min="20" max="22" width="7.453125" style="22" customWidth="1"/>
    <col min="23" max="23" width="7.453125" style="10" customWidth="1"/>
    <col min="24" max="25" width="7.453125" style="22" customWidth="1"/>
    <col min="26" max="26" width="7.453125" style="10" customWidth="1"/>
    <col min="27" max="28" width="7.453125" style="22" customWidth="1"/>
    <col min="29" max="29" width="7.453125" style="10" customWidth="1"/>
    <col min="30" max="31" width="7.453125" style="22" customWidth="1"/>
    <col min="32" max="32" width="7.453125" style="10" customWidth="1"/>
    <col min="33" max="33" width="7.453125" style="22" customWidth="1"/>
    <col min="34" max="36" width="7.453125" customWidth="1"/>
  </cols>
  <sheetData>
    <row r="1" spans="1:36" s="3" customFormat="1">
      <c r="A1" s="3" t="s">
        <v>1</v>
      </c>
      <c r="B1" s="34">
        <v>45959</v>
      </c>
      <c r="C1" s="34">
        <v>45959</v>
      </c>
      <c r="D1" s="32">
        <v>45959</v>
      </c>
      <c r="E1" s="34">
        <v>45959</v>
      </c>
      <c r="F1" s="70">
        <v>45959</v>
      </c>
      <c r="G1" s="34">
        <v>45966</v>
      </c>
      <c r="H1" s="34">
        <v>45966</v>
      </c>
      <c r="I1" s="30">
        <v>45966</v>
      </c>
      <c r="J1" s="34">
        <v>45966</v>
      </c>
      <c r="K1" s="70">
        <v>45966</v>
      </c>
      <c r="L1" s="72">
        <v>45973</v>
      </c>
      <c r="M1" s="72">
        <v>45973</v>
      </c>
      <c r="N1" s="69">
        <v>45973</v>
      </c>
      <c r="O1" s="72">
        <v>45973</v>
      </c>
      <c r="P1" s="73">
        <v>45973</v>
      </c>
      <c r="Q1" s="72">
        <v>45980</v>
      </c>
      <c r="R1" s="72">
        <v>45980</v>
      </c>
      <c r="S1" s="30">
        <v>45980</v>
      </c>
      <c r="T1" s="72">
        <v>45980</v>
      </c>
    </row>
    <row r="2" spans="1:36">
      <c r="A2" s="18">
        <v>1</v>
      </c>
      <c r="B2" s="35">
        <v>288</v>
      </c>
      <c r="C2" s="35">
        <v>288</v>
      </c>
      <c r="D2">
        <v>288</v>
      </c>
      <c r="E2" s="35">
        <v>288</v>
      </c>
      <c r="F2" s="71">
        <v>288</v>
      </c>
      <c r="G2" s="35">
        <v>279</v>
      </c>
      <c r="H2" s="35">
        <v>279</v>
      </c>
      <c r="I2">
        <v>279</v>
      </c>
      <c r="J2" s="35">
        <v>279</v>
      </c>
      <c r="K2" s="71">
        <v>279</v>
      </c>
      <c r="L2" s="22">
        <v>286</v>
      </c>
      <c r="M2" s="22">
        <v>286</v>
      </c>
      <c r="N2" s="10">
        <v>286</v>
      </c>
      <c r="O2" s="22">
        <v>286</v>
      </c>
      <c r="P2" s="74">
        <v>286</v>
      </c>
      <c r="Q2" s="22">
        <v>288</v>
      </c>
      <c r="R2" s="22">
        <v>288</v>
      </c>
      <c r="S2">
        <v>288</v>
      </c>
      <c r="T2" s="22">
        <v>288</v>
      </c>
      <c r="AH2" s="22"/>
      <c r="AJ2" s="22"/>
    </row>
    <row r="3" spans="1:36">
      <c r="A3" s="18">
        <v>2</v>
      </c>
      <c r="B3" s="35">
        <v>182</v>
      </c>
      <c r="C3" s="35">
        <v>182</v>
      </c>
      <c r="D3">
        <v>182</v>
      </c>
      <c r="E3" s="35">
        <v>182</v>
      </c>
      <c r="F3" s="71">
        <v>182</v>
      </c>
      <c r="G3" s="35">
        <v>180</v>
      </c>
      <c r="H3" s="35">
        <v>180</v>
      </c>
      <c r="I3">
        <v>180</v>
      </c>
      <c r="J3" s="35">
        <v>180</v>
      </c>
      <c r="K3" s="71">
        <v>180</v>
      </c>
      <c r="L3" s="22">
        <v>187</v>
      </c>
      <c r="M3" s="22">
        <v>187</v>
      </c>
      <c r="N3" s="10">
        <v>187</v>
      </c>
      <c r="O3" s="22">
        <v>187</v>
      </c>
      <c r="P3" s="74">
        <v>187</v>
      </c>
      <c r="Q3" s="22">
        <v>181</v>
      </c>
      <c r="R3" s="22">
        <v>181</v>
      </c>
      <c r="S3">
        <v>181</v>
      </c>
      <c r="T3" s="22">
        <v>181</v>
      </c>
      <c r="AH3" s="22"/>
      <c r="AJ3" s="22"/>
    </row>
    <row r="4" spans="1:36">
      <c r="A4" s="18">
        <v>3</v>
      </c>
      <c r="B4" s="35">
        <v>584</v>
      </c>
      <c r="C4" s="35">
        <v>584</v>
      </c>
      <c r="D4">
        <v>584</v>
      </c>
      <c r="E4" s="35">
        <v>584</v>
      </c>
      <c r="F4" s="71">
        <v>584</v>
      </c>
      <c r="G4" s="35">
        <v>590</v>
      </c>
      <c r="H4" s="35">
        <v>590</v>
      </c>
      <c r="I4">
        <v>590</v>
      </c>
      <c r="J4" s="35">
        <v>590</v>
      </c>
      <c r="K4" s="71">
        <v>590</v>
      </c>
      <c r="L4" s="22">
        <v>597</v>
      </c>
      <c r="M4" s="22">
        <v>597</v>
      </c>
      <c r="N4" s="10">
        <v>597</v>
      </c>
      <c r="O4" s="22">
        <v>597</v>
      </c>
      <c r="P4" s="74">
        <v>597</v>
      </c>
      <c r="Q4" s="22">
        <v>594</v>
      </c>
      <c r="R4" s="22">
        <v>594</v>
      </c>
      <c r="S4">
        <v>594</v>
      </c>
      <c r="T4" s="22">
        <v>594</v>
      </c>
      <c r="AH4" s="22"/>
      <c r="AJ4" s="22"/>
    </row>
    <row r="5" spans="1:36">
      <c r="A5" s="18">
        <v>4</v>
      </c>
      <c r="B5" s="35">
        <v>316</v>
      </c>
      <c r="C5" s="35">
        <v>316</v>
      </c>
      <c r="D5">
        <v>316</v>
      </c>
      <c r="E5" s="35">
        <v>316</v>
      </c>
      <c r="F5" s="71">
        <v>316</v>
      </c>
      <c r="G5" s="35">
        <v>315</v>
      </c>
      <c r="H5" s="35">
        <v>315</v>
      </c>
      <c r="I5">
        <v>315</v>
      </c>
      <c r="J5" s="35">
        <v>315</v>
      </c>
      <c r="K5" s="71">
        <v>315</v>
      </c>
      <c r="L5" s="22">
        <v>315</v>
      </c>
      <c r="M5" s="22">
        <v>315</v>
      </c>
      <c r="N5" s="10">
        <v>315</v>
      </c>
      <c r="O5" s="22">
        <v>315</v>
      </c>
      <c r="P5" s="74">
        <v>315</v>
      </c>
      <c r="Q5" s="22">
        <v>319</v>
      </c>
      <c r="R5" s="22">
        <v>319</v>
      </c>
      <c r="S5">
        <v>319</v>
      </c>
      <c r="T5" s="22">
        <v>319</v>
      </c>
      <c r="AH5" s="22"/>
      <c r="AJ5" s="22"/>
    </row>
    <row r="6" spans="1:36">
      <c r="A6" s="18">
        <v>5</v>
      </c>
      <c r="B6" s="35">
        <v>613</v>
      </c>
      <c r="C6" s="35">
        <v>613</v>
      </c>
      <c r="D6">
        <v>613</v>
      </c>
      <c r="E6" s="35">
        <v>613</v>
      </c>
      <c r="F6" s="71">
        <v>613</v>
      </c>
      <c r="G6" s="35">
        <v>622</v>
      </c>
      <c r="H6" s="35">
        <v>622</v>
      </c>
      <c r="I6">
        <v>622</v>
      </c>
      <c r="J6" s="35">
        <v>622</v>
      </c>
      <c r="K6" s="71">
        <v>622</v>
      </c>
      <c r="L6" s="22">
        <v>635</v>
      </c>
      <c r="M6" s="22">
        <v>635</v>
      </c>
      <c r="N6" s="10">
        <v>635</v>
      </c>
      <c r="O6" s="22">
        <v>635</v>
      </c>
      <c r="P6" s="74">
        <v>635</v>
      </c>
      <c r="Q6" s="22">
        <v>643</v>
      </c>
      <c r="R6" s="22">
        <v>643</v>
      </c>
      <c r="S6">
        <v>643</v>
      </c>
      <c r="T6" s="22">
        <v>643</v>
      </c>
      <c r="AH6" s="22"/>
      <c r="AJ6" s="22"/>
    </row>
    <row r="7" spans="1:36">
      <c r="A7" s="18">
        <v>6</v>
      </c>
      <c r="B7" s="35">
        <v>452</v>
      </c>
      <c r="C7" s="35">
        <v>452</v>
      </c>
      <c r="D7">
        <v>452</v>
      </c>
      <c r="E7" s="35">
        <v>452</v>
      </c>
      <c r="F7" s="71">
        <v>452</v>
      </c>
      <c r="G7" s="35">
        <v>457</v>
      </c>
      <c r="H7" s="35">
        <v>457</v>
      </c>
      <c r="I7">
        <v>457</v>
      </c>
      <c r="J7" s="35">
        <v>457</v>
      </c>
      <c r="K7" s="71">
        <v>457</v>
      </c>
      <c r="L7" s="22">
        <v>465</v>
      </c>
      <c r="M7" s="22">
        <v>465</v>
      </c>
      <c r="N7" s="10">
        <v>465</v>
      </c>
      <c r="O7" s="22">
        <v>465</v>
      </c>
      <c r="P7" s="74">
        <v>465</v>
      </c>
      <c r="Q7" s="22">
        <v>470</v>
      </c>
      <c r="R7" s="22">
        <v>470</v>
      </c>
      <c r="S7">
        <v>470</v>
      </c>
      <c r="T7" s="22">
        <v>470</v>
      </c>
      <c r="AH7" s="22"/>
      <c r="AJ7" s="22"/>
    </row>
    <row r="8" spans="1:36">
      <c r="A8" s="18">
        <v>7</v>
      </c>
      <c r="B8" s="35">
        <v>295</v>
      </c>
      <c r="C8" s="35">
        <v>295</v>
      </c>
      <c r="D8">
        <v>295</v>
      </c>
      <c r="E8" s="35">
        <v>295</v>
      </c>
      <c r="F8" s="71">
        <v>295</v>
      </c>
      <c r="G8" s="35">
        <v>294</v>
      </c>
      <c r="H8" s="35">
        <v>294</v>
      </c>
      <c r="I8">
        <v>294</v>
      </c>
      <c r="J8" s="35">
        <v>294</v>
      </c>
      <c r="K8" s="71">
        <v>294</v>
      </c>
      <c r="L8" s="22">
        <v>303</v>
      </c>
      <c r="M8" s="22">
        <v>303</v>
      </c>
      <c r="N8" s="10">
        <v>303</v>
      </c>
      <c r="O8" s="22">
        <v>303</v>
      </c>
      <c r="P8" s="74">
        <v>303</v>
      </c>
      <c r="Q8" s="22">
        <v>306</v>
      </c>
      <c r="R8" s="22">
        <v>306</v>
      </c>
      <c r="S8">
        <v>306</v>
      </c>
      <c r="T8" s="22">
        <v>306</v>
      </c>
      <c r="AH8" s="22"/>
      <c r="AJ8" s="22"/>
    </row>
    <row r="9" spans="1:36">
      <c r="A9" s="18">
        <v>8</v>
      </c>
      <c r="B9" s="35">
        <v>552</v>
      </c>
      <c r="C9" s="35">
        <v>552</v>
      </c>
      <c r="D9">
        <v>552</v>
      </c>
      <c r="E9" s="35">
        <v>552</v>
      </c>
      <c r="F9" s="71">
        <v>552</v>
      </c>
      <c r="G9" s="35">
        <v>562</v>
      </c>
      <c r="H9" s="35">
        <v>562</v>
      </c>
      <c r="I9">
        <v>562</v>
      </c>
      <c r="J9" s="35">
        <v>562</v>
      </c>
      <c r="K9" s="71">
        <v>562</v>
      </c>
      <c r="L9" s="22">
        <v>562</v>
      </c>
      <c r="M9" s="22">
        <v>562</v>
      </c>
      <c r="N9" s="10">
        <v>562</v>
      </c>
      <c r="O9" s="22">
        <v>562</v>
      </c>
      <c r="P9" s="74">
        <v>562</v>
      </c>
      <c r="Q9" s="22">
        <v>563</v>
      </c>
      <c r="R9" s="22">
        <v>563</v>
      </c>
      <c r="S9">
        <v>563</v>
      </c>
      <c r="T9" s="22">
        <v>563</v>
      </c>
      <c r="AH9" s="22"/>
      <c r="AJ9" s="22"/>
    </row>
    <row r="10" spans="1:36">
      <c r="A10" s="18">
        <v>9</v>
      </c>
      <c r="B10" s="35">
        <v>430</v>
      </c>
      <c r="C10" s="35">
        <v>430</v>
      </c>
      <c r="D10">
        <v>430</v>
      </c>
      <c r="E10" s="35">
        <v>430</v>
      </c>
      <c r="F10" s="71">
        <v>430</v>
      </c>
      <c r="G10" s="35">
        <v>454</v>
      </c>
      <c r="H10" s="35">
        <v>454</v>
      </c>
      <c r="I10">
        <v>454</v>
      </c>
      <c r="J10" s="35">
        <v>454</v>
      </c>
      <c r="K10" s="71">
        <v>454</v>
      </c>
      <c r="L10" s="22">
        <v>445</v>
      </c>
      <c r="M10" s="22">
        <v>445</v>
      </c>
      <c r="N10" s="10">
        <v>445</v>
      </c>
      <c r="O10" s="22">
        <v>445</v>
      </c>
      <c r="P10" s="74">
        <v>445</v>
      </c>
      <c r="Q10" s="22">
        <v>451</v>
      </c>
      <c r="R10" s="22">
        <v>451</v>
      </c>
      <c r="S10">
        <v>451</v>
      </c>
      <c r="T10" s="22">
        <v>451</v>
      </c>
      <c r="AH10" s="22"/>
      <c r="AJ10" s="22"/>
    </row>
    <row r="11" spans="1:36">
      <c r="A11" s="18">
        <v>10</v>
      </c>
      <c r="B11" s="35">
        <v>571</v>
      </c>
      <c r="C11" s="35">
        <v>571</v>
      </c>
      <c r="D11">
        <v>571</v>
      </c>
      <c r="E11" s="35">
        <v>571</v>
      </c>
      <c r="F11" s="71">
        <v>571</v>
      </c>
      <c r="G11" s="35">
        <v>581</v>
      </c>
      <c r="H11" s="35">
        <v>581</v>
      </c>
      <c r="I11">
        <v>581</v>
      </c>
      <c r="J11" s="35">
        <v>581</v>
      </c>
      <c r="K11" s="71">
        <v>581</v>
      </c>
      <c r="L11" s="22">
        <v>580</v>
      </c>
      <c r="M11" s="22">
        <v>580</v>
      </c>
      <c r="N11" s="10">
        <v>580</v>
      </c>
      <c r="O11" s="22">
        <v>580</v>
      </c>
      <c r="P11" s="74">
        <v>580</v>
      </c>
      <c r="Q11" s="22">
        <v>588</v>
      </c>
      <c r="R11" s="22">
        <v>588</v>
      </c>
      <c r="S11">
        <v>588</v>
      </c>
      <c r="T11" s="22">
        <v>588</v>
      </c>
      <c r="AH11" s="22"/>
      <c r="AJ11" s="22"/>
    </row>
    <row r="12" spans="1:36">
      <c r="A12" s="18">
        <v>11</v>
      </c>
      <c r="B12" s="35">
        <v>178</v>
      </c>
      <c r="C12" s="35">
        <v>178</v>
      </c>
      <c r="D12">
        <v>178</v>
      </c>
      <c r="E12" s="35">
        <v>178</v>
      </c>
      <c r="F12" s="71">
        <v>178</v>
      </c>
      <c r="G12" s="35">
        <v>174</v>
      </c>
      <c r="H12" s="35">
        <v>174</v>
      </c>
      <c r="I12">
        <v>174</v>
      </c>
      <c r="J12" s="35">
        <v>174</v>
      </c>
      <c r="K12" s="71">
        <v>174</v>
      </c>
      <c r="L12" s="22">
        <v>176</v>
      </c>
      <c r="M12" s="22">
        <v>176</v>
      </c>
      <c r="N12" s="10">
        <v>176</v>
      </c>
      <c r="O12" s="22">
        <v>176</v>
      </c>
      <c r="P12" s="74">
        <v>176</v>
      </c>
      <c r="Q12" s="22">
        <v>176</v>
      </c>
      <c r="R12" s="22">
        <v>176</v>
      </c>
      <c r="S12">
        <v>176</v>
      </c>
      <c r="T12" s="22">
        <v>176</v>
      </c>
      <c r="AH12" s="22"/>
      <c r="AJ12" s="22"/>
    </row>
    <row r="13" spans="1:36">
      <c r="A13" s="18">
        <v>12</v>
      </c>
      <c r="B13" s="35">
        <v>323</v>
      </c>
      <c r="C13" s="35">
        <v>323</v>
      </c>
      <c r="D13">
        <v>323</v>
      </c>
      <c r="E13" s="35">
        <v>323</v>
      </c>
      <c r="F13" s="71">
        <v>323</v>
      </c>
      <c r="G13" s="35">
        <v>318</v>
      </c>
      <c r="H13" s="35">
        <v>318</v>
      </c>
      <c r="I13">
        <v>318</v>
      </c>
      <c r="J13" s="35">
        <v>318</v>
      </c>
      <c r="K13" s="71">
        <v>318</v>
      </c>
      <c r="L13" s="22">
        <v>319</v>
      </c>
      <c r="M13" s="22">
        <v>319</v>
      </c>
      <c r="N13" s="10">
        <v>319</v>
      </c>
      <c r="O13" s="22">
        <v>319</v>
      </c>
      <c r="P13" s="74">
        <v>319</v>
      </c>
      <c r="Q13" s="22">
        <v>322</v>
      </c>
      <c r="R13" s="22">
        <v>322</v>
      </c>
      <c r="S13">
        <v>322</v>
      </c>
      <c r="T13" s="22">
        <v>322</v>
      </c>
      <c r="AH13" s="22"/>
      <c r="AJ13" s="22"/>
    </row>
    <row r="14" spans="1:36">
      <c r="A14" s="18">
        <v>13</v>
      </c>
      <c r="B14" s="35">
        <v>306</v>
      </c>
      <c r="C14" s="35">
        <v>306</v>
      </c>
      <c r="D14">
        <v>306</v>
      </c>
      <c r="E14" s="35">
        <v>306</v>
      </c>
      <c r="F14" s="71">
        <v>306</v>
      </c>
      <c r="G14" s="35">
        <v>308</v>
      </c>
      <c r="H14" s="35">
        <v>308</v>
      </c>
      <c r="I14">
        <v>308</v>
      </c>
      <c r="J14" s="35">
        <v>308</v>
      </c>
      <c r="K14" s="71">
        <v>308</v>
      </c>
      <c r="L14" s="22">
        <v>309</v>
      </c>
      <c r="M14" s="22">
        <v>309</v>
      </c>
      <c r="N14" s="10">
        <v>309</v>
      </c>
      <c r="O14" s="22">
        <v>309</v>
      </c>
      <c r="P14" s="74">
        <v>309</v>
      </c>
      <c r="Q14" s="22">
        <v>307</v>
      </c>
      <c r="R14" s="22">
        <v>307</v>
      </c>
      <c r="S14">
        <v>307</v>
      </c>
      <c r="T14" s="22">
        <v>307</v>
      </c>
      <c r="AH14" s="22"/>
      <c r="AJ14" s="22"/>
    </row>
    <row r="15" spans="1:36">
      <c r="A15" s="18">
        <v>14</v>
      </c>
      <c r="B15" s="35">
        <v>195</v>
      </c>
      <c r="C15" s="35">
        <v>195</v>
      </c>
      <c r="D15">
        <v>195</v>
      </c>
      <c r="E15" s="35">
        <v>195</v>
      </c>
      <c r="F15" s="71">
        <v>195</v>
      </c>
      <c r="G15" s="35">
        <v>194</v>
      </c>
      <c r="H15" s="35">
        <v>194</v>
      </c>
      <c r="I15">
        <v>194</v>
      </c>
      <c r="J15" s="35">
        <v>194</v>
      </c>
      <c r="K15" s="71">
        <v>194</v>
      </c>
      <c r="L15" s="22">
        <v>198</v>
      </c>
      <c r="M15" s="22">
        <v>198</v>
      </c>
      <c r="N15" s="10">
        <v>198</v>
      </c>
      <c r="O15" s="22">
        <v>198</v>
      </c>
      <c r="P15" s="74">
        <v>198</v>
      </c>
      <c r="Q15" s="22">
        <v>197</v>
      </c>
      <c r="R15" s="22">
        <v>197</v>
      </c>
      <c r="S15">
        <v>197</v>
      </c>
      <c r="T15" s="22">
        <v>197</v>
      </c>
      <c r="AH15" s="22"/>
      <c r="AJ15" s="22"/>
    </row>
    <row r="16" spans="1:36">
      <c r="A16" s="18">
        <v>15</v>
      </c>
      <c r="B16" s="35">
        <v>646</v>
      </c>
      <c r="C16" s="35">
        <v>646</v>
      </c>
      <c r="D16">
        <v>646</v>
      </c>
      <c r="E16" s="35">
        <v>646</v>
      </c>
      <c r="F16" s="71">
        <v>646</v>
      </c>
      <c r="G16" s="35">
        <v>654</v>
      </c>
      <c r="H16" s="35">
        <v>654</v>
      </c>
      <c r="I16">
        <v>654</v>
      </c>
      <c r="J16" s="35">
        <v>654</v>
      </c>
      <c r="K16" s="71">
        <v>654</v>
      </c>
      <c r="L16" s="22">
        <v>670</v>
      </c>
      <c r="M16" s="22">
        <v>670</v>
      </c>
      <c r="N16" s="10">
        <v>670</v>
      </c>
      <c r="O16" s="22">
        <v>670</v>
      </c>
      <c r="P16" s="74">
        <v>670</v>
      </c>
      <c r="Q16" s="22">
        <v>666</v>
      </c>
      <c r="R16" s="22">
        <v>666</v>
      </c>
      <c r="S16">
        <v>666</v>
      </c>
      <c r="T16" s="22">
        <v>666</v>
      </c>
      <c r="AH16" s="22"/>
      <c r="AJ16" s="22"/>
    </row>
    <row r="17" spans="1:36">
      <c r="A17" s="18">
        <v>16</v>
      </c>
      <c r="B17" s="35">
        <v>495</v>
      </c>
      <c r="C17" s="35">
        <v>495</v>
      </c>
      <c r="D17">
        <v>495</v>
      </c>
      <c r="E17" s="35">
        <v>495</v>
      </c>
      <c r="F17" s="71">
        <v>495</v>
      </c>
      <c r="G17" s="35">
        <v>508</v>
      </c>
      <c r="H17" s="35">
        <v>508</v>
      </c>
      <c r="I17">
        <v>508</v>
      </c>
      <c r="J17" s="35">
        <v>508</v>
      </c>
      <c r="K17" s="71">
        <v>508</v>
      </c>
      <c r="L17" s="22">
        <v>508</v>
      </c>
      <c r="M17" s="22">
        <v>508</v>
      </c>
      <c r="N17" s="10">
        <v>508</v>
      </c>
      <c r="O17" s="22">
        <v>508</v>
      </c>
      <c r="P17" s="74">
        <v>508</v>
      </c>
      <c r="Q17" s="22">
        <v>511</v>
      </c>
      <c r="R17" s="22">
        <v>511</v>
      </c>
      <c r="S17">
        <v>511</v>
      </c>
      <c r="T17" s="22">
        <v>511</v>
      </c>
      <c r="AH17" s="22"/>
      <c r="AJ17" s="22"/>
    </row>
    <row r="18" spans="1:36">
      <c r="A18" s="18">
        <v>17</v>
      </c>
      <c r="B18" s="35">
        <v>540</v>
      </c>
      <c r="C18" s="35">
        <v>540</v>
      </c>
      <c r="D18">
        <v>540</v>
      </c>
      <c r="E18" s="35">
        <v>540</v>
      </c>
      <c r="F18" s="71">
        <v>540</v>
      </c>
      <c r="G18" s="35">
        <v>546</v>
      </c>
      <c r="H18" s="35">
        <v>546</v>
      </c>
      <c r="I18">
        <v>546</v>
      </c>
      <c r="J18" s="35">
        <v>546</v>
      </c>
      <c r="K18" s="71">
        <v>546</v>
      </c>
      <c r="L18" s="22">
        <v>551</v>
      </c>
      <c r="M18" s="22">
        <v>551</v>
      </c>
      <c r="N18" s="10">
        <v>551</v>
      </c>
      <c r="O18" s="22">
        <v>551</v>
      </c>
      <c r="P18" s="74">
        <v>551</v>
      </c>
      <c r="Q18" s="22">
        <v>558</v>
      </c>
      <c r="R18" s="22">
        <v>558</v>
      </c>
      <c r="S18">
        <v>558</v>
      </c>
      <c r="T18" s="22">
        <v>558</v>
      </c>
      <c r="AH18" s="22"/>
      <c r="AJ18" s="22"/>
    </row>
    <row r="19" spans="1:36">
      <c r="A19" s="18">
        <v>18</v>
      </c>
      <c r="B19" s="35">
        <v>303</v>
      </c>
      <c r="C19" s="35">
        <v>303</v>
      </c>
      <c r="D19">
        <v>303</v>
      </c>
      <c r="E19" s="35">
        <v>303</v>
      </c>
      <c r="F19" s="71">
        <v>303</v>
      </c>
      <c r="G19" s="35">
        <v>302</v>
      </c>
      <c r="H19" s="35">
        <v>302</v>
      </c>
      <c r="I19">
        <v>302</v>
      </c>
      <c r="J19" s="35">
        <v>302</v>
      </c>
      <c r="K19" s="71">
        <v>302</v>
      </c>
      <c r="L19" s="22">
        <v>302</v>
      </c>
      <c r="M19" s="22">
        <v>302</v>
      </c>
      <c r="N19" s="10">
        <v>302</v>
      </c>
      <c r="O19" s="22">
        <v>302</v>
      </c>
      <c r="P19" s="74">
        <v>302</v>
      </c>
      <c r="Q19" s="22">
        <v>308</v>
      </c>
      <c r="R19" s="22">
        <v>308</v>
      </c>
      <c r="S19">
        <v>308</v>
      </c>
      <c r="T19" s="22">
        <v>308</v>
      </c>
      <c r="AH19" s="22"/>
      <c r="AJ19" s="22"/>
    </row>
    <row r="20" spans="1:36">
      <c r="A20" s="18">
        <v>19</v>
      </c>
      <c r="B20" s="35">
        <v>431</v>
      </c>
      <c r="C20" s="35">
        <v>431</v>
      </c>
      <c r="D20">
        <v>431</v>
      </c>
      <c r="E20" s="35">
        <v>431</v>
      </c>
      <c r="F20" s="71">
        <v>431</v>
      </c>
      <c r="G20" s="35">
        <v>415</v>
      </c>
      <c r="H20" s="35">
        <v>415</v>
      </c>
      <c r="I20">
        <v>415</v>
      </c>
      <c r="J20" s="35">
        <v>415</v>
      </c>
      <c r="K20" s="71">
        <v>415</v>
      </c>
      <c r="L20" s="22">
        <v>423</v>
      </c>
      <c r="M20" s="22">
        <v>423</v>
      </c>
      <c r="N20" s="10">
        <v>423</v>
      </c>
      <c r="O20" s="22">
        <v>423</v>
      </c>
      <c r="P20" s="74">
        <v>423</v>
      </c>
      <c r="Q20" s="22">
        <v>444</v>
      </c>
      <c r="R20" s="22">
        <v>444</v>
      </c>
      <c r="S20">
        <v>444</v>
      </c>
      <c r="T20" s="22">
        <v>444</v>
      </c>
      <c r="AH20" s="22"/>
      <c r="AJ20" s="22"/>
    </row>
    <row r="21" spans="1:36">
      <c r="A21" s="18">
        <v>20</v>
      </c>
      <c r="B21" s="35">
        <v>575</v>
      </c>
      <c r="C21" s="35">
        <v>575</v>
      </c>
      <c r="D21">
        <v>575</v>
      </c>
      <c r="E21" s="35">
        <v>575</v>
      </c>
      <c r="F21" s="71">
        <v>575</v>
      </c>
      <c r="G21" s="35">
        <v>587</v>
      </c>
      <c r="H21" s="35">
        <v>587</v>
      </c>
      <c r="I21">
        <v>587</v>
      </c>
      <c r="J21" s="35">
        <v>587</v>
      </c>
      <c r="K21" s="71">
        <v>587</v>
      </c>
      <c r="L21" s="22">
        <v>597</v>
      </c>
      <c r="M21" s="22">
        <v>597</v>
      </c>
      <c r="N21" s="10">
        <v>597</v>
      </c>
      <c r="O21" s="22">
        <v>597</v>
      </c>
      <c r="P21" s="74">
        <v>597</v>
      </c>
      <c r="Q21" s="22">
        <v>606</v>
      </c>
      <c r="R21" s="22">
        <v>606</v>
      </c>
      <c r="S21">
        <v>606</v>
      </c>
      <c r="T21" s="22">
        <v>606</v>
      </c>
      <c r="AH21" s="22"/>
      <c r="AJ21" s="22"/>
    </row>
    <row r="22" spans="1:36">
      <c r="A22" s="18">
        <v>21</v>
      </c>
      <c r="B22" s="35">
        <v>187</v>
      </c>
      <c r="C22" s="35">
        <v>187</v>
      </c>
      <c r="D22">
        <v>187</v>
      </c>
      <c r="E22" s="35">
        <v>187</v>
      </c>
      <c r="F22" s="71">
        <v>187</v>
      </c>
      <c r="G22" s="35">
        <v>183</v>
      </c>
      <c r="H22" s="35">
        <v>183</v>
      </c>
      <c r="I22">
        <v>183</v>
      </c>
      <c r="J22" s="35">
        <v>183</v>
      </c>
      <c r="K22" s="71">
        <v>183</v>
      </c>
      <c r="L22" s="22">
        <v>190</v>
      </c>
      <c r="M22" s="22">
        <v>190</v>
      </c>
      <c r="N22" s="10">
        <v>190</v>
      </c>
      <c r="O22" s="22">
        <v>190</v>
      </c>
      <c r="P22" s="74">
        <v>190</v>
      </c>
      <c r="Q22" s="22">
        <v>187</v>
      </c>
      <c r="R22" s="22">
        <v>187</v>
      </c>
      <c r="S22">
        <v>187</v>
      </c>
      <c r="T22" s="22">
        <v>187</v>
      </c>
      <c r="AH22" s="22"/>
      <c r="AJ22" s="22"/>
    </row>
    <row r="23" spans="1:36">
      <c r="A23" s="18">
        <v>22</v>
      </c>
      <c r="B23" s="35">
        <v>304</v>
      </c>
      <c r="C23" s="35">
        <v>304</v>
      </c>
      <c r="D23">
        <v>304</v>
      </c>
      <c r="E23" s="35">
        <v>304</v>
      </c>
      <c r="F23" s="71">
        <v>304</v>
      </c>
      <c r="G23" s="35">
        <v>305</v>
      </c>
      <c r="H23" s="35">
        <v>305</v>
      </c>
      <c r="I23">
        <v>305</v>
      </c>
      <c r="J23" s="35">
        <v>305</v>
      </c>
      <c r="K23" s="71">
        <v>305</v>
      </c>
      <c r="L23" s="22">
        <v>303</v>
      </c>
      <c r="M23" s="22">
        <v>303</v>
      </c>
      <c r="N23" s="10">
        <v>303</v>
      </c>
      <c r="O23" s="22">
        <v>303</v>
      </c>
      <c r="P23" s="74">
        <v>303</v>
      </c>
      <c r="Q23" s="22">
        <v>311</v>
      </c>
      <c r="R23" s="22">
        <v>311</v>
      </c>
      <c r="S23">
        <v>311</v>
      </c>
      <c r="T23" s="22">
        <v>311</v>
      </c>
      <c r="AH23" s="22"/>
      <c r="AJ23" s="22"/>
    </row>
    <row r="24" spans="1:36">
      <c r="A24" s="18">
        <v>23</v>
      </c>
      <c r="B24" s="35">
        <v>292</v>
      </c>
      <c r="C24" s="35">
        <v>292</v>
      </c>
      <c r="D24">
        <v>292</v>
      </c>
      <c r="E24" s="35">
        <v>292</v>
      </c>
      <c r="F24" s="71">
        <v>292</v>
      </c>
      <c r="G24" s="35">
        <v>289</v>
      </c>
      <c r="H24" s="35">
        <v>289</v>
      </c>
      <c r="I24">
        <v>289</v>
      </c>
      <c r="J24" s="35">
        <v>289</v>
      </c>
      <c r="K24" s="71">
        <v>289</v>
      </c>
      <c r="L24" s="22">
        <v>295</v>
      </c>
      <c r="M24" s="22">
        <v>295</v>
      </c>
      <c r="N24" s="10">
        <v>295</v>
      </c>
      <c r="O24" s="22">
        <v>295</v>
      </c>
      <c r="P24" s="74">
        <v>295</v>
      </c>
      <c r="Q24" s="22">
        <v>302</v>
      </c>
      <c r="R24" s="22">
        <v>302</v>
      </c>
      <c r="S24">
        <v>302</v>
      </c>
      <c r="T24" s="22">
        <v>302</v>
      </c>
      <c r="AH24" s="22"/>
      <c r="AJ24" s="22"/>
    </row>
    <row r="25" spans="1:36">
      <c r="A25" s="18">
        <v>24</v>
      </c>
      <c r="B25" s="35">
        <v>572</v>
      </c>
      <c r="C25" s="35">
        <v>572</v>
      </c>
      <c r="D25">
        <v>572</v>
      </c>
      <c r="E25" s="35">
        <v>572</v>
      </c>
      <c r="F25" s="71">
        <v>572</v>
      </c>
      <c r="G25" s="35">
        <v>580</v>
      </c>
      <c r="H25" s="35">
        <v>580</v>
      </c>
      <c r="I25">
        <v>580</v>
      </c>
      <c r="J25" s="35">
        <v>580</v>
      </c>
      <c r="K25" s="71">
        <v>580</v>
      </c>
      <c r="L25" s="22">
        <v>581</v>
      </c>
      <c r="M25" s="22">
        <v>581</v>
      </c>
      <c r="N25" s="10">
        <v>581</v>
      </c>
      <c r="O25" s="22">
        <v>581</v>
      </c>
      <c r="P25" s="74">
        <v>581</v>
      </c>
      <c r="Q25" s="22">
        <v>590</v>
      </c>
      <c r="R25" s="22">
        <v>590</v>
      </c>
      <c r="S25">
        <v>590</v>
      </c>
      <c r="T25" s="22">
        <v>590</v>
      </c>
      <c r="AH25" s="22"/>
      <c r="AJ25" s="22"/>
    </row>
    <row r="26" spans="1:36">
      <c r="A26" s="18">
        <v>25</v>
      </c>
      <c r="B26" s="35">
        <v>569</v>
      </c>
      <c r="C26" s="35">
        <v>569</v>
      </c>
      <c r="D26">
        <v>569</v>
      </c>
      <c r="E26" s="35">
        <v>569</v>
      </c>
      <c r="F26" s="71">
        <v>569</v>
      </c>
      <c r="G26" s="35">
        <v>565</v>
      </c>
      <c r="H26" s="35">
        <v>565</v>
      </c>
      <c r="I26">
        <v>565</v>
      </c>
      <c r="J26" s="35">
        <v>565</v>
      </c>
      <c r="K26" s="71">
        <v>565</v>
      </c>
      <c r="L26" s="22">
        <v>563</v>
      </c>
      <c r="M26" s="22">
        <v>563</v>
      </c>
      <c r="N26" s="10">
        <v>563</v>
      </c>
      <c r="O26" s="22">
        <v>563</v>
      </c>
      <c r="P26" s="74">
        <v>563</v>
      </c>
      <c r="Q26" s="22">
        <v>571</v>
      </c>
      <c r="R26" s="22">
        <v>571</v>
      </c>
      <c r="S26">
        <v>571</v>
      </c>
      <c r="T26" s="22">
        <v>571</v>
      </c>
      <c r="AH26" s="22"/>
      <c r="AJ26" s="22"/>
    </row>
    <row r="27" spans="1:36">
      <c r="A27" s="18">
        <v>26</v>
      </c>
      <c r="B27" s="35">
        <v>307</v>
      </c>
      <c r="C27" s="35">
        <v>307</v>
      </c>
      <c r="D27">
        <v>307</v>
      </c>
      <c r="E27" s="35">
        <v>307</v>
      </c>
      <c r="F27" s="71">
        <v>307</v>
      </c>
      <c r="G27" s="35">
        <v>303</v>
      </c>
      <c r="H27" s="35">
        <v>303</v>
      </c>
      <c r="I27">
        <v>303</v>
      </c>
      <c r="J27" s="35">
        <v>303</v>
      </c>
      <c r="K27" s="71">
        <v>303</v>
      </c>
      <c r="L27" s="22">
        <v>301</v>
      </c>
      <c r="M27" s="22">
        <v>301</v>
      </c>
      <c r="N27" s="10">
        <v>301</v>
      </c>
      <c r="O27" s="22">
        <v>301</v>
      </c>
      <c r="P27" s="74">
        <v>301</v>
      </c>
      <c r="Q27" s="22">
        <v>305</v>
      </c>
      <c r="R27" s="22">
        <v>305</v>
      </c>
      <c r="S27">
        <v>305</v>
      </c>
      <c r="T27" s="22">
        <v>305</v>
      </c>
      <c r="AH27" s="22"/>
      <c r="AJ27" s="22"/>
    </row>
    <row r="28" spans="1:36">
      <c r="A28" s="18">
        <v>27</v>
      </c>
      <c r="B28" s="35">
        <v>311</v>
      </c>
      <c r="C28" s="35">
        <v>311</v>
      </c>
      <c r="D28">
        <v>311</v>
      </c>
      <c r="E28" s="35">
        <v>311</v>
      </c>
      <c r="F28" s="71">
        <v>311</v>
      </c>
      <c r="G28" s="35">
        <v>310</v>
      </c>
      <c r="H28" s="35">
        <v>310</v>
      </c>
      <c r="I28">
        <v>310</v>
      </c>
      <c r="J28" s="35">
        <v>310</v>
      </c>
      <c r="K28" s="71">
        <v>310</v>
      </c>
      <c r="L28" s="22">
        <v>319</v>
      </c>
      <c r="M28" s="22">
        <v>319</v>
      </c>
      <c r="N28" s="10">
        <v>319</v>
      </c>
      <c r="O28" s="22">
        <v>319</v>
      </c>
      <c r="P28" s="74">
        <v>319</v>
      </c>
      <c r="Q28" s="22">
        <v>324</v>
      </c>
      <c r="R28" s="22">
        <v>324</v>
      </c>
      <c r="S28">
        <v>324</v>
      </c>
      <c r="T28" s="22">
        <v>324</v>
      </c>
      <c r="AH28" s="22"/>
      <c r="AJ28" s="22"/>
    </row>
    <row r="29" spans="1:36">
      <c r="A29" s="18">
        <v>28</v>
      </c>
      <c r="B29" s="35">
        <v>181</v>
      </c>
      <c r="C29" s="35">
        <v>181</v>
      </c>
      <c r="D29">
        <v>181</v>
      </c>
      <c r="E29" s="35">
        <v>181</v>
      </c>
      <c r="F29" s="71">
        <v>181</v>
      </c>
      <c r="G29" s="35">
        <v>177</v>
      </c>
      <c r="H29" s="35">
        <v>177</v>
      </c>
      <c r="I29">
        <v>177</v>
      </c>
      <c r="J29" s="35">
        <v>177</v>
      </c>
      <c r="K29" s="71">
        <v>177</v>
      </c>
      <c r="L29" s="22">
        <v>180</v>
      </c>
      <c r="M29" s="22">
        <v>180</v>
      </c>
      <c r="N29" s="10">
        <v>180</v>
      </c>
      <c r="O29" s="22">
        <v>180</v>
      </c>
      <c r="P29" s="74">
        <v>180</v>
      </c>
      <c r="Q29" s="22">
        <v>183</v>
      </c>
      <c r="R29" s="22">
        <v>183</v>
      </c>
      <c r="S29">
        <v>183</v>
      </c>
      <c r="T29" s="22">
        <v>183</v>
      </c>
      <c r="AH29" s="22"/>
      <c r="AJ29" s="22"/>
    </row>
    <row r="30" spans="1:36">
      <c r="A30" s="18">
        <v>29</v>
      </c>
      <c r="B30" s="35">
        <v>597</v>
      </c>
      <c r="C30" s="35">
        <v>597</v>
      </c>
      <c r="D30">
        <v>597</v>
      </c>
      <c r="E30" s="35">
        <v>597</v>
      </c>
      <c r="F30" s="71">
        <v>597</v>
      </c>
      <c r="G30" s="35">
        <v>609</v>
      </c>
      <c r="H30" s="35">
        <v>609</v>
      </c>
      <c r="I30">
        <v>609</v>
      </c>
      <c r="J30" s="35">
        <v>609</v>
      </c>
      <c r="K30" s="71">
        <v>609</v>
      </c>
      <c r="L30" s="22">
        <v>614</v>
      </c>
      <c r="M30" s="22">
        <v>614</v>
      </c>
      <c r="N30" s="10">
        <v>614</v>
      </c>
      <c r="O30" s="22">
        <v>614</v>
      </c>
      <c r="P30" s="74">
        <v>614</v>
      </c>
      <c r="Q30" s="22">
        <v>622</v>
      </c>
      <c r="R30" s="22">
        <v>622</v>
      </c>
      <c r="S30">
        <v>622</v>
      </c>
      <c r="T30" s="22">
        <v>622</v>
      </c>
      <c r="AH30" s="22"/>
      <c r="AJ30" s="22"/>
    </row>
    <row r="31" spans="1:36">
      <c r="A31" s="18">
        <v>30</v>
      </c>
      <c r="B31" s="35">
        <v>363</v>
      </c>
      <c r="C31" s="35">
        <v>363</v>
      </c>
      <c r="D31">
        <v>363</v>
      </c>
      <c r="E31" s="35">
        <v>363</v>
      </c>
      <c r="F31" s="71">
        <v>363</v>
      </c>
      <c r="G31" s="35">
        <v>380</v>
      </c>
      <c r="H31" s="35">
        <v>380</v>
      </c>
      <c r="I31">
        <v>380</v>
      </c>
      <c r="J31" s="35">
        <v>380</v>
      </c>
      <c r="K31" s="71">
        <v>380</v>
      </c>
      <c r="L31" s="22">
        <v>401</v>
      </c>
      <c r="M31" s="22">
        <v>401</v>
      </c>
      <c r="N31" s="10">
        <v>401</v>
      </c>
      <c r="O31" s="22">
        <v>401</v>
      </c>
      <c r="P31" s="74">
        <v>401</v>
      </c>
      <c r="Q31" s="22">
        <v>404</v>
      </c>
      <c r="R31" s="22">
        <v>404</v>
      </c>
      <c r="S31">
        <v>404</v>
      </c>
      <c r="T31" s="22">
        <v>404</v>
      </c>
      <c r="AH31" s="22"/>
      <c r="AJ31" s="22"/>
    </row>
    <row r="32" spans="1:36">
      <c r="A32" s="18">
        <v>31</v>
      </c>
      <c r="B32" s="35">
        <v>420</v>
      </c>
      <c r="C32" s="35">
        <v>420</v>
      </c>
      <c r="D32">
        <v>420</v>
      </c>
      <c r="E32" s="35">
        <v>420</v>
      </c>
      <c r="F32" s="71">
        <v>420</v>
      </c>
      <c r="G32" s="35">
        <v>423</v>
      </c>
      <c r="H32" s="35">
        <v>423</v>
      </c>
      <c r="I32">
        <v>423</v>
      </c>
      <c r="J32" s="35">
        <v>423</v>
      </c>
      <c r="K32" s="71">
        <v>423</v>
      </c>
      <c r="L32" s="22">
        <v>445</v>
      </c>
      <c r="M32" s="22">
        <v>445</v>
      </c>
      <c r="N32" s="10">
        <v>445</v>
      </c>
      <c r="O32" s="22">
        <v>445</v>
      </c>
      <c r="P32" s="74">
        <v>445</v>
      </c>
      <c r="Q32" s="22">
        <v>450</v>
      </c>
      <c r="R32" s="22">
        <v>450</v>
      </c>
      <c r="S32">
        <v>450</v>
      </c>
      <c r="T32" s="22">
        <v>450</v>
      </c>
      <c r="AH32" s="22"/>
      <c r="AJ32" s="22"/>
    </row>
    <row r="33" spans="1:36">
      <c r="A33" s="18">
        <v>32</v>
      </c>
      <c r="B33" s="35">
        <v>740</v>
      </c>
      <c r="C33" s="35">
        <v>740</v>
      </c>
      <c r="D33">
        <v>740</v>
      </c>
      <c r="E33" s="35">
        <v>740</v>
      </c>
      <c r="F33" s="71">
        <v>740</v>
      </c>
      <c r="G33" s="35">
        <v>747</v>
      </c>
      <c r="H33" s="35">
        <v>747</v>
      </c>
      <c r="I33">
        <v>747</v>
      </c>
      <c r="J33" s="35">
        <v>747</v>
      </c>
      <c r="K33" s="71">
        <v>747</v>
      </c>
      <c r="L33" s="22">
        <v>753</v>
      </c>
      <c r="M33" s="22">
        <v>753</v>
      </c>
      <c r="N33" s="10">
        <v>753</v>
      </c>
      <c r="O33" s="22">
        <v>753</v>
      </c>
      <c r="P33" s="74">
        <v>753</v>
      </c>
      <c r="Q33" s="22">
        <v>761</v>
      </c>
      <c r="R33" s="22">
        <v>761</v>
      </c>
      <c r="S33">
        <v>761</v>
      </c>
      <c r="T33" s="22">
        <v>761</v>
      </c>
      <c r="AH33" s="22"/>
      <c r="AJ33" s="22"/>
    </row>
    <row r="34" spans="1:36">
      <c r="A34" s="18">
        <v>33</v>
      </c>
      <c r="B34" s="35">
        <v>309</v>
      </c>
      <c r="C34" s="35">
        <v>309</v>
      </c>
      <c r="D34">
        <v>309</v>
      </c>
      <c r="E34" s="35">
        <v>309</v>
      </c>
      <c r="F34" s="71">
        <v>309</v>
      </c>
      <c r="G34" s="35">
        <v>304</v>
      </c>
      <c r="H34" s="35">
        <v>304</v>
      </c>
      <c r="I34">
        <v>304</v>
      </c>
      <c r="J34" s="35">
        <v>304</v>
      </c>
      <c r="K34" s="71">
        <v>304</v>
      </c>
      <c r="L34" s="22">
        <v>308</v>
      </c>
      <c r="M34" s="22">
        <v>308</v>
      </c>
      <c r="N34" s="10">
        <v>308</v>
      </c>
      <c r="O34" s="22">
        <v>308</v>
      </c>
      <c r="P34" s="74">
        <v>308</v>
      </c>
      <c r="Q34" s="22">
        <v>308</v>
      </c>
      <c r="R34" s="22">
        <v>308</v>
      </c>
      <c r="S34">
        <v>308</v>
      </c>
      <c r="T34" s="22">
        <v>308</v>
      </c>
      <c r="AH34" s="22"/>
      <c r="AJ34" s="22"/>
    </row>
    <row r="35" spans="1:36">
      <c r="A35" s="18">
        <v>34</v>
      </c>
      <c r="B35" s="35">
        <v>555</v>
      </c>
      <c r="C35" s="35">
        <v>555</v>
      </c>
      <c r="D35">
        <v>555</v>
      </c>
      <c r="E35" s="35">
        <v>555</v>
      </c>
      <c r="F35" s="71">
        <v>555</v>
      </c>
      <c r="G35" s="35">
        <v>558</v>
      </c>
      <c r="H35" s="35">
        <v>558</v>
      </c>
      <c r="I35">
        <v>558</v>
      </c>
      <c r="J35" s="35">
        <v>558</v>
      </c>
      <c r="K35" s="71">
        <v>558</v>
      </c>
      <c r="L35" s="22">
        <v>565</v>
      </c>
      <c r="M35" s="22">
        <v>565</v>
      </c>
      <c r="N35" s="10">
        <v>565</v>
      </c>
      <c r="O35" s="22">
        <v>565</v>
      </c>
      <c r="P35" s="74">
        <v>565</v>
      </c>
      <c r="Q35" s="22">
        <v>567</v>
      </c>
      <c r="R35" s="22">
        <v>567</v>
      </c>
      <c r="S35">
        <v>567</v>
      </c>
      <c r="T35" s="22">
        <v>567</v>
      </c>
      <c r="AH35" s="22"/>
      <c r="AJ35" s="22"/>
    </row>
    <row r="36" spans="1:36">
      <c r="A36" s="18">
        <v>35</v>
      </c>
      <c r="B36" s="35">
        <v>185</v>
      </c>
      <c r="C36" s="35">
        <v>185</v>
      </c>
      <c r="D36">
        <v>185</v>
      </c>
      <c r="E36" s="35">
        <v>185</v>
      </c>
      <c r="F36" s="71">
        <v>185</v>
      </c>
      <c r="G36" s="35">
        <v>182</v>
      </c>
      <c r="H36" s="35">
        <v>182</v>
      </c>
      <c r="I36">
        <v>182</v>
      </c>
      <c r="J36" s="35">
        <v>182</v>
      </c>
      <c r="K36" s="71">
        <v>182</v>
      </c>
      <c r="L36" s="22">
        <v>187</v>
      </c>
      <c r="M36" s="22">
        <v>187</v>
      </c>
      <c r="N36" s="10">
        <v>187</v>
      </c>
      <c r="O36" s="22">
        <v>187</v>
      </c>
      <c r="P36" s="74">
        <v>187</v>
      </c>
      <c r="Q36" s="22">
        <v>182</v>
      </c>
      <c r="R36" s="22">
        <v>182</v>
      </c>
      <c r="S36">
        <v>182</v>
      </c>
      <c r="T36" s="22">
        <v>182</v>
      </c>
      <c r="AH36" s="22"/>
      <c r="AJ36" s="22"/>
    </row>
    <row r="37" spans="1:36">
      <c r="A37" s="18">
        <v>36</v>
      </c>
      <c r="B37" s="35">
        <v>306</v>
      </c>
      <c r="C37" s="35">
        <v>306</v>
      </c>
      <c r="D37">
        <v>306</v>
      </c>
      <c r="E37" s="35">
        <v>306</v>
      </c>
      <c r="F37" s="71">
        <v>306</v>
      </c>
      <c r="G37" s="35">
        <v>295</v>
      </c>
      <c r="H37" s="35">
        <v>295</v>
      </c>
      <c r="I37">
        <v>295</v>
      </c>
      <c r="J37" s="35">
        <v>295</v>
      </c>
      <c r="K37" s="71">
        <v>295</v>
      </c>
      <c r="L37" s="22">
        <v>296</v>
      </c>
      <c r="M37" s="22">
        <v>296</v>
      </c>
      <c r="N37" s="10">
        <v>296</v>
      </c>
      <c r="O37" s="22">
        <v>296</v>
      </c>
      <c r="P37" s="74">
        <v>296</v>
      </c>
      <c r="Q37" s="22">
        <v>304</v>
      </c>
      <c r="R37" s="22">
        <v>304</v>
      </c>
      <c r="S37">
        <v>304</v>
      </c>
      <c r="T37" s="22">
        <v>304</v>
      </c>
      <c r="AH37" s="22"/>
      <c r="AJ37" s="22"/>
    </row>
    <row r="38" spans="1:36">
      <c r="A38" s="18">
        <v>37</v>
      </c>
      <c r="B38" s="35">
        <v>560</v>
      </c>
      <c r="C38" s="35">
        <v>560</v>
      </c>
      <c r="D38">
        <v>560</v>
      </c>
      <c r="E38" s="35">
        <v>560</v>
      </c>
      <c r="F38" s="71">
        <v>560</v>
      </c>
      <c r="G38" s="35">
        <v>567</v>
      </c>
      <c r="H38" s="35">
        <v>567</v>
      </c>
      <c r="I38">
        <v>567</v>
      </c>
      <c r="J38" s="35">
        <v>567</v>
      </c>
      <c r="K38" s="71">
        <v>567</v>
      </c>
      <c r="L38" s="22">
        <v>565</v>
      </c>
      <c r="M38" s="22">
        <v>565</v>
      </c>
      <c r="N38" s="10">
        <v>565</v>
      </c>
      <c r="O38" s="22">
        <v>565</v>
      </c>
      <c r="P38" s="74">
        <v>565</v>
      </c>
      <c r="Q38" s="22">
        <v>576</v>
      </c>
      <c r="R38" s="22">
        <v>576</v>
      </c>
      <c r="S38">
        <v>576</v>
      </c>
      <c r="T38" s="22">
        <v>576</v>
      </c>
      <c r="AH38" s="22"/>
      <c r="AJ38" s="22"/>
    </row>
    <row r="39" spans="1:36">
      <c r="A39" s="18">
        <v>38</v>
      </c>
      <c r="B39" s="35">
        <v>305</v>
      </c>
      <c r="C39" s="35">
        <v>305</v>
      </c>
      <c r="D39">
        <v>305</v>
      </c>
      <c r="E39" s="35">
        <v>305</v>
      </c>
      <c r="F39" s="71">
        <v>305</v>
      </c>
      <c r="G39" s="35">
        <v>307</v>
      </c>
      <c r="H39" s="35">
        <v>307</v>
      </c>
      <c r="I39">
        <v>307</v>
      </c>
      <c r="J39" s="35">
        <v>307</v>
      </c>
      <c r="K39" s="71">
        <v>307</v>
      </c>
      <c r="L39" s="22">
        <v>308</v>
      </c>
      <c r="M39" s="22">
        <v>308</v>
      </c>
      <c r="N39" s="10">
        <v>308</v>
      </c>
      <c r="O39" s="22">
        <v>308</v>
      </c>
      <c r="P39" s="74">
        <v>308</v>
      </c>
      <c r="Q39" s="22">
        <v>312</v>
      </c>
      <c r="R39" s="22">
        <v>312</v>
      </c>
      <c r="S39">
        <v>312</v>
      </c>
      <c r="T39" s="22">
        <v>312</v>
      </c>
      <c r="AH39" s="22"/>
      <c r="AJ39" s="22"/>
    </row>
    <row r="40" spans="1:36">
      <c r="A40" s="18">
        <v>39</v>
      </c>
      <c r="B40" s="35">
        <v>644</v>
      </c>
      <c r="C40" s="35">
        <v>644</v>
      </c>
      <c r="D40">
        <v>644</v>
      </c>
      <c r="E40" s="35">
        <v>644</v>
      </c>
      <c r="F40" s="71">
        <v>644</v>
      </c>
      <c r="G40" s="35">
        <v>656</v>
      </c>
      <c r="H40" s="35">
        <v>656</v>
      </c>
      <c r="I40">
        <v>656</v>
      </c>
      <c r="J40" s="35">
        <v>656</v>
      </c>
      <c r="K40" s="71">
        <v>656</v>
      </c>
      <c r="L40" s="22">
        <v>665</v>
      </c>
      <c r="M40" s="22">
        <v>665</v>
      </c>
      <c r="N40" s="10">
        <v>665</v>
      </c>
      <c r="O40" s="22">
        <v>665</v>
      </c>
      <c r="P40" s="74">
        <v>665</v>
      </c>
      <c r="Q40" s="22">
        <v>666</v>
      </c>
      <c r="R40" s="22">
        <v>666</v>
      </c>
      <c r="S40">
        <v>666</v>
      </c>
      <c r="T40" s="22">
        <v>666</v>
      </c>
      <c r="AH40" s="22"/>
      <c r="AJ40" s="22"/>
    </row>
    <row r="41" spans="1:36">
      <c r="A41" s="18">
        <v>40</v>
      </c>
      <c r="B41" s="35">
        <v>392</v>
      </c>
      <c r="C41" s="35">
        <v>392</v>
      </c>
      <c r="D41">
        <v>392</v>
      </c>
      <c r="E41" s="35">
        <v>392</v>
      </c>
      <c r="F41" s="71">
        <v>392</v>
      </c>
      <c r="G41" s="35">
        <v>384</v>
      </c>
      <c r="H41" s="35">
        <v>384</v>
      </c>
      <c r="I41">
        <v>384</v>
      </c>
      <c r="J41" s="35">
        <v>384</v>
      </c>
      <c r="K41" s="71">
        <v>384</v>
      </c>
      <c r="L41" s="22">
        <v>401</v>
      </c>
      <c r="M41" s="22">
        <v>401</v>
      </c>
      <c r="N41" s="10">
        <v>401</v>
      </c>
      <c r="O41" s="22">
        <v>401</v>
      </c>
      <c r="P41" s="74">
        <v>401</v>
      </c>
      <c r="Q41" s="22">
        <v>404</v>
      </c>
      <c r="R41" s="22">
        <v>404</v>
      </c>
      <c r="S41">
        <v>404</v>
      </c>
      <c r="T41" s="22">
        <v>404</v>
      </c>
      <c r="AH41" s="22"/>
      <c r="AJ41" s="22"/>
    </row>
    <row r="42" spans="1:36">
      <c r="A42" s="18">
        <v>41</v>
      </c>
      <c r="B42" s="35">
        <v>335</v>
      </c>
      <c r="C42" s="35">
        <v>335</v>
      </c>
      <c r="D42">
        <v>335</v>
      </c>
      <c r="E42" s="35">
        <v>335</v>
      </c>
      <c r="F42" s="71">
        <v>335</v>
      </c>
      <c r="G42" s="35">
        <v>335</v>
      </c>
      <c r="H42" s="35">
        <v>335</v>
      </c>
      <c r="I42">
        <v>335</v>
      </c>
      <c r="J42" s="35">
        <v>335</v>
      </c>
      <c r="K42" s="71">
        <v>335</v>
      </c>
      <c r="L42" s="22">
        <v>335</v>
      </c>
      <c r="M42" s="22">
        <v>335</v>
      </c>
      <c r="N42" s="10">
        <v>335</v>
      </c>
      <c r="O42" s="22">
        <v>335</v>
      </c>
      <c r="P42" s="74">
        <v>335</v>
      </c>
      <c r="Q42" s="22">
        <v>340</v>
      </c>
      <c r="R42" s="22">
        <v>340</v>
      </c>
      <c r="S42">
        <v>340</v>
      </c>
      <c r="T42" s="22">
        <v>340</v>
      </c>
      <c r="AH42" s="22"/>
      <c r="AJ42" s="22"/>
    </row>
    <row r="43" spans="1:36">
      <c r="A43" s="18">
        <v>42</v>
      </c>
      <c r="B43" s="35">
        <v>177</v>
      </c>
      <c r="C43" s="35">
        <v>177</v>
      </c>
      <c r="D43">
        <v>177</v>
      </c>
      <c r="E43" s="35">
        <v>177</v>
      </c>
      <c r="F43" s="71">
        <v>177</v>
      </c>
      <c r="G43" s="35">
        <v>176</v>
      </c>
      <c r="H43" s="35">
        <v>176</v>
      </c>
      <c r="I43">
        <v>176</v>
      </c>
      <c r="J43" s="35">
        <v>176</v>
      </c>
      <c r="K43" s="71">
        <v>176</v>
      </c>
      <c r="L43" s="22">
        <v>177</v>
      </c>
      <c r="M43" s="22">
        <v>177</v>
      </c>
      <c r="N43" s="10">
        <v>177</v>
      </c>
      <c r="O43" s="22">
        <v>177</v>
      </c>
      <c r="P43" s="74">
        <v>177</v>
      </c>
      <c r="Q43" s="22">
        <v>177</v>
      </c>
      <c r="R43" s="22">
        <v>177</v>
      </c>
      <c r="S43">
        <v>177</v>
      </c>
      <c r="T43" s="22">
        <v>177</v>
      </c>
      <c r="AH43" s="22"/>
      <c r="AJ43" s="22"/>
    </row>
    <row r="44" spans="1:36">
      <c r="A44" s="18">
        <v>43</v>
      </c>
      <c r="B44" s="35">
        <v>180</v>
      </c>
      <c r="C44" s="35">
        <v>180</v>
      </c>
      <c r="D44">
        <v>180</v>
      </c>
      <c r="E44" s="35">
        <v>180</v>
      </c>
      <c r="F44" s="71">
        <v>180</v>
      </c>
      <c r="G44" s="35">
        <v>180</v>
      </c>
      <c r="H44" s="35">
        <v>180</v>
      </c>
      <c r="I44">
        <v>180</v>
      </c>
      <c r="J44" s="35">
        <v>180</v>
      </c>
      <c r="K44" s="71">
        <v>180</v>
      </c>
      <c r="L44" s="22">
        <v>184</v>
      </c>
      <c r="M44" s="22">
        <v>184</v>
      </c>
      <c r="N44" s="10">
        <v>184</v>
      </c>
      <c r="O44" s="22">
        <v>184</v>
      </c>
      <c r="P44" s="74">
        <v>184</v>
      </c>
      <c r="Q44" s="22">
        <v>184</v>
      </c>
      <c r="R44" s="22">
        <v>184</v>
      </c>
      <c r="S44">
        <v>184</v>
      </c>
      <c r="T44" s="22">
        <v>184</v>
      </c>
      <c r="AH44" s="22"/>
      <c r="AJ44" s="22"/>
    </row>
    <row r="45" spans="1:36">
      <c r="A45" s="18">
        <v>44</v>
      </c>
      <c r="B45" s="35">
        <v>305</v>
      </c>
      <c r="C45" s="35">
        <v>305</v>
      </c>
      <c r="D45">
        <v>305</v>
      </c>
      <c r="E45" s="35">
        <v>305</v>
      </c>
      <c r="F45" s="71">
        <v>305</v>
      </c>
      <c r="G45" s="35">
        <v>305</v>
      </c>
      <c r="H45" s="35">
        <v>305</v>
      </c>
      <c r="I45">
        <v>305</v>
      </c>
      <c r="J45" s="35">
        <v>305</v>
      </c>
      <c r="K45" s="71">
        <v>305</v>
      </c>
      <c r="L45" s="22">
        <v>306</v>
      </c>
      <c r="M45" s="22">
        <v>306</v>
      </c>
      <c r="N45" s="10">
        <v>306</v>
      </c>
      <c r="O45" s="22">
        <v>306</v>
      </c>
      <c r="P45" s="74">
        <v>306</v>
      </c>
      <c r="Q45" s="22">
        <v>320</v>
      </c>
      <c r="R45" s="22">
        <v>320</v>
      </c>
      <c r="S45">
        <v>320</v>
      </c>
      <c r="T45" s="22">
        <v>320</v>
      </c>
      <c r="AH45" s="22"/>
      <c r="AJ45" s="22"/>
    </row>
    <row r="46" spans="1:36">
      <c r="A46" s="18">
        <v>45</v>
      </c>
      <c r="B46" s="35">
        <v>314</v>
      </c>
      <c r="C46" s="35">
        <v>314</v>
      </c>
      <c r="D46">
        <v>314</v>
      </c>
      <c r="E46" s="35">
        <v>314</v>
      </c>
      <c r="F46" s="71">
        <v>314</v>
      </c>
      <c r="G46" s="35">
        <v>313</v>
      </c>
      <c r="H46" s="35">
        <v>313</v>
      </c>
      <c r="I46">
        <v>313</v>
      </c>
      <c r="J46" s="35">
        <v>313</v>
      </c>
      <c r="K46" s="71">
        <v>313</v>
      </c>
      <c r="L46" s="22">
        <v>314</v>
      </c>
      <c r="M46" s="22">
        <v>314</v>
      </c>
      <c r="N46" s="10">
        <v>314</v>
      </c>
      <c r="O46" s="22">
        <v>314</v>
      </c>
      <c r="P46" s="74">
        <v>314</v>
      </c>
      <c r="Q46" s="22">
        <v>316</v>
      </c>
      <c r="R46" s="22">
        <v>316</v>
      </c>
      <c r="S46">
        <v>316</v>
      </c>
      <c r="T46" s="22">
        <v>316</v>
      </c>
      <c r="AH46" s="22"/>
      <c r="AJ46" s="22"/>
    </row>
    <row r="47" spans="1:36">
      <c r="A47" s="18">
        <v>46</v>
      </c>
      <c r="B47" s="35">
        <v>505</v>
      </c>
      <c r="C47" s="35">
        <v>505</v>
      </c>
      <c r="D47">
        <v>505</v>
      </c>
      <c r="E47" s="35">
        <v>505</v>
      </c>
      <c r="F47" s="71">
        <v>505</v>
      </c>
      <c r="G47" s="35">
        <v>508</v>
      </c>
      <c r="H47" s="35">
        <v>508</v>
      </c>
      <c r="I47">
        <v>508</v>
      </c>
      <c r="J47" s="35">
        <v>508</v>
      </c>
      <c r="K47" s="71">
        <v>508</v>
      </c>
      <c r="L47" s="22">
        <v>518</v>
      </c>
      <c r="M47" s="22">
        <v>518</v>
      </c>
      <c r="N47" s="10">
        <v>518</v>
      </c>
      <c r="O47" s="22">
        <v>518</v>
      </c>
      <c r="P47" s="74">
        <v>518</v>
      </c>
      <c r="Q47" s="22">
        <v>510</v>
      </c>
      <c r="R47" s="22">
        <v>510</v>
      </c>
      <c r="S47">
        <v>510</v>
      </c>
      <c r="T47" s="22">
        <v>510</v>
      </c>
      <c r="AH47" s="22"/>
      <c r="AJ47" s="22"/>
    </row>
    <row r="48" spans="1:36">
      <c r="A48" s="18">
        <v>47</v>
      </c>
      <c r="B48" s="35">
        <v>367</v>
      </c>
      <c r="C48" s="35">
        <v>367</v>
      </c>
      <c r="D48">
        <v>367</v>
      </c>
      <c r="E48" s="35">
        <v>367</v>
      </c>
      <c r="F48" s="71">
        <v>367</v>
      </c>
      <c r="G48" s="35">
        <v>370</v>
      </c>
      <c r="H48" s="35">
        <v>370</v>
      </c>
      <c r="I48">
        <v>370</v>
      </c>
      <c r="J48" s="35">
        <v>370</v>
      </c>
      <c r="K48" s="71">
        <v>370</v>
      </c>
      <c r="L48" s="22">
        <v>371</v>
      </c>
      <c r="M48" s="22">
        <v>371</v>
      </c>
      <c r="N48" s="10">
        <v>371</v>
      </c>
      <c r="O48" s="22">
        <v>371</v>
      </c>
      <c r="P48" s="74">
        <v>371</v>
      </c>
      <c r="Q48" s="22">
        <v>385</v>
      </c>
      <c r="R48" s="22">
        <v>385</v>
      </c>
      <c r="S48">
        <v>385</v>
      </c>
      <c r="T48" s="22">
        <v>385</v>
      </c>
      <c r="AH48" s="22"/>
      <c r="AJ48" s="22"/>
    </row>
    <row r="49" spans="1:36">
      <c r="A49" s="18">
        <v>48</v>
      </c>
      <c r="B49" s="35">
        <v>751</v>
      </c>
      <c r="C49" s="35">
        <v>751</v>
      </c>
      <c r="D49">
        <v>751</v>
      </c>
      <c r="E49" s="35">
        <v>751</v>
      </c>
      <c r="F49" s="71">
        <v>751</v>
      </c>
      <c r="G49" s="35">
        <v>757</v>
      </c>
      <c r="H49" s="35">
        <v>757</v>
      </c>
      <c r="I49">
        <v>757</v>
      </c>
      <c r="J49" s="35">
        <v>757</v>
      </c>
      <c r="K49" s="71">
        <v>757</v>
      </c>
      <c r="L49" s="22">
        <v>770</v>
      </c>
      <c r="M49" s="22">
        <v>770</v>
      </c>
      <c r="N49" s="10">
        <v>770</v>
      </c>
      <c r="O49" s="22">
        <v>770</v>
      </c>
      <c r="P49" s="74">
        <v>770</v>
      </c>
      <c r="Q49" s="22">
        <v>781</v>
      </c>
      <c r="R49" s="22">
        <v>781</v>
      </c>
      <c r="S49">
        <v>781</v>
      </c>
      <c r="T49" s="22">
        <v>781</v>
      </c>
      <c r="AH49" s="22"/>
      <c r="AJ49" s="22"/>
    </row>
    <row r="50" spans="1:36">
      <c r="A50" s="18">
        <v>49</v>
      </c>
      <c r="B50" s="35">
        <v>662</v>
      </c>
      <c r="C50" s="35">
        <v>662</v>
      </c>
      <c r="D50">
        <v>662</v>
      </c>
      <c r="E50" s="35">
        <v>662</v>
      </c>
      <c r="F50" s="71">
        <v>662</v>
      </c>
      <c r="G50" s="35">
        <v>664</v>
      </c>
      <c r="H50" s="35">
        <v>664</v>
      </c>
      <c r="I50">
        <v>664</v>
      </c>
      <c r="J50" s="35">
        <v>664</v>
      </c>
      <c r="K50" s="71">
        <v>664</v>
      </c>
      <c r="L50" s="22">
        <v>675</v>
      </c>
      <c r="M50" s="22">
        <v>675</v>
      </c>
      <c r="N50" s="10">
        <v>675</v>
      </c>
      <c r="O50" s="22">
        <v>675</v>
      </c>
      <c r="P50" s="74">
        <v>675</v>
      </c>
      <c r="Q50" s="22">
        <v>681</v>
      </c>
      <c r="R50" s="22">
        <v>681</v>
      </c>
      <c r="S50">
        <v>681</v>
      </c>
      <c r="T50" s="22">
        <v>681</v>
      </c>
      <c r="AH50" s="22"/>
      <c r="AJ50" s="22"/>
    </row>
    <row r="51" spans="1:36">
      <c r="A51" s="18">
        <v>50</v>
      </c>
      <c r="B51" s="35">
        <v>354</v>
      </c>
      <c r="C51" s="35">
        <v>354</v>
      </c>
      <c r="D51">
        <v>354</v>
      </c>
      <c r="E51" s="35">
        <v>354</v>
      </c>
      <c r="F51" s="71">
        <v>354</v>
      </c>
      <c r="G51" s="35">
        <v>351</v>
      </c>
      <c r="H51" s="35">
        <v>351</v>
      </c>
      <c r="I51">
        <v>351</v>
      </c>
      <c r="J51" s="35">
        <v>351</v>
      </c>
      <c r="K51" s="71">
        <v>351</v>
      </c>
      <c r="L51" s="22">
        <v>355</v>
      </c>
      <c r="M51" s="22">
        <v>355</v>
      </c>
      <c r="N51" s="10">
        <v>355</v>
      </c>
      <c r="O51" s="22">
        <v>355</v>
      </c>
      <c r="P51" s="74">
        <v>355</v>
      </c>
      <c r="Q51" s="22">
        <v>367</v>
      </c>
      <c r="R51" s="22">
        <v>367</v>
      </c>
      <c r="S51">
        <v>367</v>
      </c>
      <c r="T51" s="22">
        <v>367</v>
      </c>
      <c r="AH51" s="22"/>
      <c r="AJ51" s="22"/>
    </row>
    <row r="52" spans="1:36">
      <c r="A52" s="18">
        <v>51</v>
      </c>
      <c r="B52" s="35">
        <v>286</v>
      </c>
      <c r="C52" s="35">
        <v>286</v>
      </c>
      <c r="D52">
        <v>286</v>
      </c>
      <c r="E52" s="35">
        <v>286</v>
      </c>
      <c r="F52" s="71">
        <v>286</v>
      </c>
      <c r="G52" s="35">
        <v>294</v>
      </c>
      <c r="H52" s="35">
        <v>294</v>
      </c>
      <c r="I52">
        <v>294</v>
      </c>
      <c r="J52" s="35">
        <v>294</v>
      </c>
      <c r="K52" s="71">
        <v>294</v>
      </c>
      <c r="L52" s="22">
        <v>299</v>
      </c>
      <c r="M52" s="22">
        <v>299</v>
      </c>
      <c r="N52" s="10">
        <v>299</v>
      </c>
      <c r="O52" s="22">
        <v>299</v>
      </c>
      <c r="P52" s="74">
        <v>299</v>
      </c>
      <c r="Q52" s="22">
        <v>299</v>
      </c>
      <c r="R52" s="22">
        <v>299</v>
      </c>
      <c r="S52">
        <v>299</v>
      </c>
      <c r="T52" s="22">
        <v>299</v>
      </c>
      <c r="AH52" s="22"/>
      <c r="AJ52" s="22"/>
    </row>
    <row r="53" spans="1:36">
      <c r="A53" s="18">
        <v>52</v>
      </c>
      <c r="B53" s="35">
        <v>180</v>
      </c>
      <c r="C53" s="35">
        <v>180</v>
      </c>
      <c r="D53">
        <v>180</v>
      </c>
      <c r="E53" s="35">
        <v>180</v>
      </c>
      <c r="F53" s="71">
        <v>180</v>
      </c>
      <c r="G53" s="35">
        <v>179</v>
      </c>
      <c r="H53" s="35">
        <v>179</v>
      </c>
      <c r="I53">
        <v>179</v>
      </c>
      <c r="J53" s="35">
        <v>179</v>
      </c>
      <c r="K53" s="71">
        <v>179</v>
      </c>
      <c r="L53" s="22">
        <v>179</v>
      </c>
      <c r="M53" s="22">
        <v>179</v>
      </c>
      <c r="N53" s="10">
        <v>179</v>
      </c>
      <c r="O53" s="22">
        <v>179</v>
      </c>
      <c r="P53" s="74">
        <v>179</v>
      </c>
      <c r="Q53" s="22">
        <v>183</v>
      </c>
      <c r="R53" s="22">
        <v>183</v>
      </c>
      <c r="S53">
        <v>183</v>
      </c>
      <c r="T53" s="22">
        <v>183</v>
      </c>
      <c r="AH53" s="22"/>
      <c r="AJ53" s="22"/>
    </row>
    <row r="54" spans="1:36">
      <c r="A54" s="18">
        <v>53</v>
      </c>
      <c r="B54" s="35">
        <v>533</v>
      </c>
      <c r="C54" s="35">
        <v>533</v>
      </c>
      <c r="D54">
        <v>533</v>
      </c>
      <c r="E54" s="35">
        <v>533</v>
      </c>
      <c r="F54" s="71">
        <v>533</v>
      </c>
      <c r="G54" s="35">
        <v>538</v>
      </c>
      <c r="H54" s="35">
        <v>538</v>
      </c>
      <c r="I54">
        <v>538</v>
      </c>
      <c r="J54" s="35">
        <v>538</v>
      </c>
      <c r="K54" s="71">
        <v>538</v>
      </c>
      <c r="L54" s="22">
        <v>547</v>
      </c>
      <c r="M54" s="22">
        <v>547</v>
      </c>
      <c r="N54" s="10">
        <v>547</v>
      </c>
      <c r="O54" s="22">
        <v>547</v>
      </c>
      <c r="P54" s="74">
        <v>547</v>
      </c>
      <c r="Q54" s="22">
        <v>545</v>
      </c>
      <c r="R54" s="22">
        <v>545</v>
      </c>
      <c r="S54">
        <v>545</v>
      </c>
      <c r="T54" s="22">
        <v>545</v>
      </c>
      <c r="AH54" s="22"/>
      <c r="AJ54" s="22"/>
    </row>
    <row r="55" spans="1:36">
      <c r="A55" s="18">
        <v>54</v>
      </c>
      <c r="B55" s="35">
        <v>305</v>
      </c>
      <c r="C55" s="35">
        <v>305</v>
      </c>
      <c r="D55">
        <v>305</v>
      </c>
      <c r="E55" s="35">
        <v>305</v>
      </c>
      <c r="F55" s="71">
        <v>305</v>
      </c>
      <c r="G55" s="35">
        <v>305</v>
      </c>
      <c r="H55" s="35">
        <v>305</v>
      </c>
      <c r="I55">
        <v>305</v>
      </c>
      <c r="J55" s="35">
        <v>305</v>
      </c>
      <c r="K55" s="71">
        <v>305</v>
      </c>
      <c r="L55" s="22">
        <v>302</v>
      </c>
      <c r="M55" s="22">
        <v>302</v>
      </c>
      <c r="N55" s="10">
        <v>302</v>
      </c>
      <c r="O55" s="22">
        <v>302</v>
      </c>
      <c r="P55" s="74">
        <v>302</v>
      </c>
      <c r="Q55" s="22">
        <v>305</v>
      </c>
      <c r="R55" s="22">
        <v>305</v>
      </c>
      <c r="S55">
        <v>305</v>
      </c>
      <c r="T55" s="22">
        <v>305</v>
      </c>
      <c r="AH55" s="22"/>
      <c r="AJ55" s="22"/>
    </row>
    <row r="56" spans="1:36">
      <c r="A56" s="18">
        <v>55</v>
      </c>
      <c r="B56" s="35">
        <v>191</v>
      </c>
      <c r="C56" s="35">
        <v>191</v>
      </c>
      <c r="D56">
        <v>191</v>
      </c>
      <c r="E56" s="35">
        <v>191</v>
      </c>
      <c r="F56" s="71">
        <v>191</v>
      </c>
      <c r="G56" s="35">
        <v>183</v>
      </c>
      <c r="H56" s="35">
        <v>183</v>
      </c>
      <c r="I56">
        <v>183</v>
      </c>
      <c r="J56" s="35">
        <v>183</v>
      </c>
      <c r="K56" s="71">
        <v>183</v>
      </c>
      <c r="L56" s="22">
        <v>191</v>
      </c>
      <c r="M56" s="22">
        <v>191</v>
      </c>
      <c r="N56" s="10">
        <v>191</v>
      </c>
      <c r="O56" s="22">
        <v>191</v>
      </c>
      <c r="P56" s="74">
        <v>191</v>
      </c>
      <c r="Q56" s="22">
        <v>193</v>
      </c>
      <c r="R56" s="22">
        <v>193</v>
      </c>
      <c r="S56">
        <v>193</v>
      </c>
      <c r="T56" s="22">
        <v>193</v>
      </c>
      <c r="AH56" s="22"/>
      <c r="AJ56" s="22"/>
    </row>
    <row r="57" spans="1:36">
      <c r="A57" s="18">
        <v>56</v>
      </c>
      <c r="B57" s="35">
        <v>333</v>
      </c>
      <c r="C57" s="35">
        <v>333</v>
      </c>
      <c r="D57">
        <v>333</v>
      </c>
      <c r="E57" s="35">
        <v>333</v>
      </c>
      <c r="F57" s="71">
        <v>333</v>
      </c>
      <c r="G57" s="35">
        <v>333</v>
      </c>
      <c r="H57" s="35">
        <v>333</v>
      </c>
      <c r="I57">
        <v>333</v>
      </c>
      <c r="J57" s="35">
        <v>333</v>
      </c>
      <c r="K57" s="71">
        <v>333</v>
      </c>
      <c r="L57" s="22">
        <v>341</v>
      </c>
      <c r="M57" s="22">
        <v>341</v>
      </c>
      <c r="N57" s="10">
        <v>341</v>
      </c>
      <c r="O57" s="22">
        <v>341</v>
      </c>
      <c r="P57" s="74">
        <v>341</v>
      </c>
      <c r="Q57" s="22">
        <v>343</v>
      </c>
      <c r="R57" s="22">
        <v>343</v>
      </c>
      <c r="S57">
        <v>343</v>
      </c>
      <c r="T57" s="22">
        <v>343</v>
      </c>
      <c r="AH57" s="22"/>
      <c r="AJ57" s="22"/>
    </row>
    <row r="58" spans="1:36">
      <c r="A58" s="18">
        <v>57</v>
      </c>
      <c r="B58" s="35">
        <v>361</v>
      </c>
      <c r="C58" s="35">
        <v>361</v>
      </c>
      <c r="D58">
        <v>361</v>
      </c>
      <c r="E58" s="35">
        <v>361</v>
      </c>
      <c r="F58" s="71">
        <v>361</v>
      </c>
      <c r="G58" s="35">
        <v>371</v>
      </c>
      <c r="H58" s="35">
        <v>371</v>
      </c>
      <c r="I58">
        <v>371</v>
      </c>
      <c r="J58" s="35">
        <v>371</v>
      </c>
      <c r="K58" s="71">
        <v>371</v>
      </c>
      <c r="L58" s="22">
        <v>366</v>
      </c>
      <c r="M58" s="22">
        <v>366</v>
      </c>
      <c r="N58" s="10">
        <v>366</v>
      </c>
      <c r="O58" s="22">
        <v>366</v>
      </c>
      <c r="P58" s="74">
        <v>366</v>
      </c>
      <c r="Q58" s="22">
        <v>363</v>
      </c>
      <c r="R58" s="22">
        <v>363</v>
      </c>
      <c r="S58">
        <v>363</v>
      </c>
      <c r="T58" s="22">
        <v>363</v>
      </c>
      <c r="AH58" s="22"/>
      <c r="AJ58" s="22"/>
    </row>
    <row r="59" spans="1:36">
      <c r="A59" s="18">
        <v>58</v>
      </c>
      <c r="B59" s="35">
        <v>616</v>
      </c>
      <c r="C59" s="35">
        <v>616</v>
      </c>
      <c r="D59">
        <v>616</v>
      </c>
      <c r="E59" s="35">
        <v>616</v>
      </c>
      <c r="F59" s="71">
        <v>616</v>
      </c>
      <c r="G59" s="35">
        <v>621</v>
      </c>
      <c r="H59" s="35">
        <v>621</v>
      </c>
      <c r="I59">
        <v>621</v>
      </c>
      <c r="J59" s="35">
        <v>621</v>
      </c>
      <c r="K59" s="71">
        <v>621</v>
      </c>
      <c r="L59" s="22">
        <v>626</v>
      </c>
      <c r="M59" s="22">
        <v>626</v>
      </c>
      <c r="N59" s="10">
        <v>626</v>
      </c>
      <c r="O59" s="22">
        <v>626</v>
      </c>
      <c r="P59" s="74">
        <v>626</v>
      </c>
      <c r="Q59" s="22">
        <v>631</v>
      </c>
      <c r="R59" s="22">
        <v>631</v>
      </c>
      <c r="S59">
        <v>631</v>
      </c>
      <c r="T59" s="22">
        <v>631</v>
      </c>
      <c r="AH59" s="22"/>
      <c r="AJ59" s="22"/>
    </row>
    <row r="60" spans="1:36">
      <c r="A60" s="18">
        <v>59</v>
      </c>
      <c r="B60" s="35">
        <v>274</v>
      </c>
      <c r="C60" s="35">
        <v>274</v>
      </c>
      <c r="D60">
        <v>274</v>
      </c>
      <c r="E60" s="35">
        <v>274</v>
      </c>
      <c r="F60" s="71">
        <v>274</v>
      </c>
      <c r="G60" s="35">
        <v>282</v>
      </c>
      <c r="H60" s="35">
        <v>282</v>
      </c>
      <c r="I60">
        <v>282</v>
      </c>
      <c r="J60" s="35">
        <v>282</v>
      </c>
      <c r="K60" s="71">
        <v>282</v>
      </c>
      <c r="L60" s="22">
        <v>275</v>
      </c>
      <c r="M60" s="22">
        <v>275</v>
      </c>
      <c r="N60" s="10">
        <v>275</v>
      </c>
      <c r="O60" s="22">
        <v>275</v>
      </c>
      <c r="P60" s="74">
        <v>275</v>
      </c>
      <c r="Q60" s="22">
        <v>276</v>
      </c>
      <c r="R60" s="22">
        <v>276</v>
      </c>
      <c r="S60">
        <v>276</v>
      </c>
      <c r="T60" s="22">
        <v>276</v>
      </c>
      <c r="AH60" s="22"/>
      <c r="AJ60" s="22"/>
    </row>
    <row r="61" spans="1:36">
      <c r="A61" s="18">
        <v>60</v>
      </c>
      <c r="B61" s="35">
        <v>595</v>
      </c>
      <c r="C61" s="35">
        <v>595</v>
      </c>
      <c r="D61">
        <v>595</v>
      </c>
      <c r="E61" s="35">
        <v>595</v>
      </c>
      <c r="F61" s="71">
        <v>595</v>
      </c>
      <c r="G61" s="35">
        <v>603</v>
      </c>
      <c r="H61" s="35">
        <v>603</v>
      </c>
      <c r="I61">
        <v>603</v>
      </c>
      <c r="J61" s="35">
        <v>603</v>
      </c>
      <c r="K61" s="71">
        <v>603</v>
      </c>
      <c r="L61" s="22">
        <v>605</v>
      </c>
      <c r="M61" s="22">
        <v>605</v>
      </c>
      <c r="N61" s="10">
        <v>605</v>
      </c>
      <c r="O61" s="22">
        <v>605</v>
      </c>
      <c r="P61" s="74">
        <v>605</v>
      </c>
      <c r="Q61" s="22">
        <v>612</v>
      </c>
      <c r="R61" s="22">
        <v>612</v>
      </c>
      <c r="S61">
        <v>612</v>
      </c>
      <c r="T61" s="22">
        <v>612</v>
      </c>
      <c r="AH61" s="22"/>
      <c r="AJ61" s="22"/>
    </row>
    <row r="63" spans="1:36">
      <c r="A6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BB7B-B015-4812-912B-F1254222FB6E}">
  <dimension ref="A1:AK123"/>
  <sheetViews>
    <sheetView topLeftCell="A46" zoomScale="93" workbookViewId="0">
      <pane xSplit="1" topLeftCell="B1" activePane="topRight" state="frozen"/>
      <selection activeCell="A14" sqref="A14"/>
      <selection pane="topRight" activeCell="B65" sqref="B65"/>
    </sheetView>
  </sheetViews>
  <sheetFormatPr defaultColWidth="7.453125" defaultRowHeight="14.5"/>
  <cols>
    <col min="2" max="6" width="7.453125" customWidth="1"/>
    <col min="7" max="7" width="7.26953125" style="26" customWidth="1"/>
    <col min="8" max="8" width="8.54296875" customWidth="1"/>
    <col min="9" max="10" width="7.453125" customWidth="1"/>
    <col min="11" max="11" width="8.1796875" style="16" customWidth="1"/>
    <col min="12" max="12" width="7.453125" style="26" customWidth="1"/>
    <col min="13" max="15" width="7.453125" customWidth="1"/>
    <col min="16" max="16" width="7.453125" style="16" customWidth="1"/>
    <col min="17" max="17" width="7.453125" style="26" customWidth="1"/>
    <col min="18" max="19" width="7.453125" customWidth="1"/>
    <col min="21" max="21" width="7.453125" style="16"/>
  </cols>
  <sheetData>
    <row r="1" spans="1:37" s="3" customFormat="1">
      <c r="A1" s="3" t="s">
        <v>1</v>
      </c>
      <c r="B1" s="32">
        <v>45957</v>
      </c>
      <c r="C1" s="32">
        <v>45958</v>
      </c>
      <c r="D1" s="32">
        <v>45959</v>
      </c>
      <c r="E1" s="32">
        <v>45960</v>
      </c>
      <c r="F1" s="32">
        <v>45961</v>
      </c>
      <c r="G1" s="29">
        <v>45964</v>
      </c>
      <c r="H1" s="30">
        <v>45965</v>
      </c>
      <c r="I1" s="30">
        <v>45966</v>
      </c>
      <c r="J1" s="30">
        <v>45967</v>
      </c>
      <c r="K1" s="30">
        <v>45968</v>
      </c>
      <c r="L1" s="29">
        <v>45971</v>
      </c>
      <c r="M1" s="30">
        <v>45972</v>
      </c>
      <c r="N1" s="30">
        <v>45973</v>
      </c>
      <c r="O1" s="30">
        <v>45974</v>
      </c>
      <c r="P1" s="30">
        <v>45975</v>
      </c>
      <c r="Q1" s="29">
        <v>45978</v>
      </c>
      <c r="R1" s="30">
        <v>45979</v>
      </c>
      <c r="S1" s="30">
        <v>45980</v>
      </c>
      <c r="T1" s="30">
        <v>45981</v>
      </c>
      <c r="U1" s="31"/>
    </row>
    <row r="2" spans="1:37">
      <c r="A2" s="1">
        <v>1</v>
      </c>
      <c r="B2" s="37">
        <v>475</v>
      </c>
      <c r="C2" s="37">
        <v>471.5</v>
      </c>
      <c r="D2" s="37">
        <v>467.5</v>
      </c>
      <c r="E2" s="6">
        <v>463.8</v>
      </c>
      <c r="F2" s="6">
        <v>459.6</v>
      </c>
      <c r="G2" s="77">
        <v>479.1</v>
      </c>
      <c r="H2" s="6">
        <v>476.1</v>
      </c>
      <c r="I2" s="6">
        <v>472.4</v>
      </c>
      <c r="J2" s="6">
        <v>468.4</v>
      </c>
      <c r="K2" s="80">
        <v>466.5</v>
      </c>
      <c r="L2" s="77">
        <v>482.1</v>
      </c>
      <c r="M2" s="6">
        <v>481.1</v>
      </c>
      <c r="N2" s="6">
        <v>478.5</v>
      </c>
      <c r="O2" s="6">
        <v>473.2</v>
      </c>
      <c r="P2" s="27">
        <v>470.4</v>
      </c>
      <c r="Q2" s="77">
        <v>478</v>
      </c>
      <c r="R2" s="6">
        <v>476.8</v>
      </c>
      <c r="S2" s="6">
        <v>462.8</v>
      </c>
      <c r="T2" s="6">
        <v>460.9</v>
      </c>
      <c r="U2" s="27"/>
      <c r="X2" s="6"/>
      <c r="Z2" s="6"/>
      <c r="AA2" s="6"/>
      <c r="AC2" s="6"/>
      <c r="AD2" s="6"/>
      <c r="AF2" s="6"/>
      <c r="AG2" s="6"/>
      <c r="AI2" s="6"/>
    </row>
    <row r="3" spans="1:37">
      <c r="A3" s="1">
        <v>2</v>
      </c>
      <c r="B3" s="37">
        <v>480.8</v>
      </c>
      <c r="C3" s="37">
        <v>478.6</v>
      </c>
      <c r="D3" s="37">
        <v>476.7</v>
      </c>
      <c r="E3" s="6">
        <v>475.2</v>
      </c>
      <c r="F3" s="6">
        <v>473</v>
      </c>
      <c r="G3" s="77">
        <v>470.8</v>
      </c>
      <c r="H3" s="6">
        <v>469.1</v>
      </c>
      <c r="I3" s="6">
        <v>467.7</v>
      </c>
      <c r="J3" s="6">
        <v>465.4</v>
      </c>
      <c r="K3" s="80">
        <v>463.9</v>
      </c>
      <c r="L3" s="77">
        <v>483</v>
      </c>
      <c r="M3" s="6">
        <v>478.5</v>
      </c>
      <c r="N3" s="6">
        <v>476.5</v>
      </c>
      <c r="O3" s="6">
        <v>472.2</v>
      </c>
      <c r="P3" s="27">
        <v>471</v>
      </c>
      <c r="Q3" s="77">
        <v>482.8</v>
      </c>
      <c r="R3" s="6">
        <v>481.9</v>
      </c>
      <c r="S3" s="6">
        <v>477.3</v>
      </c>
      <c r="T3" s="6">
        <v>476.9</v>
      </c>
      <c r="U3" s="27"/>
      <c r="X3" s="6"/>
      <c r="Z3" s="6"/>
      <c r="AA3" s="6"/>
      <c r="AC3" s="6"/>
      <c r="AD3" s="6"/>
      <c r="AF3" s="6"/>
      <c r="AG3" s="6"/>
      <c r="AI3" s="6"/>
    </row>
    <row r="4" spans="1:37">
      <c r="A4" s="1">
        <v>3</v>
      </c>
      <c r="B4" s="37">
        <v>467.8</v>
      </c>
      <c r="C4" s="37">
        <v>464.6</v>
      </c>
      <c r="D4" s="37">
        <v>459.3</v>
      </c>
      <c r="E4" s="6">
        <v>473</v>
      </c>
      <c r="F4" s="6">
        <v>469.5</v>
      </c>
      <c r="G4" s="77">
        <v>466.3</v>
      </c>
      <c r="H4" s="6">
        <v>463.6</v>
      </c>
      <c r="I4" s="6">
        <v>458.7</v>
      </c>
      <c r="J4" s="6">
        <v>451.6</v>
      </c>
      <c r="K4" s="80">
        <v>449.4</v>
      </c>
      <c r="L4" s="77">
        <v>476.9</v>
      </c>
      <c r="M4" s="6">
        <v>467.9</v>
      </c>
      <c r="N4" s="6">
        <v>463.5</v>
      </c>
      <c r="O4" s="6">
        <v>460.5</v>
      </c>
      <c r="P4" s="27">
        <v>456.1</v>
      </c>
      <c r="Q4" s="77">
        <v>466.1</v>
      </c>
      <c r="R4" s="6">
        <v>462.5</v>
      </c>
      <c r="S4" s="6">
        <v>478.3</v>
      </c>
      <c r="T4" s="6">
        <v>474.2</v>
      </c>
      <c r="U4" s="27"/>
      <c r="X4" s="6"/>
      <c r="Z4" s="6"/>
      <c r="AA4" s="6"/>
      <c r="AC4" s="6"/>
      <c r="AD4" s="6"/>
      <c r="AF4" s="6"/>
      <c r="AG4" s="6"/>
      <c r="AI4" s="6"/>
    </row>
    <row r="5" spans="1:37">
      <c r="A5" s="1">
        <v>4</v>
      </c>
      <c r="B5" s="37">
        <v>474.6</v>
      </c>
      <c r="C5" s="37">
        <v>470.1</v>
      </c>
      <c r="D5" s="37">
        <v>467.3</v>
      </c>
      <c r="E5" s="6">
        <v>464.8</v>
      </c>
      <c r="F5" s="6">
        <v>460.4</v>
      </c>
      <c r="G5" s="77">
        <v>456.4</v>
      </c>
      <c r="H5" s="6">
        <v>453.3</v>
      </c>
      <c r="I5" s="6">
        <v>449.6</v>
      </c>
      <c r="J5" s="6">
        <v>444.7</v>
      </c>
      <c r="K5" s="80">
        <v>441.1</v>
      </c>
      <c r="L5" s="77">
        <v>479.3</v>
      </c>
      <c r="M5" s="6">
        <v>467.3</v>
      </c>
      <c r="N5" s="6">
        <v>464</v>
      </c>
      <c r="O5" s="6">
        <v>464.4</v>
      </c>
      <c r="P5" s="27">
        <v>460.9</v>
      </c>
      <c r="Q5" s="77">
        <v>467.1</v>
      </c>
      <c r="R5" s="6">
        <v>463.9</v>
      </c>
      <c r="S5" s="6">
        <v>479.3</v>
      </c>
      <c r="T5" s="6">
        <v>475.1</v>
      </c>
      <c r="U5" s="27"/>
      <c r="X5" s="6"/>
      <c r="Z5" s="6"/>
      <c r="AA5" s="6"/>
      <c r="AC5" s="6"/>
      <c r="AD5" s="6"/>
      <c r="AF5" s="6"/>
      <c r="AG5" s="6"/>
      <c r="AI5" s="6"/>
      <c r="AJ5" s="6"/>
    </row>
    <row r="6" spans="1:37">
      <c r="A6" s="1">
        <v>5</v>
      </c>
      <c r="B6" s="37">
        <v>469.6</v>
      </c>
      <c r="C6" s="37">
        <v>469.1</v>
      </c>
      <c r="D6" s="37">
        <v>468.7</v>
      </c>
      <c r="E6" s="6">
        <v>468.3</v>
      </c>
      <c r="F6" s="6">
        <v>468</v>
      </c>
      <c r="G6" s="77">
        <v>467.2</v>
      </c>
      <c r="H6" s="6">
        <v>466.8</v>
      </c>
      <c r="I6" s="6">
        <v>466.1</v>
      </c>
      <c r="J6" s="6">
        <v>465.3</v>
      </c>
      <c r="K6" s="80">
        <v>464.7</v>
      </c>
      <c r="L6" s="77">
        <v>483.1</v>
      </c>
      <c r="M6" s="6">
        <v>470.6</v>
      </c>
      <c r="N6" s="6">
        <v>470.3</v>
      </c>
      <c r="O6" s="6">
        <v>463.7</v>
      </c>
      <c r="P6" s="27">
        <v>463.3</v>
      </c>
      <c r="Q6" s="77">
        <v>479.5</v>
      </c>
      <c r="R6" s="6">
        <v>479</v>
      </c>
      <c r="S6" s="6">
        <v>461.4</v>
      </c>
      <c r="T6" s="6">
        <v>461.1</v>
      </c>
      <c r="U6" s="27"/>
      <c r="X6" s="6"/>
      <c r="Z6" s="6"/>
      <c r="AA6" s="6"/>
      <c r="AC6" s="6"/>
      <c r="AD6" s="6"/>
      <c r="AF6" s="6"/>
      <c r="AG6" s="6"/>
      <c r="AI6" s="6"/>
    </row>
    <row r="7" spans="1:37">
      <c r="A7" s="1">
        <v>6</v>
      </c>
      <c r="B7" s="37">
        <v>474.6</v>
      </c>
      <c r="C7" s="37">
        <v>471.3</v>
      </c>
      <c r="D7" s="37">
        <v>467.1</v>
      </c>
      <c r="E7" s="6">
        <v>465.3</v>
      </c>
      <c r="F7" s="6">
        <v>460.2</v>
      </c>
      <c r="G7" s="77">
        <v>476.4</v>
      </c>
      <c r="H7" s="6">
        <v>472.6</v>
      </c>
      <c r="I7" s="6">
        <v>468.2</v>
      </c>
      <c r="J7" s="6">
        <v>463</v>
      </c>
      <c r="K7" s="80">
        <v>459.9</v>
      </c>
      <c r="L7" s="77">
        <v>457.6</v>
      </c>
      <c r="M7" s="6">
        <v>469.7</v>
      </c>
      <c r="N7" s="6">
        <v>468.1</v>
      </c>
      <c r="O7" s="6">
        <v>467.6</v>
      </c>
      <c r="P7" s="27">
        <v>466.7</v>
      </c>
      <c r="Q7" s="77">
        <v>465.2</v>
      </c>
      <c r="R7" s="6">
        <v>464.3</v>
      </c>
      <c r="S7" s="6">
        <v>469.7</v>
      </c>
      <c r="T7" s="6">
        <v>468.8</v>
      </c>
      <c r="U7" s="27"/>
      <c r="X7" s="6"/>
      <c r="Z7" s="6"/>
      <c r="AA7" s="6"/>
      <c r="AC7" s="6"/>
      <c r="AD7" s="6"/>
      <c r="AF7" s="6"/>
      <c r="AG7" s="6"/>
      <c r="AI7" s="6"/>
    </row>
    <row r="8" spans="1:37">
      <c r="A8" s="1">
        <v>7</v>
      </c>
      <c r="B8" s="37">
        <v>454.7</v>
      </c>
      <c r="C8" s="37">
        <v>451</v>
      </c>
      <c r="D8" s="37">
        <v>449.3</v>
      </c>
      <c r="E8" s="6">
        <v>474.6</v>
      </c>
      <c r="F8" s="6">
        <v>471.8</v>
      </c>
      <c r="G8" s="77">
        <v>488.5</v>
      </c>
      <c r="H8" s="6">
        <v>486.5</v>
      </c>
      <c r="I8" s="6">
        <v>482</v>
      </c>
      <c r="J8" s="6">
        <v>478.2</v>
      </c>
      <c r="K8" s="80">
        <v>474.2</v>
      </c>
      <c r="L8" s="77">
        <v>472</v>
      </c>
      <c r="M8" s="6">
        <v>472.1</v>
      </c>
      <c r="N8" s="6">
        <v>469</v>
      </c>
      <c r="O8" s="6">
        <v>480.2</v>
      </c>
      <c r="P8" s="27">
        <v>478.7</v>
      </c>
      <c r="Q8" s="77">
        <v>472</v>
      </c>
      <c r="R8" s="6">
        <v>470.6</v>
      </c>
      <c r="S8" s="6">
        <v>475</v>
      </c>
      <c r="T8" s="6">
        <v>472.9</v>
      </c>
      <c r="U8" s="27"/>
      <c r="X8" s="6"/>
      <c r="Z8" s="6"/>
      <c r="AA8" s="6"/>
      <c r="AC8" s="6"/>
      <c r="AD8" s="6"/>
      <c r="AF8" s="6"/>
      <c r="AG8" s="6"/>
      <c r="AI8" s="6"/>
    </row>
    <row r="9" spans="1:37">
      <c r="A9" s="1">
        <v>8</v>
      </c>
      <c r="B9" s="37">
        <v>478.6</v>
      </c>
      <c r="C9" s="37">
        <v>476.1</v>
      </c>
      <c r="D9" s="37">
        <v>472.9</v>
      </c>
      <c r="E9" s="6">
        <v>468.9</v>
      </c>
      <c r="F9" s="6">
        <v>465.4</v>
      </c>
      <c r="G9" s="77">
        <v>486.4</v>
      </c>
      <c r="H9" s="6">
        <v>484</v>
      </c>
      <c r="I9" s="6">
        <v>479.8</v>
      </c>
      <c r="J9" s="6">
        <v>475.7</v>
      </c>
      <c r="K9" s="80">
        <v>471.9</v>
      </c>
      <c r="L9" s="77">
        <v>466.9</v>
      </c>
      <c r="M9" s="6">
        <v>475.5</v>
      </c>
      <c r="N9" s="6">
        <v>469.5</v>
      </c>
      <c r="O9" s="6">
        <v>478.1</v>
      </c>
      <c r="P9" s="27">
        <v>473.7</v>
      </c>
      <c r="Q9" s="77">
        <v>467.2</v>
      </c>
      <c r="R9" s="6">
        <v>463.8</v>
      </c>
      <c r="S9" s="6">
        <v>483.7</v>
      </c>
      <c r="T9" s="6">
        <v>481</v>
      </c>
      <c r="U9" s="27"/>
      <c r="X9" s="6"/>
      <c r="Z9" s="6"/>
      <c r="AA9" s="6"/>
      <c r="AC9" s="6"/>
      <c r="AD9" s="6"/>
      <c r="AF9" s="6"/>
      <c r="AG9" s="6"/>
      <c r="AI9" s="6"/>
      <c r="AK9" s="6"/>
    </row>
    <row r="10" spans="1:37">
      <c r="A10" s="1">
        <v>9</v>
      </c>
      <c r="B10" s="37">
        <v>474.7</v>
      </c>
      <c r="C10" s="37">
        <v>473.9</v>
      </c>
      <c r="D10" s="37">
        <v>473.4</v>
      </c>
      <c r="E10" s="6">
        <v>472.9</v>
      </c>
      <c r="F10" s="6">
        <v>472.6</v>
      </c>
      <c r="G10" s="77">
        <v>471.5</v>
      </c>
      <c r="H10" s="6">
        <v>470.8</v>
      </c>
      <c r="I10" s="6">
        <v>470.2</v>
      </c>
      <c r="J10" s="6">
        <v>469.4</v>
      </c>
      <c r="K10" s="80">
        <v>468.7</v>
      </c>
      <c r="L10" s="77">
        <v>468</v>
      </c>
      <c r="M10" s="6">
        <v>467.7</v>
      </c>
      <c r="N10" s="6">
        <v>467.4</v>
      </c>
      <c r="O10" s="6">
        <v>460.9</v>
      </c>
      <c r="P10" s="27">
        <v>460.3</v>
      </c>
      <c r="Q10" s="77">
        <v>465.2</v>
      </c>
      <c r="R10" s="6">
        <v>464.8</v>
      </c>
      <c r="S10" s="6">
        <v>469.2</v>
      </c>
      <c r="T10" s="6">
        <v>468.7</v>
      </c>
      <c r="U10" s="27"/>
      <c r="X10" s="6"/>
      <c r="Z10" s="6"/>
      <c r="AA10" s="6"/>
      <c r="AC10" s="6"/>
      <c r="AD10" s="6"/>
      <c r="AF10" s="6"/>
      <c r="AG10" s="6"/>
      <c r="AI10" s="6"/>
    </row>
    <row r="11" spans="1:37">
      <c r="A11" s="1">
        <v>10</v>
      </c>
      <c r="B11" s="37">
        <v>481</v>
      </c>
      <c r="C11" s="37">
        <v>480.5</v>
      </c>
      <c r="D11" s="37">
        <v>480.2</v>
      </c>
      <c r="E11" s="6">
        <v>479.5</v>
      </c>
      <c r="F11" s="6">
        <v>478.7</v>
      </c>
      <c r="G11" s="77">
        <v>478.2</v>
      </c>
      <c r="H11" s="6">
        <v>477.6</v>
      </c>
      <c r="I11" s="6">
        <v>476.8</v>
      </c>
      <c r="J11" s="6">
        <v>475.8</v>
      </c>
      <c r="K11" s="80">
        <v>475.1</v>
      </c>
      <c r="L11" s="77">
        <v>474.5</v>
      </c>
      <c r="M11" s="6">
        <v>470.5</v>
      </c>
      <c r="N11" s="6">
        <v>470.3</v>
      </c>
      <c r="O11" s="6">
        <v>468.9</v>
      </c>
      <c r="P11" s="27">
        <v>468.5</v>
      </c>
      <c r="Q11" s="77">
        <v>474.2</v>
      </c>
      <c r="R11" s="6">
        <v>473.7</v>
      </c>
      <c r="S11" s="6">
        <v>472.4</v>
      </c>
      <c r="T11" s="6">
        <v>472</v>
      </c>
      <c r="U11" s="27"/>
      <c r="X11" s="6"/>
      <c r="Z11" s="6"/>
      <c r="AA11" s="6"/>
      <c r="AC11" s="6"/>
      <c r="AD11" s="6"/>
      <c r="AF11" s="6"/>
      <c r="AG11" s="6"/>
      <c r="AI11" s="6"/>
    </row>
    <row r="12" spans="1:37">
      <c r="A12" s="1">
        <v>11</v>
      </c>
      <c r="B12" s="37">
        <v>466</v>
      </c>
      <c r="C12" s="37">
        <v>462.7</v>
      </c>
      <c r="D12" s="37">
        <v>459.7</v>
      </c>
      <c r="E12" s="6">
        <v>474.4</v>
      </c>
      <c r="F12" s="6">
        <v>471.8</v>
      </c>
      <c r="G12" s="77">
        <v>469.5</v>
      </c>
      <c r="H12" s="6">
        <v>466.3</v>
      </c>
      <c r="I12" s="6">
        <v>463.8</v>
      </c>
      <c r="J12" s="6">
        <v>460.7</v>
      </c>
      <c r="K12" s="80">
        <v>459.1</v>
      </c>
      <c r="L12" s="77">
        <v>475.8</v>
      </c>
      <c r="M12" s="6">
        <v>475.1</v>
      </c>
      <c r="N12" s="6">
        <v>474.2</v>
      </c>
      <c r="O12" s="6">
        <v>477.3</v>
      </c>
      <c r="P12" s="27">
        <v>475.8</v>
      </c>
      <c r="Q12" s="77">
        <v>473.3</v>
      </c>
      <c r="R12" s="6">
        <v>472.3</v>
      </c>
      <c r="S12" s="6">
        <v>468.8</v>
      </c>
      <c r="T12" s="6">
        <v>467.4</v>
      </c>
      <c r="U12" s="27"/>
      <c r="X12" s="6"/>
      <c r="Z12" s="6"/>
      <c r="AA12" s="6"/>
      <c r="AC12" s="6"/>
      <c r="AD12" s="6"/>
      <c r="AF12" s="6"/>
      <c r="AG12" s="6"/>
      <c r="AI12" s="6"/>
    </row>
    <row r="13" spans="1:37">
      <c r="A13" s="1">
        <v>12</v>
      </c>
      <c r="B13" s="37">
        <v>460.9</v>
      </c>
      <c r="C13" s="37">
        <v>456.4</v>
      </c>
      <c r="D13" s="37">
        <v>452</v>
      </c>
      <c r="E13" s="6">
        <v>471.5</v>
      </c>
      <c r="F13" s="6">
        <v>467.8</v>
      </c>
      <c r="G13" s="77">
        <v>462.2</v>
      </c>
      <c r="H13" s="6">
        <v>459.8</v>
      </c>
      <c r="I13" s="6">
        <v>457.6</v>
      </c>
      <c r="J13" s="6">
        <v>454.8</v>
      </c>
      <c r="K13" s="80">
        <v>452.5</v>
      </c>
      <c r="L13" s="77">
        <v>473.1</v>
      </c>
      <c r="M13" s="6">
        <v>463.4</v>
      </c>
      <c r="N13" s="6">
        <v>461.2</v>
      </c>
      <c r="O13" s="6">
        <v>462.3</v>
      </c>
      <c r="P13" s="27">
        <v>460.5</v>
      </c>
      <c r="Q13" s="77">
        <v>467.6</v>
      </c>
      <c r="R13" s="6">
        <v>466.3</v>
      </c>
      <c r="S13" s="6">
        <v>464.4</v>
      </c>
      <c r="T13" s="6">
        <v>463.7</v>
      </c>
      <c r="U13" s="27"/>
      <c r="X13" s="6"/>
      <c r="Z13" s="6"/>
      <c r="AA13" s="6"/>
      <c r="AC13" s="6"/>
      <c r="AD13" s="6"/>
      <c r="AF13" s="6"/>
      <c r="AG13" s="6"/>
      <c r="AI13" s="6"/>
    </row>
    <row r="14" spans="1:37">
      <c r="A14" s="1">
        <v>13</v>
      </c>
      <c r="B14" s="37">
        <v>457.5</v>
      </c>
      <c r="C14" s="37">
        <v>452.6</v>
      </c>
      <c r="D14" s="37">
        <v>448.2</v>
      </c>
      <c r="E14" s="6">
        <v>470.6</v>
      </c>
      <c r="F14" s="6">
        <v>466.9</v>
      </c>
      <c r="G14" s="77">
        <v>463.8</v>
      </c>
      <c r="H14" s="6">
        <v>458.1</v>
      </c>
      <c r="I14" s="6">
        <v>453.4</v>
      </c>
      <c r="J14" s="6">
        <v>447.3</v>
      </c>
      <c r="K14" s="80">
        <v>444.2</v>
      </c>
      <c r="L14" s="77">
        <v>473.9</v>
      </c>
      <c r="M14" s="6">
        <v>471.1</v>
      </c>
      <c r="N14" s="6">
        <v>467.7</v>
      </c>
      <c r="O14" s="6">
        <v>464.3</v>
      </c>
      <c r="P14" s="27">
        <v>459.1</v>
      </c>
      <c r="Q14" s="77">
        <v>464.9</v>
      </c>
      <c r="R14" s="6">
        <v>462.5</v>
      </c>
      <c r="S14" s="6">
        <v>469.4</v>
      </c>
      <c r="T14" s="6">
        <v>467.3</v>
      </c>
      <c r="U14" s="27"/>
      <c r="X14" s="6"/>
      <c r="Z14" s="6"/>
      <c r="AA14" s="6"/>
      <c r="AC14" s="6"/>
      <c r="AD14" s="6"/>
      <c r="AF14" s="6"/>
      <c r="AG14" s="6"/>
      <c r="AI14" s="6"/>
    </row>
    <row r="15" spans="1:37">
      <c r="A15" s="1">
        <v>14</v>
      </c>
      <c r="B15" s="37">
        <v>461.5</v>
      </c>
      <c r="C15" s="37">
        <v>458.7</v>
      </c>
      <c r="D15" s="37">
        <v>455.8</v>
      </c>
      <c r="E15" s="6">
        <v>453.3</v>
      </c>
      <c r="F15" s="6">
        <v>451.1</v>
      </c>
      <c r="G15" s="77">
        <v>470.4</v>
      </c>
      <c r="H15" s="6">
        <v>468.1</v>
      </c>
      <c r="I15" s="6">
        <v>465.5</v>
      </c>
      <c r="J15" s="6">
        <v>462.9</v>
      </c>
      <c r="K15" s="80">
        <v>460.1</v>
      </c>
      <c r="L15" s="77">
        <v>457.7</v>
      </c>
      <c r="M15" s="6">
        <v>460.7</v>
      </c>
      <c r="N15" s="6">
        <v>458.4</v>
      </c>
      <c r="O15" s="6">
        <v>461.3</v>
      </c>
      <c r="P15" s="27">
        <v>459.6</v>
      </c>
      <c r="Q15" s="77">
        <v>461</v>
      </c>
      <c r="R15" s="6">
        <v>459.9</v>
      </c>
      <c r="S15" s="6">
        <v>458.8</v>
      </c>
      <c r="T15" s="6">
        <v>457.9</v>
      </c>
      <c r="U15" s="27"/>
      <c r="X15" s="6"/>
      <c r="Z15" s="6"/>
      <c r="AA15" s="6"/>
      <c r="AC15" s="6"/>
      <c r="AD15" s="6"/>
      <c r="AF15" s="6"/>
      <c r="AG15" s="6"/>
      <c r="AI15" s="6"/>
    </row>
    <row r="16" spans="1:37">
      <c r="A16" s="1">
        <v>15</v>
      </c>
      <c r="B16" s="37">
        <v>460.9</v>
      </c>
      <c r="C16" s="37">
        <v>459.4</v>
      </c>
      <c r="D16" s="37">
        <v>458.4</v>
      </c>
      <c r="E16" s="6">
        <v>456.9</v>
      </c>
      <c r="F16" s="6">
        <v>455.9</v>
      </c>
      <c r="G16" s="77">
        <v>454.7</v>
      </c>
      <c r="H16" s="6">
        <v>452.3</v>
      </c>
      <c r="I16" s="6">
        <v>450.2</v>
      </c>
      <c r="J16" s="6">
        <v>448.9</v>
      </c>
      <c r="K16" s="80">
        <v>448.4</v>
      </c>
      <c r="L16" s="77">
        <v>447.4</v>
      </c>
      <c r="M16" s="6">
        <v>455.5</v>
      </c>
      <c r="N16" s="6">
        <v>455.3</v>
      </c>
      <c r="O16" s="6">
        <v>456.8</v>
      </c>
      <c r="P16" s="27">
        <v>456.4</v>
      </c>
      <c r="Q16" s="77">
        <v>471.3</v>
      </c>
      <c r="R16" s="6">
        <v>471</v>
      </c>
      <c r="S16" s="6">
        <v>452.2</v>
      </c>
      <c r="T16" s="6">
        <v>451.8</v>
      </c>
      <c r="U16" s="27"/>
      <c r="X16" s="6"/>
      <c r="Z16" s="6"/>
      <c r="AA16" s="6"/>
      <c r="AC16" s="6"/>
      <c r="AD16" s="6"/>
      <c r="AF16" s="6"/>
      <c r="AG16" s="6"/>
      <c r="AI16" s="6"/>
    </row>
    <row r="17" spans="1:37">
      <c r="A17" s="1">
        <v>16</v>
      </c>
      <c r="B17" s="37">
        <v>459.3</v>
      </c>
      <c r="C17" s="37">
        <v>457.9</v>
      </c>
      <c r="D17" s="37">
        <v>456.2</v>
      </c>
      <c r="E17" s="6">
        <v>453.6</v>
      </c>
      <c r="F17" s="6">
        <v>452</v>
      </c>
      <c r="G17" s="77">
        <v>473.5</v>
      </c>
      <c r="H17" s="6">
        <v>471</v>
      </c>
      <c r="I17" s="6">
        <v>468.2</v>
      </c>
      <c r="J17" s="6">
        <v>464.7</v>
      </c>
      <c r="K17" s="80">
        <v>463.3</v>
      </c>
      <c r="L17" s="77">
        <v>460.7</v>
      </c>
      <c r="M17" s="6">
        <v>460.1</v>
      </c>
      <c r="N17" s="6">
        <v>459.7</v>
      </c>
      <c r="O17" s="6">
        <v>453.8</v>
      </c>
      <c r="P17" s="27">
        <v>452.6</v>
      </c>
      <c r="Q17" s="77">
        <v>463.1</v>
      </c>
      <c r="R17" s="6">
        <v>462.7</v>
      </c>
      <c r="S17" s="6">
        <v>463.3</v>
      </c>
      <c r="T17" s="6">
        <v>462.9</v>
      </c>
      <c r="U17" s="27"/>
      <c r="X17" s="6"/>
      <c r="Z17" s="6"/>
      <c r="AA17" s="6"/>
      <c r="AC17" s="6"/>
      <c r="AD17" s="6"/>
      <c r="AF17" s="6"/>
      <c r="AG17" s="6"/>
      <c r="AI17" s="6"/>
    </row>
    <row r="18" spans="1:37">
      <c r="A18" s="1">
        <v>17</v>
      </c>
      <c r="B18" s="37">
        <v>473.8</v>
      </c>
      <c r="C18" s="37">
        <v>469</v>
      </c>
      <c r="D18" s="37">
        <v>462.8</v>
      </c>
      <c r="E18" s="6">
        <v>458</v>
      </c>
      <c r="F18" s="6">
        <v>453.8</v>
      </c>
      <c r="G18" s="77">
        <v>478.5</v>
      </c>
      <c r="H18" s="6">
        <v>473.8</v>
      </c>
      <c r="I18" s="6">
        <v>468.9</v>
      </c>
      <c r="J18" s="6">
        <v>463.5</v>
      </c>
      <c r="K18" s="80">
        <v>460.1</v>
      </c>
      <c r="L18" s="77">
        <v>455.6</v>
      </c>
      <c r="M18" s="6">
        <v>463.7</v>
      </c>
      <c r="N18" s="6">
        <v>459.1</v>
      </c>
      <c r="O18" s="6">
        <v>456.2</v>
      </c>
      <c r="P18" s="27">
        <v>453.1</v>
      </c>
      <c r="Q18" s="77">
        <v>464.7</v>
      </c>
      <c r="R18" s="6">
        <v>460.8</v>
      </c>
      <c r="S18" s="6">
        <v>475.4</v>
      </c>
      <c r="T18" s="6">
        <v>471.7</v>
      </c>
      <c r="U18" s="27"/>
      <c r="X18" s="6"/>
      <c r="Z18" s="6"/>
      <c r="AA18" s="6"/>
      <c r="AC18" s="6"/>
      <c r="AD18" s="6"/>
      <c r="AF18" s="6"/>
      <c r="AG18" s="6"/>
      <c r="AI18" s="6"/>
    </row>
    <row r="19" spans="1:37">
      <c r="A19" s="1">
        <v>18</v>
      </c>
      <c r="B19" s="37">
        <v>468.5</v>
      </c>
      <c r="C19" s="37">
        <v>464.8</v>
      </c>
      <c r="D19" s="37">
        <v>461.2</v>
      </c>
      <c r="E19" s="6">
        <v>457.7</v>
      </c>
      <c r="F19" s="6">
        <v>452.9</v>
      </c>
      <c r="G19" s="77">
        <v>472.9</v>
      </c>
      <c r="H19" s="6">
        <v>471.2</v>
      </c>
      <c r="I19" s="6">
        <v>468.7</v>
      </c>
      <c r="J19" s="6">
        <v>465.8</v>
      </c>
      <c r="K19" s="80">
        <v>462</v>
      </c>
      <c r="L19" s="77">
        <v>458.4</v>
      </c>
      <c r="M19" s="6">
        <v>463.2</v>
      </c>
      <c r="N19" s="6">
        <v>459.1</v>
      </c>
      <c r="O19" s="6">
        <v>452.4</v>
      </c>
      <c r="P19" s="27">
        <v>448.9</v>
      </c>
      <c r="Q19" s="77">
        <v>465.6</v>
      </c>
      <c r="R19" s="6">
        <v>464.4</v>
      </c>
      <c r="S19" s="6">
        <v>466</v>
      </c>
      <c r="T19" s="6">
        <v>463.9</v>
      </c>
      <c r="U19" s="27"/>
      <c r="X19" s="6"/>
      <c r="Z19" s="6"/>
      <c r="AA19" s="6"/>
      <c r="AC19" s="6"/>
      <c r="AD19" s="6"/>
      <c r="AF19" s="6"/>
      <c r="AG19" s="6"/>
      <c r="AI19" s="6"/>
      <c r="AK19" s="6"/>
    </row>
    <row r="20" spans="1:37">
      <c r="A20" s="1">
        <v>19</v>
      </c>
      <c r="B20" s="37">
        <v>459.7</v>
      </c>
      <c r="C20" s="37">
        <v>457.5</v>
      </c>
      <c r="D20" s="37">
        <v>456</v>
      </c>
      <c r="E20" s="6">
        <v>455.4</v>
      </c>
      <c r="F20" s="6">
        <v>454.1</v>
      </c>
      <c r="G20" s="77">
        <v>453.3</v>
      </c>
      <c r="H20" s="6">
        <v>452.2</v>
      </c>
      <c r="I20" s="6">
        <v>451.1</v>
      </c>
      <c r="J20" s="6">
        <v>450.4</v>
      </c>
      <c r="K20" s="80">
        <v>449</v>
      </c>
      <c r="L20" s="77">
        <v>465.7</v>
      </c>
      <c r="M20" s="6">
        <v>460.7</v>
      </c>
      <c r="N20" s="6">
        <v>460</v>
      </c>
      <c r="O20" s="6">
        <v>452.4</v>
      </c>
      <c r="P20" s="27">
        <v>452</v>
      </c>
      <c r="Q20" s="77">
        <v>461</v>
      </c>
      <c r="R20" s="6">
        <v>460.6</v>
      </c>
      <c r="S20" s="6">
        <v>461.7</v>
      </c>
      <c r="T20" s="6">
        <v>461.2</v>
      </c>
      <c r="U20" s="27"/>
      <c r="X20" s="6"/>
      <c r="Z20" s="6"/>
      <c r="AA20" s="6"/>
      <c r="AC20" s="6"/>
      <c r="AD20" s="6"/>
      <c r="AF20" s="6"/>
      <c r="AG20" s="6"/>
      <c r="AI20" s="6"/>
      <c r="AJ20" s="6"/>
    </row>
    <row r="21" spans="1:37">
      <c r="A21" s="1">
        <v>20</v>
      </c>
      <c r="B21" s="37">
        <v>478.5</v>
      </c>
      <c r="C21" s="37">
        <v>477.9</v>
      </c>
      <c r="D21" s="37">
        <v>477.2</v>
      </c>
      <c r="E21" s="6">
        <v>476.6</v>
      </c>
      <c r="F21" s="6">
        <v>475.9</v>
      </c>
      <c r="G21" s="77">
        <v>475.3</v>
      </c>
      <c r="H21" s="6">
        <v>474.7</v>
      </c>
      <c r="I21" s="6">
        <v>474.3</v>
      </c>
      <c r="J21" s="6">
        <v>473.7</v>
      </c>
      <c r="K21" s="80">
        <v>473</v>
      </c>
      <c r="L21" s="77">
        <v>472.3</v>
      </c>
      <c r="M21" s="6">
        <v>470.3</v>
      </c>
      <c r="N21" s="6">
        <v>470.2</v>
      </c>
      <c r="O21" s="6">
        <v>470.7</v>
      </c>
      <c r="P21" s="27">
        <v>470.3</v>
      </c>
      <c r="Q21" s="77">
        <v>474.4</v>
      </c>
      <c r="R21" s="6">
        <v>474</v>
      </c>
      <c r="S21" s="6">
        <v>476.6</v>
      </c>
      <c r="T21" s="6">
        <v>476.2</v>
      </c>
      <c r="U21" s="27"/>
      <c r="X21" s="6"/>
      <c r="Z21" s="6"/>
      <c r="AA21" s="6"/>
      <c r="AC21" s="6"/>
      <c r="AD21" s="6"/>
      <c r="AF21" s="6"/>
      <c r="AG21" s="6"/>
      <c r="AI21" s="6"/>
    </row>
    <row r="22" spans="1:37">
      <c r="A22" s="1">
        <v>21</v>
      </c>
      <c r="B22" s="37">
        <v>472.5</v>
      </c>
      <c r="C22" s="37">
        <v>470.2</v>
      </c>
      <c r="D22" s="37">
        <v>467.9</v>
      </c>
      <c r="E22" s="6">
        <v>465.4</v>
      </c>
      <c r="F22" s="6">
        <v>462.6</v>
      </c>
      <c r="G22" s="77">
        <v>460.3</v>
      </c>
      <c r="H22" s="6">
        <v>457.7</v>
      </c>
      <c r="I22" s="6">
        <v>456.3</v>
      </c>
      <c r="J22" s="6">
        <v>454.2</v>
      </c>
      <c r="K22" s="80">
        <v>452.3</v>
      </c>
      <c r="L22" s="77">
        <v>473.4</v>
      </c>
      <c r="M22" s="6">
        <v>465.3</v>
      </c>
      <c r="N22" s="6">
        <v>463.3</v>
      </c>
      <c r="O22" s="6">
        <v>467.6</v>
      </c>
      <c r="P22" s="27">
        <v>465.2</v>
      </c>
      <c r="Q22" s="77">
        <v>459.6</v>
      </c>
      <c r="R22" s="6">
        <v>458.3</v>
      </c>
      <c r="S22" s="6">
        <v>458.6</v>
      </c>
      <c r="T22" s="6">
        <v>457.7</v>
      </c>
      <c r="U22" s="27"/>
      <c r="X22" s="6"/>
      <c r="Z22" s="6"/>
      <c r="AA22" s="6"/>
      <c r="AC22" s="6"/>
      <c r="AD22" s="6"/>
      <c r="AF22" s="6"/>
      <c r="AG22" s="6"/>
      <c r="AI22" s="6"/>
    </row>
    <row r="23" spans="1:37">
      <c r="A23" s="1">
        <v>22</v>
      </c>
      <c r="B23" s="37">
        <v>464.5</v>
      </c>
      <c r="C23" s="37">
        <v>461.7</v>
      </c>
      <c r="D23" s="37">
        <v>457.8</v>
      </c>
      <c r="E23" s="6">
        <v>455</v>
      </c>
      <c r="F23" s="6">
        <v>452.2</v>
      </c>
      <c r="G23" s="77">
        <v>448.3</v>
      </c>
      <c r="H23" s="6">
        <v>445.7</v>
      </c>
      <c r="I23" s="6">
        <v>444.3</v>
      </c>
      <c r="J23" s="6">
        <v>438.8</v>
      </c>
      <c r="K23" s="80">
        <v>435.7</v>
      </c>
      <c r="L23" s="77">
        <v>463.4</v>
      </c>
      <c r="M23" s="6">
        <v>465.3</v>
      </c>
      <c r="N23" s="6">
        <v>462.9</v>
      </c>
      <c r="O23" s="6">
        <v>454.9</v>
      </c>
      <c r="P23" s="27">
        <v>452</v>
      </c>
      <c r="Q23" s="77">
        <v>455.9</v>
      </c>
      <c r="R23" s="6">
        <v>454.8</v>
      </c>
      <c r="S23" s="6">
        <v>467.4</v>
      </c>
      <c r="T23" s="6">
        <v>465.6</v>
      </c>
      <c r="U23" s="27"/>
      <c r="X23" s="6"/>
      <c r="Z23" s="6"/>
      <c r="AA23" s="6"/>
      <c r="AC23" s="6"/>
      <c r="AD23" s="6"/>
      <c r="AF23" s="6"/>
      <c r="AG23" s="6"/>
      <c r="AI23" s="6"/>
    </row>
    <row r="24" spans="1:37">
      <c r="A24" s="1">
        <v>23</v>
      </c>
      <c r="B24" s="37">
        <v>450.2</v>
      </c>
      <c r="C24" s="37">
        <v>447</v>
      </c>
      <c r="D24" s="37">
        <v>444.4</v>
      </c>
      <c r="E24" s="6">
        <v>456.9</v>
      </c>
      <c r="F24" s="6">
        <v>454.2</v>
      </c>
      <c r="G24" s="77">
        <v>451.1</v>
      </c>
      <c r="H24" s="6">
        <v>448.8</v>
      </c>
      <c r="I24" s="6">
        <v>446.3</v>
      </c>
      <c r="J24" s="6">
        <v>442</v>
      </c>
      <c r="K24" s="80">
        <v>440.3</v>
      </c>
      <c r="L24" s="77">
        <v>471.9</v>
      </c>
      <c r="M24" s="6">
        <v>462.4</v>
      </c>
      <c r="N24" s="6">
        <v>459.8</v>
      </c>
      <c r="O24" s="6">
        <v>463.5</v>
      </c>
      <c r="P24" s="27">
        <v>461.7</v>
      </c>
      <c r="Q24" s="77">
        <v>465.5</v>
      </c>
      <c r="R24" s="6">
        <v>464.3</v>
      </c>
      <c r="S24" s="6">
        <v>462.9</v>
      </c>
      <c r="T24" s="6">
        <v>461.7</v>
      </c>
      <c r="U24" s="27"/>
      <c r="X24" s="6"/>
      <c r="Z24" s="6"/>
      <c r="AA24" s="6"/>
      <c r="AC24" s="6"/>
      <c r="AD24" s="6"/>
      <c r="AF24" s="6"/>
      <c r="AG24" s="6"/>
      <c r="AI24" s="6"/>
    </row>
    <row r="25" spans="1:37">
      <c r="A25" s="1">
        <v>24</v>
      </c>
      <c r="B25" s="37">
        <v>453.4</v>
      </c>
      <c r="C25" s="37">
        <v>448.5</v>
      </c>
      <c r="D25" s="37">
        <v>444.4</v>
      </c>
      <c r="E25" s="6">
        <v>470</v>
      </c>
      <c r="F25" s="6">
        <v>465.5</v>
      </c>
      <c r="G25" s="77">
        <v>462.1</v>
      </c>
      <c r="H25" s="6">
        <v>457.2</v>
      </c>
      <c r="I25" s="6">
        <v>452.6</v>
      </c>
      <c r="J25" s="6">
        <v>448.6</v>
      </c>
      <c r="K25" s="80">
        <v>443.4</v>
      </c>
      <c r="L25" s="77">
        <v>465.1</v>
      </c>
      <c r="M25" s="6">
        <v>458.5</v>
      </c>
      <c r="N25" s="6">
        <v>455</v>
      </c>
      <c r="O25" s="6">
        <v>457.2</v>
      </c>
      <c r="P25" s="27">
        <v>452.8</v>
      </c>
      <c r="Q25" s="77">
        <v>461.4</v>
      </c>
      <c r="R25" s="6">
        <v>459.1</v>
      </c>
      <c r="S25" s="6">
        <v>457</v>
      </c>
      <c r="T25" s="6">
        <v>454.2</v>
      </c>
      <c r="U25" s="27"/>
      <c r="X25" s="6"/>
      <c r="Z25" s="6"/>
      <c r="AA25" s="6"/>
      <c r="AC25" s="6"/>
      <c r="AD25" s="6"/>
      <c r="AF25" s="6"/>
      <c r="AG25" s="6"/>
      <c r="AI25" s="6"/>
      <c r="AK25" s="6"/>
    </row>
    <row r="26" spans="1:37">
      <c r="A26" s="1">
        <v>25</v>
      </c>
      <c r="B26" s="37">
        <v>455.5</v>
      </c>
      <c r="C26" s="37">
        <v>450.8</v>
      </c>
      <c r="D26" s="37">
        <v>445.7</v>
      </c>
      <c r="E26" s="6">
        <v>475.2</v>
      </c>
      <c r="F26" s="6">
        <v>471.3</v>
      </c>
      <c r="G26" s="77">
        <v>466.5</v>
      </c>
      <c r="H26" s="6">
        <v>463</v>
      </c>
      <c r="I26" s="6">
        <v>458.4</v>
      </c>
      <c r="J26" s="6">
        <v>451.5</v>
      </c>
      <c r="K26" s="80">
        <v>446</v>
      </c>
      <c r="L26" s="77">
        <v>473.6</v>
      </c>
      <c r="M26" s="6">
        <v>471.2</v>
      </c>
      <c r="N26" s="6">
        <v>467</v>
      </c>
      <c r="O26" s="6">
        <v>465.6</v>
      </c>
      <c r="P26" s="27">
        <v>462.3</v>
      </c>
      <c r="Q26" s="77">
        <v>469.1</v>
      </c>
      <c r="R26" s="6">
        <v>466.3</v>
      </c>
      <c r="S26" s="6">
        <v>469.8</v>
      </c>
      <c r="T26" s="6">
        <v>467.4</v>
      </c>
      <c r="U26" s="27"/>
      <c r="X26" s="6"/>
      <c r="Z26" s="6"/>
      <c r="AA26" s="6"/>
      <c r="AC26" s="6"/>
      <c r="AD26" s="6"/>
      <c r="AF26" s="6"/>
      <c r="AG26" s="6"/>
      <c r="AI26" s="6"/>
    </row>
    <row r="27" spans="1:37">
      <c r="A27" s="1">
        <v>26</v>
      </c>
      <c r="B27" s="37">
        <v>461.6</v>
      </c>
      <c r="C27" s="37">
        <v>458.9</v>
      </c>
      <c r="D27" s="37">
        <v>456</v>
      </c>
      <c r="E27" s="6">
        <v>452.9</v>
      </c>
      <c r="F27" s="6">
        <v>450.3</v>
      </c>
      <c r="G27" s="77">
        <v>447.5</v>
      </c>
      <c r="H27" s="6">
        <v>445.4</v>
      </c>
      <c r="I27" s="6">
        <v>443.3</v>
      </c>
      <c r="J27" s="6">
        <v>441.1</v>
      </c>
      <c r="K27" s="80">
        <v>437.6</v>
      </c>
      <c r="L27" s="77">
        <v>471.3</v>
      </c>
      <c r="M27" s="6">
        <v>464.7</v>
      </c>
      <c r="N27" s="6">
        <v>461.6</v>
      </c>
      <c r="O27" s="6">
        <v>452.3</v>
      </c>
      <c r="P27" s="27">
        <v>449.4</v>
      </c>
      <c r="Q27" s="77">
        <v>467.2</v>
      </c>
      <c r="R27" s="6">
        <v>465.8</v>
      </c>
      <c r="S27" s="6">
        <v>461.1</v>
      </c>
      <c r="T27" s="6">
        <v>459.2</v>
      </c>
      <c r="U27" s="27"/>
      <c r="X27" s="6"/>
      <c r="Z27" s="6"/>
      <c r="AA27" s="6"/>
      <c r="AC27" s="6"/>
      <c r="AD27" s="6"/>
      <c r="AF27" s="6"/>
      <c r="AG27" s="6"/>
      <c r="AI27" s="6"/>
    </row>
    <row r="28" spans="1:37">
      <c r="A28" s="1">
        <v>27</v>
      </c>
      <c r="B28" s="37">
        <v>461.2</v>
      </c>
      <c r="C28" s="37">
        <v>457.9</v>
      </c>
      <c r="D28" s="37">
        <v>454.6</v>
      </c>
      <c r="E28" s="6">
        <v>450.6</v>
      </c>
      <c r="F28" s="6">
        <v>445.7</v>
      </c>
      <c r="G28" s="77">
        <v>469.9</v>
      </c>
      <c r="H28" s="6">
        <v>467.3</v>
      </c>
      <c r="I28" s="6">
        <v>464.2</v>
      </c>
      <c r="J28" s="6">
        <v>460.2</v>
      </c>
      <c r="K28" s="80">
        <v>457.3</v>
      </c>
      <c r="L28" s="77">
        <v>454.3</v>
      </c>
      <c r="M28" s="6">
        <v>462</v>
      </c>
      <c r="N28" s="6">
        <v>459.6</v>
      </c>
      <c r="O28" s="6">
        <v>465.2</v>
      </c>
      <c r="P28" s="27">
        <v>461.7</v>
      </c>
      <c r="Q28" s="77">
        <v>475.1</v>
      </c>
      <c r="R28" s="6">
        <v>474</v>
      </c>
      <c r="S28" s="6">
        <v>460.2</v>
      </c>
      <c r="T28" s="6">
        <v>458.5</v>
      </c>
      <c r="U28" s="27"/>
      <c r="X28" s="6"/>
      <c r="Z28" s="6"/>
      <c r="AA28" s="6"/>
      <c r="AC28" s="6"/>
      <c r="AD28" s="6"/>
      <c r="AF28" s="6"/>
      <c r="AG28" s="6"/>
      <c r="AI28" s="6"/>
      <c r="AK28" s="6"/>
    </row>
    <row r="29" spans="1:37">
      <c r="A29" s="1">
        <v>28</v>
      </c>
      <c r="B29" s="37">
        <v>462.1</v>
      </c>
      <c r="C29" s="37">
        <v>459.5</v>
      </c>
      <c r="D29" s="37">
        <v>457.1</v>
      </c>
      <c r="E29" s="6">
        <v>454.6</v>
      </c>
      <c r="F29" s="6">
        <v>451.5</v>
      </c>
      <c r="G29" s="77">
        <v>473.9</v>
      </c>
      <c r="H29" s="6">
        <v>470.2</v>
      </c>
      <c r="I29" s="6">
        <v>469.3</v>
      </c>
      <c r="J29" s="6">
        <v>468.2</v>
      </c>
      <c r="K29" s="80">
        <v>466.8</v>
      </c>
      <c r="L29" s="77">
        <v>465.3</v>
      </c>
      <c r="M29" s="6">
        <v>461.6</v>
      </c>
      <c r="N29" s="6">
        <v>460.3</v>
      </c>
      <c r="O29" s="6">
        <v>466.8</v>
      </c>
      <c r="P29" s="27">
        <v>465.5</v>
      </c>
      <c r="Q29" s="77">
        <v>488.2</v>
      </c>
      <c r="R29" s="6">
        <v>487.3</v>
      </c>
      <c r="S29" s="6">
        <v>467.9</v>
      </c>
      <c r="T29" s="6">
        <v>466.9</v>
      </c>
      <c r="U29" s="27"/>
      <c r="X29" s="6"/>
      <c r="Z29" s="6"/>
      <c r="AA29" s="6"/>
      <c r="AC29" s="6"/>
      <c r="AD29" s="6"/>
      <c r="AF29" s="6"/>
      <c r="AG29" s="6"/>
      <c r="AI29" s="6"/>
    </row>
    <row r="30" spans="1:37">
      <c r="A30" s="1">
        <v>29</v>
      </c>
      <c r="B30" s="37">
        <v>461.5</v>
      </c>
      <c r="C30" s="37">
        <v>460.5</v>
      </c>
      <c r="D30" s="37">
        <v>459.7</v>
      </c>
      <c r="E30" s="6">
        <v>458.5</v>
      </c>
      <c r="F30" s="6">
        <v>457.9</v>
      </c>
      <c r="G30" s="77">
        <v>456.7</v>
      </c>
      <c r="H30" s="6">
        <v>455.5</v>
      </c>
      <c r="I30" s="6">
        <v>453.9</v>
      </c>
      <c r="J30" s="6">
        <v>452.9</v>
      </c>
      <c r="K30" s="80">
        <v>451.1</v>
      </c>
      <c r="L30" s="77">
        <v>450.4</v>
      </c>
      <c r="M30" s="6">
        <v>461.6</v>
      </c>
      <c r="N30" s="6">
        <v>461.2</v>
      </c>
      <c r="O30" s="6">
        <v>465.8</v>
      </c>
      <c r="P30" s="27">
        <v>465.4</v>
      </c>
      <c r="Q30" s="77">
        <v>460.3</v>
      </c>
      <c r="R30" s="6">
        <v>459.8</v>
      </c>
      <c r="S30" s="6">
        <v>452.1</v>
      </c>
      <c r="T30" s="6">
        <v>451.5</v>
      </c>
      <c r="U30" s="27"/>
      <c r="X30" s="6"/>
      <c r="Z30" s="6"/>
      <c r="AA30" s="6"/>
      <c r="AC30" s="6"/>
      <c r="AD30" s="6"/>
      <c r="AF30" s="6"/>
      <c r="AG30" s="6"/>
      <c r="AI30" s="6"/>
    </row>
    <row r="31" spans="1:37">
      <c r="A31" s="1">
        <v>30</v>
      </c>
      <c r="B31" s="37">
        <v>459.8</v>
      </c>
      <c r="C31" s="37">
        <v>458.4</v>
      </c>
      <c r="D31" s="37">
        <v>456.9</v>
      </c>
      <c r="E31" s="6">
        <v>455.6</v>
      </c>
      <c r="F31" s="6">
        <v>454.8</v>
      </c>
      <c r="G31" s="77">
        <v>454.1</v>
      </c>
      <c r="H31" s="6">
        <v>453.2</v>
      </c>
      <c r="I31" s="6">
        <v>452</v>
      </c>
      <c r="J31" s="6">
        <v>451</v>
      </c>
      <c r="K31" s="80">
        <v>449.9</v>
      </c>
      <c r="L31" s="77">
        <v>463.9</v>
      </c>
      <c r="M31" s="6">
        <v>464</v>
      </c>
      <c r="N31" s="6">
        <v>463.8</v>
      </c>
      <c r="O31" s="6">
        <v>465</v>
      </c>
      <c r="P31" s="27">
        <v>464.5</v>
      </c>
      <c r="Q31" s="77">
        <v>457.8</v>
      </c>
      <c r="R31" s="6">
        <v>457.3</v>
      </c>
      <c r="S31" s="6">
        <v>449.1</v>
      </c>
      <c r="T31" s="6">
        <v>448.5</v>
      </c>
      <c r="U31" s="27"/>
      <c r="X31" s="6"/>
      <c r="Z31" s="6"/>
      <c r="AA31" s="6"/>
      <c r="AC31" s="6"/>
      <c r="AD31" s="6"/>
      <c r="AF31" s="6"/>
      <c r="AG31" s="6"/>
      <c r="AI31" s="6"/>
    </row>
    <row r="32" spans="1:37">
      <c r="A32" s="1">
        <v>31</v>
      </c>
      <c r="B32" s="37">
        <v>467.6</v>
      </c>
      <c r="C32" s="37">
        <v>464.8</v>
      </c>
      <c r="D32" s="37">
        <v>462.4</v>
      </c>
      <c r="E32" s="6">
        <v>461.3</v>
      </c>
      <c r="F32" s="6">
        <v>458.8</v>
      </c>
      <c r="G32" s="77">
        <v>476</v>
      </c>
      <c r="H32" s="6">
        <v>473.9</v>
      </c>
      <c r="I32" s="6">
        <v>470.3</v>
      </c>
      <c r="J32" s="6">
        <v>467.9</v>
      </c>
      <c r="K32" s="80">
        <v>465.9</v>
      </c>
      <c r="L32" s="77">
        <v>461.9</v>
      </c>
      <c r="M32" s="6">
        <v>461.7</v>
      </c>
      <c r="N32" s="6">
        <v>467.7</v>
      </c>
      <c r="O32" s="6">
        <v>467.4</v>
      </c>
      <c r="P32" s="27">
        <v>461.4</v>
      </c>
      <c r="Q32" s="77">
        <v>466.2</v>
      </c>
      <c r="R32" s="6">
        <v>465.8</v>
      </c>
      <c r="S32" s="6">
        <v>450.4</v>
      </c>
      <c r="T32" s="6">
        <v>449.8</v>
      </c>
      <c r="U32" s="27"/>
      <c r="X32" s="6"/>
      <c r="Z32" s="6"/>
      <c r="AA32" s="6"/>
      <c r="AC32" s="6"/>
      <c r="AD32" s="6"/>
      <c r="AF32" s="6"/>
      <c r="AG32" s="6"/>
      <c r="AI32" s="6"/>
    </row>
    <row r="33" spans="1:37">
      <c r="A33" s="1">
        <v>32</v>
      </c>
      <c r="B33" s="37">
        <v>453.2</v>
      </c>
      <c r="C33" s="37">
        <v>448.8</v>
      </c>
      <c r="D33" s="37">
        <v>445.4</v>
      </c>
      <c r="E33" s="6">
        <v>458.1</v>
      </c>
      <c r="F33" s="6">
        <v>456.2</v>
      </c>
      <c r="G33" s="77">
        <v>454.8</v>
      </c>
      <c r="H33" s="6">
        <v>451.4</v>
      </c>
      <c r="I33" s="6">
        <v>448</v>
      </c>
      <c r="J33" s="6">
        <v>444.6</v>
      </c>
      <c r="K33" s="80">
        <v>441.3</v>
      </c>
      <c r="L33" s="77">
        <v>454.5</v>
      </c>
      <c r="M33" s="6">
        <v>454.6</v>
      </c>
      <c r="N33" s="6">
        <v>464.4</v>
      </c>
      <c r="O33" s="6">
        <v>464.1</v>
      </c>
      <c r="P33" s="27">
        <v>458.4</v>
      </c>
      <c r="Q33" s="77">
        <v>454.1</v>
      </c>
      <c r="R33" s="6">
        <v>453.5</v>
      </c>
      <c r="S33" s="6">
        <v>467.7</v>
      </c>
      <c r="T33" s="6">
        <v>467.4</v>
      </c>
      <c r="U33" s="27"/>
      <c r="X33" s="6"/>
      <c r="Z33" s="6"/>
      <c r="AA33" s="6"/>
      <c r="AC33" s="6"/>
      <c r="AD33" s="6"/>
      <c r="AF33" s="6"/>
      <c r="AG33" s="6"/>
      <c r="AI33" s="6"/>
    </row>
    <row r="34" spans="1:37">
      <c r="A34" s="1">
        <v>33</v>
      </c>
      <c r="B34" s="37">
        <v>445.1</v>
      </c>
      <c r="C34" s="37">
        <v>443</v>
      </c>
      <c r="D34" s="37">
        <v>440.2</v>
      </c>
      <c r="E34" s="6">
        <v>468.7</v>
      </c>
      <c r="F34" s="6">
        <v>467.4</v>
      </c>
      <c r="G34" s="77">
        <v>464.8</v>
      </c>
      <c r="H34" s="6">
        <v>463.4</v>
      </c>
      <c r="I34" s="6">
        <v>461.6</v>
      </c>
      <c r="J34" s="6">
        <v>459.4</v>
      </c>
      <c r="K34" s="80">
        <v>456.5</v>
      </c>
      <c r="L34" s="77">
        <v>458.4</v>
      </c>
      <c r="M34" s="6">
        <v>464.2</v>
      </c>
      <c r="N34" s="6">
        <v>460.5</v>
      </c>
      <c r="O34" s="6">
        <v>457.7</v>
      </c>
      <c r="P34" s="27">
        <v>469.4</v>
      </c>
      <c r="Q34" s="77">
        <v>461.1</v>
      </c>
      <c r="R34" s="6">
        <v>459.8</v>
      </c>
      <c r="S34" s="6">
        <v>455.8</v>
      </c>
      <c r="T34" s="6">
        <v>453.8</v>
      </c>
      <c r="U34" s="27"/>
      <c r="X34" s="6"/>
      <c r="Z34" s="6"/>
      <c r="AA34" s="6"/>
      <c r="AC34" s="6"/>
      <c r="AD34" s="6"/>
      <c r="AF34" s="6"/>
      <c r="AG34" s="6"/>
      <c r="AI34" s="6"/>
    </row>
    <row r="35" spans="1:37">
      <c r="A35" s="1">
        <v>34</v>
      </c>
      <c r="B35" s="37">
        <v>464.8</v>
      </c>
      <c r="C35" s="37">
        <v>459.8</v>
      </c>
      <c r="D35" s="37">
        <v>454.6</v>
      </c>
      <c r="E35" s="6">
        <v>463.7</v>
      </c>
      <c r="F35" s="6">
        <v>456.4</v>
      </c>
      <c r="G35" s="77">
        <v>479</v>
      </c>
      <c r="H35" s="6">
        <v>477.1</v>
      </c>
      <c r="I35" s="6">
        <v>473.6</v>
      </c>
      <c r="J35" s="6">
        <v>468.6</v>
      </c>
      <c r="K35" s="80">
        <v>464.9</v>
      </c>
      <c r="L35" s="77">
        <v>458</v>
      </c>
      <c r="M35" s="6">
        <v>460.3</v>
      </c>
      <c r="N35" s="6">
        <v>459.7</v>
      </c>
      <c r="O35" s="6">
        <v>455.1</v>
      </c>
      <c r="P35" s="27">
        <v>460</v>
      </c>
      <c r="Q35" s="77">
        <v>458.6</v>
      </c>
      <c r="R35" s="6">
        <v>455.8</v>
      </c>
      <c r="S35" s="6">
        <v>465.8</v>
      </c>
      <c r="T35" s="6">
        <v>463</v>
      </c>
      <c r="U35" s="27"/>
      <c r="X35" s="6"/>
      <c r="Z35" s="6"/>
      <c r="AA35" s="6"/>
      <c r="AC35" s="6"/>
      <c r="AD35" s="6"/>
      <c r="AF35" s="6"/>
      <c r="AG35" s="6"/>
      <c r="AI35" s="6"/>
    </row>
    <row r="36" spans="1:37">
      <c r="A36" s="1">
        <v>35</v>
      </c>
      <c r="B36" s="37">
        <v>451.1</v>
      </c>
      <c r="C36" s="37">
        <v>449.4</v>
      </c>
      <c r="D36" s="37">
        <v>447.4</v>
      </c>
      <c r="E36" s="6">
        <v>445</v>
      </c>
      <c r="F36" s="6">
        <v>442.6</v>
      </c>
      <c r="G36" s="77">
        <v>469.9</v>
      </c>
      <c r="H36" s="6">
        <v>467.2</v>
      </c>
      <c r="I36" s="6">
        <v>465.3</v>
      </c>
      <c r="J36" s="6">
        <v>462.6</v>
      </c>
      <c r="K36" s="80">
        <v>460.7</v>
      </c>
      <c r="L36" s="77">
        <v>451.2</v>
      </c>
      <c r="M36" s="6">
        <v>453</v>
      </c>
      <c r="N36" s="6">
        <v>451.6</v>
      </c>
      <c r="O36" s="6">
        <v>448.9</v>
      </c>
      <c r="P36" s="27">
        <v>456.4</v>
      </c>
      <c r="Q36" s="77">
        <v>449.6</v>
      </c>
      <c r="R36" s="6">
        <v>448</v>
      </c>
      <c r="S36" s="6">
        <v>456.3</v>
      </c>
      <c r="T36" s="6">
        <v>455.4</v>
      </c>
      <c r="U36" s="27"/>
      <c r="X36" s="6"/>
      <c r="Z36" s="6"/>
      <c r="AA36" s="6"/>
      <c r="AC36" s="6"/>
      <c r="AD36" s="6"/>
      <c r="AF36" s="6"/>
      <c r="AG36" s="6"/>
      <c r="AI36" s="6"/>
    </row>
    <row r="37" spans="1:37">
      <c r="A37" s="1">
        <v>36</v>
      </c>
      <c r="B37" s="37">
        <v>471.8</v>
      </c>
      <c r="C37" s="37">
        <v>467.8</v>
      </c>
      <c r="D37" s="37">
        <v>463.4</v>
      </c>
      <c r="E37" s="6">
        <v>460.7</v>
      </c>
      <c r="F37" s="6">
        <v>457.3</v>
      </c>
      <c r="G37" s="77">
        <v>452.9</v>
      </c>
      <c r="H37" s="6">
        <v>449.6</v>
      </c>
      <c r="I37" s="6">
        <v>445.8</v>
      </c>
      <c r="J37" s="6">
        <v>441.7</v>
      </c>
      <c r="K37" s="80">
        <v>438.1</v>
      </c>
      <c r="L37" s="77">
        <v>457.5</v>
      </c>
      <c r="M37" s="6">
        <v>451.9</v>
      </c>
      <c r="N37" s="6">
        <v>456.2</v>
      </c>
      <c r="O37" s="6">
        <v>453.6</v>
      </c>
      <c r="P37" s="27">
        <v>450.2</v>
      </c>
      <c r="Q37" s="77">
        <v>460.4</v>
      </c>
      <c r="R37" s="6">
        <v>459.3</v>
      </c>
      <c r="S37" s="6">
        <v>460.4</v>
      </c>
      <c r="T37" s="6">
        <v>458.4</v>
      </c>
      <c r="U37" s="27"/>
      <c r="X37" s="6"/>
      <c r="Z37" s="6"/>
      <c r="AA37" s="6"/>
      <c r="AC37" s="6"/>
      <c r="AD37" s="6"/>
      <c r="AF37" s="6"/>
      <c r="AG37" s="6"/>
      <c r="AI37" s="6"/>
    </row>
    <row r="38" spans="1:37">
      <c r="A38" s="1">
        <v>37</v>
      </c>
      <c r="B38" s="37">
        <v>459.7</v>
      </c>
      <c r="C38" s="37">
        <v>455</v>
      </c>
      <c r="D38" s="37">
        <v>449.9</v>
      </c>
      <c r="E38" s="6">
        <v>457</v>
      </c>
      <c r="F38" s="6">
        <v>452.4</v>
      </c>
      <c r="G38" s="77">
        <v>472</v>
      </c>
      <c r="H38" s="6">
        <v>467.1</v>
      </c>
      <c r="I38" s="6">
        <v>462.6</v>
      </c>
      <c r="J38" s="6">
        <v>457.4</v>
      </c>
      <c r="K38" s="80">
        <v>453</v>
      </c>
      <c r="L38" s="77">
        <v>446.1</v>
      </c>
      <c r="M38" s="6">
        <v>460</v>
      </c>
      <c r="N38" s="6">
        <v>452.8</v>
      </c>
      <c r="O38" s="6">
        <v>446.9</v>
      </c>
      <c r="P38" s="27">
        <v>457.6</v>
      </c>
      <c r="Q38" s="77">
        <v>454.8</v>
      </c>
      <c r="R38" s="6">
        <v>451.5</v>
      </c>
      <c r="S38" s="6">
        <v>456.6</v>
      </c>
      <c r="T38" s="6">
        <v>453.8</v>
      </c>
      <c r="U38" s="27"/>
      <c r="X38" s="6"/>
      <c r="Z38" s="6"/>
      <c r="AA38" s="6"/>
      <c r="AC38" s="6"/>
      <c r="AD38" s="6"/>
      <c r="AF38" s="6"/>
      <c r="AG38" s="6"/>
      <c r="AI38" s="6"/>
    </row>
    <row r="39" spans="1:37">
      <c r="A39" s="1">
        <v>38</v>
      </c>
      <c r="B39" s="37">
        <v>445.3</v>
      </c>
      <c r="C39" s="37">
        <v>443.8</v>
      </c>
      <c r="D39" s="37">
        <v>441.4</v>
      </c>
      <c r="E39" s="6">
        <v>461.6</v>
      </c>
      <c r="F39" s="6">
        <v>459.3</v>
      </c>
      <c r="G39" s="77">
        <v>457</v>
      </c>
      <c r="H39" s="6">
        <v>454.6</v>
      </c>
      <c r="I39" s="6">
        <v>452.6</v>
      </c>
      <c r="J39" s="6">
        <v>450.5</v>
      </c>
      <c r="K39" s="80">
        <v>448</v>
      </c>
      <c r="L39" s="77">
        <v>453</v>
      </c>
      <c r="M39" s="6">
        <v>447.5</v>
      </c>
      <c r="N39" s="6">
        <v>451</v>
      </c>
      <c r="O39" s="6">
        <v>447.8</v>
      </c>
      <c r="P39" s="27">
        <v>448.2</v>
      </c>
      <c r="Q39" s="77">
        <v>452.9</v>
      </c>
      <c r="R39" s="6">
        <v>451.4</v>
      </c>
      <c r="S39" s="6">
        <v>451.6</v>
      </c>
      <c r="T39" s="6">
        <v>449.7</v>
      </c>
      <c r="U39" s="27"/>
      <c r="X39" s="6"/>
      <c r="Z39" s="6"/>
      <c r="AA39" s="6"/>
      <c r="AC39" s="6"/>
      <c r="AD39" s="6"/>
      <c r="AF39" s="6"/>
      <c r="AG39" s="6"/>
      <c r="AI39" s="6"/>
    </row>
    <row r="40" spans="1:37">
      <c r="A40" s="1">
        <v>39</v>
      </c>
      <c r="B40" s="37">
        <v>439.5</v>
      </c>
      <c r="C40" s="37">
        <v>435.8</v>
      </c>
      <c r="D40" s="37">
        <v>431.2</v>
      </c>
      <c r="E40" s="6">
        <v>455.4</v>
      </c>
      <c r="F40" s="6">
        <v>450.6</v>
      </c>
      <c r="G40" s="77">
        <v>474.1</v>
      </c>
      <c r="H40" s="6">
        <v>466.6</v>
      </c>
      <c r="I40" s="6">
        <v>460.7</v>
      </c>
      <c r="J40" s="6">
        <v>456.1</v>
      </c>
      <c r="K40" s="80">
        <v>452.1</v>
      </c>
      <c r="L40" s="77">
        <v>448.3</v>
      </c>
      <c r="M40" s="6">
        <v>460.6</v>
      </c>
      <c r="N40" s="6">
        <v>452.4</v>
      </c>
      <c r="O40" s="6">
        <v>451.7</v>
      </c>
      <c r="P40" s="27">
        <v>460.6</v>
      </c>
      <c r="Q40" s="77">
        <v>456.4</v>
      </c>
      <c r="R40" s="6">
        <v>456</v>
      </c>
      <c r="S40" s="6">
        <v>460</v>
      </c>
      <c r="T40" s="6">
        <v>459.5</v>
      </c>
      <c r="U40" s="27"/>
      <c r="X40" s="6"/>
      <c r="Z40" s="6"/>
      <c r="AA40" s="6"/>
      <c r="AC40" s="6"/>
      <c r="AD40" s="6"/>
      <c r="AF40" s="6"/>
      <c r="AG40" s="6"/>
      <c r="AI40" s="6"/>
    </row>
    <row r="41" spans="1:37">
      <c r="A41" s="1">
        <v>40</v>
      </c>
      <c r="B41" s="37">
        <v>459.7</v>
      </c>
      <c r="C41" s="37">
        <v>459</v>
      </c>
      <c r="D41" s="37">
        <v>458.6</v>
      </c>
      <c r="E41" s="6">
        <v>458.3</v>
      </c>
      <c r="F41" s="6">
        <v>457.4</v>
      </c>
      <c r="G41" s="77">
        <v>456.4</v>
      </c>
      <c r="H41" s="6">
        <v>455.8</v>
      </c>
      <c r="I41" s="6">
        <v>454.9</v>
      </c>
      <c r="J41" s="6">
        <v>454.5</v>
      </c>
      <c r="K41" s="80">
        <v>453.8</v>
      </c>
      <c r="L41" s="77">
        <v>454.6</v>
      </c>
      <c r="M41" s="6">
        <v>450</v>
      </c>
      <c r="N41" s="6">
        <v>455.5</v>
      </c>
      <c r="O41" s="6">
        <v>455.2</v>
      </c>
      <c r="P41" s="27">
        <v>458.7</v>
      </c>
      <c r="Q41" s="77">
        <v>453.4</v>
      </c>
      <c r="R41" s="6">
        <v>453</v>
      </c>
      <c r="S41" s="6">
        <v>461.5</v>
      </c>
      <c r="T41" s="6">
        <v>461</v>
      </c>
      <c r="U41" s="27"/>
      <c r="X41" s="6"/>
      <c r="Z41" s="6"/>
      <c r="AA41" s="6"/>
      <c r="AC41" s="6"/>
      <c r="AD41" s="6"/>
      <c r="AF41" s="6"/>
      <c r="AG41" s="6"/>
      <c r="AI41" s="6"/>
      <c r="AK41" s="6"/>
    </row>
    <row r="42" spans="1:37">
      <c r="A42" s="1">
        <v>41</v>
      </c>
      <c r="B42" s="37">
        <v>431.7</v>
      </c>
      <c r="C42" s="37">
        <v>427.1</v>
      </c>
      <c r="D42" s="37">
        <v>423.1</v>
      </c>
      <c r="E42" s="6">
        <v>456.9</v>
      </c>
      <c r="F42" s="6">
        <v>453.1</v>
      </c>
      <c r="G42" s="77">
        <v>448.7</v>
      </c>
      <c r="H42" s="6">
        <v>444.6</v>
      </c>
      <c r="I42" s="6">
        <v>438.3</v>
      </c>
      <c r="J42" s="6">
        <v>434.9</v>
      </c>
      <c r="K42" s="80">
        <v>431.6</v>
      </c>
      <c r="L42" s="77">
        <v>450.9</v>
      </c>
      <c r="M42" s="6">
        <v>448.7</v>
      </c>
      <c r="N42" s="6">
        <v>459.7</v>
      </c>
      <c r="O42" s="6">
        <v>456</v>
      </c>
      <c r="P42" s="27">
        <v>460.8</v>
      </c>
      <c r="Q42" s="77">
        <v>451.8</v>
      </c>
      <c r="R42" s="6">
        <v>449.9</v>
      </c>
      <c r="S42" s="6">
        <v>470.9</v>
      </c>
      <c r="T42" s="6">
        <v>469.2</v>
      </c>
      <c r="U42" s="27"/>
      <c r="X42" s="6"/>
      <c r="Z42" s="6"/>
      <c r="AA42" s="6"/>
      <c r="AC42" s="6"/>
      <c r="AD42" s="6"/>
      <c r="AF42" s="6"/>
      <c r="AG42" s="6"/>
      <c r="AI42" s="6"/>
      <c r="AJ42" s="6"/>
    </row>
    <row r="43" spans="1:37">
      <c r="A43" s="1">
        <v>42</v>
      </c>
      <c r="B43" s="37">
        <v>454.7</v>
      </c>
      <c r="C43" s="37">
        <v>452.3</v>
      </c>
      <c r="D43" s="37">
        <v>450.5</v>
      </c>
      <c r="E43" s="6">
        <v>447.7</v>
      </c>
      <c r="F43" s="6">
        <v>446</v>
      </c>
      <c r="G43" s="77">
        <v>466.6</v>
      </c>
      <c r="H43" s="6">
        <v>465.1</v>
      </c>
      <c r="I43" s="6">
        <v>462.4</v>
      </c>
      <c r="J43" s="6">
        <v>459.9</v>
      </c>
      <c r="K43" s="80">
        <v>457.8</v>
      </c>
      <c r="L43" s="77">
        <v>452.5</v>
      </c>
      <c r="M43" s="6">
        <v>460.9</v>
      </c>
      <c r="N43" s="6">
        <v>455.8</v>
      </c>
      <c r="O43" s="6">
        <v>453.2</v>
      </c>
      <c r="P43" s="27">
        <v>467.9</v>
      </c>
      <c r="Q43" s="77">
        <v>462.7</v>
      </c>
      <c r="R43" s="6">
        <v>461.8</v>
      </c>
      <c r="S43" s="6">
        <v>458.3</v>
      </c>
      <c r="T43" s="6">
        <v>457.7</v>
      </c>
      <c r="U43" s="27"/>
      <c r="X43" s="6"/>
      <c r="Z43" s="6"/>
      <c r="AA43" s="6"/>
      <c r="AC43" s="6"/>
      <c r="AD43" s="6"/>
      <c r="AF43" s="6"/>
      <c r="AG43" s="6"/>
      <c r="AI43" s="6"/>
    </row>
    <row r="44" spans="1:37">
      <c r="A44" s="1">
        <v>43</v>
      </c>
      <c r="B44" s="37">
        <v>450.2</v>
      </c>
      <c r="C44" s="37">
        <v>448.5</v>
      </c>
      <c r="D44" s="37">
        <v>446.4</v>
      </c>
      <c r="E44" s="6">
        <v>445.2</v>
      </c>
      <c r="F44" s="6">
        <v>443.4</v>
      </c>
      <c r="G44" s="77">
        <v>480.1</v>
      </c>
      <c r="H44" s="6">
        <v>478.2</v>
      </c>
      <c r="I44" s="6">
        <v>476.8</v>
      </c>
      <c r="J44" s="6">
        <v>474.4</v>
      </c>
      <c r="K44" s="80">
        <v>472.5</v>
      </c>
      <c r="L44" s="77">
        <v>455</v>
      </c>
      <c r="M44" s="6">
        <v>453</v>
      </c>
      <c r="N44" s="6">
        <v>461.7</v>
      </c>
      <c r="O44" s="6">
        <v>460.7</v>
      </c>
      <c r="P44" s="27">
        <v>462.2</v>
      </c>
      <c r="Q44" s="77">
        <v>462.5</v>
      </c>
      <c r="R44" s="6">
        <v>461.7</v>
      </c>
      <c r="S44" s="6">
        <v>460.1</v>
      </c>
      <c r="T44" s="6">
        <v>459.4</v>
      </c>
      <c r="U44" s="27"/>
      <c r="X44" s="6"/>
      <c r="Z44" s="6"/>
      <c r="AA44" s="6"/>
      <c r="AC44" s="6"/>
      <c r="AD44" s="6"/>
      <c r="AF44" s="6"/>
      <c r="AG44" s="6"/>
      <c r="AI44" s="6"/>
    </row>
    <row r="45" spans="1:37">
      <c r="A45" s="1">
        <v>44</v>
      </c>
      <c r="B45" s="37">
        <v>442.1</v>
      </c>
      <c r="C45" s="37">
        <v>439.8</v>
      </c>
      <c r="D45" s="37">
        <v>437.5</v>
      </c>
      <c r="E45" s="6">
        <v>469</v>
      </c>
      <c r="F45" s="6">
        <v>466.9</v>
      </c>
      <c r="G45" s="77">
        <v>464.5</v>
      </c>
      <c r="H45" s="6">
        <v>462</v>
      </c>
      <c r="I45" s="6">
        <v>459.2</v>
      </c>
      <c r="J45" s="6">
        <v>457.5</v>
      </c>
      <c r="K45" s="80">
        <v>455.3</v>
      </c>
      <c r="L45" s="77">
        <v>466.5</v>
      </c>
      <c r="M45" s="6">
        <v>473.4</v>
      </c>
      <c r="N45" s="6">
        <v>461.9</v>
      </c>
      <c r="O45" s="6">
        <v>460.4</v>
      </c>
      <c r="P45" s="27">
        <v>462.6</v>
      </c>
      <c r="Q45" s="77">
        <v>472</v>
      </c>
      <c r="R45" s="6">
        <v>470.9</v>
      </c>
      <c r="S45" s="6">
        <v>463</v>
      </c>
      <c r="T45" s="6">
        <v>462.4</v>
      </c>
      <c r="U45" s="27"/>
      <c r="X45" s="6"/>
      <c r="Z45" s="6"/>
      <c r="AA45" s="6"/>
      <c r="AC45" s="6"/>
      <c r="AD45" s="6"/>
      <c r="AF45" s="6"/>
      <c r="AG45" s="6"/>
      <c r="AI45" s="6"/>
    </row>
    <row r="46" spans="1:37">
      <c r="A46" s="1">
        <v>45</v>
      </c>
      <c r="B46" s="37">
        <v>448.1</v>
      </c>
      <c r="C46" s="37">
        <v>443.6</v>
      </c>
      <c r="D46" s="37">
        <v>441.5</v>
      </c>
      <c r="E46" s="6">
        <v>439.2</v>
      </c>
      <c r="F46" s="6">
        <v>436.7</v>
      </c>
      <c r="G46" s="77">
        <v>470.6</v>
      </c>
      <c r="H46" s="6">
        <v>468.1</v>
      </c>
      <c r="I46" s="6">
        <v>466.2</v>
      </c>
      <c r="J46" s="6">
        <v>462.3</v>
      </c>
      <c r="K46" s="80">
        <v>460.2</v>
      </c>
      <c r="L46" s="77">
        <v>449.4</v>
      </c>
      <c r="M46" s="6">
        <v>455.2</v>
      </c>
      <c r="N46" s="6">
        <v>459.5</v>
      </c>
      <c r="O46" s="6">
        <v>455.5</v>
      </c>
      <c r="P46" s="27">
        <v>458.8</v>
      </c>
      <c r="Q46" s="77">
        <v>458</v>
      </c>
      <c r="R46" s="6">
        <v>456.8</v>
      </c>
      <c r="S46" s="6">
        <v>457.1</v>
      </c>
      <c r="T46" s="6">
        <v>454.9</v>
      </c>
      <c r="U46" s="27"/>
      <c r="X46" s="6"/>
      <c r="Z46" s="6"/>
      <c r="AA46" s="6"/>
      <c r="AC46" s="6"/>
      <c r="AD46" s="6"/>
      <c r="AF46" s="6"/>
      <c r="AG46" s="6"/>
      <c r="AI46" s="6"/>
    </row>
    <row r="47" spans="1:37">
      <c r="A47" s="1">
        <v>46</v>
      </c>
      <c r="B47" s="37">
        <v>468.5</v>
      </c>
      <c r="C47" s="37">
        <v>459.9</v>
      </c>
      <c r="D47" s="37">
        <v>454.2</v>
      </c>
      <c r="E47" s="6">
        <v>481.4</v>
      </c>
      <c r="F47" s="6">
        <v>477</v>
      </c>
      <c r="G47" s="77">
        <v>470.5</v>
      </c>
      <c r="H47" s="6">
        <v>465.2</v>
      </c>
      <c r="I47" s="6">
        <v>458</v>
      </c>
      <c r="J47" s="6">
        <v>451.9</v>
      </c>
      <c r="K47" s="80">
        <v>444.6</v>
      </c>
      <c r="L47" s="77">
        <v>452.1</v>
      </c>
      <c r="M47" s="6">
        <v>475.9</v>
      </c>
      <c r="N47" s="6">
        <v>464.1</v>
      </c>
      <c r="O47" s="6">
        <v>456.1</v>
      </c>
      <c r="P47" s="27">
        <v>474.6</v>
      </c>
      <c r="Q47" s="77">
        <v>472.6</v>
      </c>
      <c r="R47" s="6">
        <v>469.4</v>
      </c>
      <c r="S47" s="6">
        <v>469.1</v>
      </c>
      <c r="T47" s="6">
        <v>464.3</v>
      </c>
      <c r="U47" s="27"/>
      <c r="X47" s="6"/>
      <c r="Z47" s="6"/>
      <c r="AA47" s="6"/>
      <c r="AC47" s="6"/>
      <c r="AD47" s="6"/>
      <c r="AF47" s="6"/>
      <c r="AG47" s="6"/>
      <c r="AI47" s="6"/>
    </row>
    <row r="48" spans="1:37">
      <c r="A48" s="1">
        <v>47</v>
      </c>
      <c r="B48" s="37">
        <v>464.2</v>
      </c>
      <c r="C48" s="37">
        <v>462</v>
      </c>
      <c r="D48" s="37">
        <v>458.7</v>
      </c>
      <c r="E48" s="6">
        <v>455.7</v>
      </c>
      <c r="F48" s="6">
        <v>452.5</v>
      </c>
      <c r="G48" s="77">
        <v>480.2</v>
      </c>
      <c r="H48" s="6">
        <v>476.6</v>
      </c>
      <c r="I48" s="6">
        <v>474.3</v>
      </c>
      <c r="J48" s="6">
        <v>471</v>
      </c>
      <c r="K48" s="80">
        <v>468.3</v>
      </c>
      <c r="L48" s="77">
        <v>456.7</v>
      </c>
      <c r="M48" s="6">
        <v>464.9</v>
      </c>
      <c r="N48" s="6">
        <v>462.8</v>
      </c>
      <c r="O48" s="6">
        <v>462.4</v>
      </c>
      <c r="P48" s="27">
        <v>461.1</v>
      </c>
      <c r="Q48" s="77">
        <v>462.3</v>
      </c>
      <c r="R48" s="6">
        <v>461.8</v>
      </c>
      <c r="S48" s="6">
        <v>461.8</v>
      </c>
      <c r="T48" s="6">
        <v>461.4</v>
      </c>
      <c r="U48" s="27"/>
      <c r="X48" s="6"/>
      <c r="Z48" s="6"/>
      <c r="AA48" s="6"/>
      <c r="AC48" s="6"/>
      <c r="AD48" s="6"/>
      <c r="AF48" s="6"/>
      <c r="AG48" s="6"/>
      <c r="AI48" s="6"/>
    </row>
    <row r="49" spans="1:37">
      <c r="A49" s="1">
        <v>48</v>
      </c>
      <c r="B49" s="37">
        <v>460.1</v>
      </c>
      <c r="C49" s="37">
        <v>452.9</v>
      </c>
      <c r="D49" s="37">
        <v>448.8</v>
      </c>
      <c r="E49" s="6">
        <v>472.7</v>
      </c>
      <c r="F49" s="6">
        <v>467.2</v>
      </c>
      <c r="G49" s="77">
        <v>463.1</v>
      </c>
      <c r="H49" s="6">
        <v>457.3</v>
      </c>
      <c r="I49" s="6">
        <v>448.5</v>
      </c>
      <c r="J49" s="6">
        <v>439.5</v>
      </c>
      <c r="K49" s="80">
        <v>435</v>
      </c>
      <c r="L49" s="77">
        <v>452.6</v>
      </c>
      <c r="M49" s="6">
        <v>461.6</v>
      </c>
      <c r="N49" s="6">
        <v>457.9</v>
      </c>
      <c r="O49" s="6">
        <v>457.1</v>
      </c>
      <c r="P49" s="27">
        <v>458</v>
      </c>
      <c r="Q49" s="77">
        <v>463.8</v>
      </c>
      <c r="R49" s="6">
        <v>463.1</v>
      </c>
      <c r="S49" s="6">
        <v>462.4</v>
      </c>
      <c r="T49" s="6">
        <v>462</v>
      </c>
      <c r="U49" s="27"/>
      <c r="X49" s="6"/>
      <c r="Z49" s="6"/>
      <c r="AA49" s="6"/>
      <c r="AC49" s="6"/>
      <c r="AD49" s="6"/>
      <c r="AF49" s="6"/>
      <c r="AG49" s="6"/>
      <c r="AI49" s="6"/>
      <c r="AK49" s="6"/>
    </row>
    <row r="50" spans="1:37">
      <c r="A50" s="1">
        <v>49</v>
      </c>
      <c r="B50" s="37">
        <v>460</v>
      </c>
      <c r="C50" s="37">
        <v>456.1</v>
      </c>
      <c r="D50" s="37">
        <v>451.2</v>
      </c>
      <c r="E50" s="6">
        <v>468.3</v>
      </c>
      <c r="F50" s="6">
        <v>465.2</v>
      </c>
      <c r="G50" s="77">
        <v>461.5</v>
      </c>
      <c r="H50" s="6">
        <v>458.4</v>
      </c>
      <c r="I50" s="6">
        <v>453.9</v>
      </c>
      <c r="J50" s="6">
        <v>449.5</v>
      </c>
      <c r="K50" s="80">
        <v>447</v>
      </c>
      <c r="L50" s="77">
        <v>462.2</v>
      </c>
      <c r="M50" s="6">
        <v>468.4</v>
      </c>
      <c r="N50" s="6">
        <v>469.4</v>
      </c>
      <c r="O50" s="6">
        <v>468.7</v>
      </c>
      <c r="P50" s="27">
        <v>458.4</v>
      </c>
      <c r="Q50" s="77">
        <v>468.2</v>
      </c>
      <c r="R50" s="6">
        <v>467.7</v>
      </c>
      <c r="S50" s="6">
        <v>474.1</v>
      </c>
      <c r="T50" s="6">
        <v>473.7</v>
      </c>
      <c r="U50" s="27"/>
      <c r="X50" s="6"/>
      <c r="Z50" s="6"/>
      <c r="AA50" s="6"/>
      <c r="AC50" s="6"/>
      <c r="AD50" s="6"/>
      <c r="AF50" s="6"/>
      <c r="AG50" s="6"/>
      <c r="AI50" s="6"/>
    </row>
    <row r="51" spans="1:37">
      <c r="A51" s="1">
        <v>50</v>
      </c>
      <c r="B51" s="37">
        <v>462.2</v>
      </c>
      <c r="C51" s="37">
        <v>459.4</v>
      </c>
      <c r="D51" s="37">
        <v>456.3</v>
      </c>
      <c r="E51" s="6">
        <v>453.2</v>
      </c>
      <c r="F51" s="6">
        <v>451.4</v>
      </c>
      <c r="G51" s="77">
        <v>448.5</v>
      </c>
      <c r="H51" s="6">
        <v>446.1</v>
      </c>
      <c r="I51" s="6">
        <v>443.6</v>
      </c>
      <c r="J51" s="6">
        <v>441.2</v>
      </c>
      <c r="K51" s="80">
        <v>438.7</v>
      </c>
      <c r="L51" s="77">
        <v>453.4</v>
      </c>
      <c r="M51" s="6">
        <v>454</v>
      </c>
      <c r="N51" s="6">
        <v>459.6</v>
      </c>
      <c r="O51" s="6">
        <v>457.1</v>
      </c>
      <c r="P51" s="27">
        <v>464.9</v>
      </c>
      <c r="Q51" s="77">
        <v>466.3</v>
      </c>
      <c r="R51" s="6">
        <v>465.1</v>
      </c>
      <c r="S51" s="6">
        <v>463.6</v>
      </c>
      <c r="T51" s="6">
        <v>462.9</v>
      </c>
      <c r="U51" s="27"/>
      <c r="X51" s="6"/>
      <c r="Z51" s="6"/>
      <c r="AA51" s="6"/>
      <c r="AC51" s="6"/>
      <c r="AD51" s="6"/>
      <c r="AF51" s="6"/>
      <c r="AG51" s="6"/>
      <c r="AI51" s="6"/>
      <c r="AK51" s="6"/>
    </row>
    <row r="52" spans="1:37">
      <c r="A52" s="1">
        <v>51</v>
      </c>
      <c r="B52" s="37">
        <v>449.1</v>
      </c>
      <c r="C52" s="37">
        <v>446.8</v>
      </c>
      <c r="D52" s="37">
        <v>444.5</v>
      </c>
      <c r="E52" s="6">
        <v>442</v>
      </c>
      <c r="F52" s="6">
        <v>440</v>
      </c>
      <c r="G52" s="77">
        <v>463.5</v>
      </c>
      <c r="H52" s="6">
        <v>461.2</v>
      </c>
      <c r="I52" s="6">
        <v>457</v>
      </c>
      <c r="J52" s="6">
        <v>454.9</v>
      </c>
      <c r="K52" s="80">
        <v>453.6</v>
      </c>
      <c r="L52" s="77">
        <v>477.4</v>
      </c>
      <c r="M52" s="6">
        <v>468.6</v>
      </c>
      <c r="N52" s="6">
        <v>467.5</v>
      </c>
      <c r="O52" s="6">
        <v>466.1</v>
      </c>
      <c r="P52" s="27">
        <v>470.8</v>
      </c>
      <c r="Q52" s="77">
        <v>470.7</v>
      </c>
      <c r="R52" s="6">
        <v>469.8</v>
      </c>
      <c r="S52" s="6">
        <v>465</v>
      </c>
      <c r="T52" s="6">
        <v>464.4</v>
      </c>
      <c r="U52" s="27"/>
      <c r="X52" s="6"/>
      <c r="Z52" s="6"/>
      <c r="AA52" s="6"/>
      <c r="AC52" s="6"/>
      <c r="AD52" s="6"/>
      <c r="AF52" s="6"/>
      <c r="AG52" s="6"/>
      <c r="AI52" s="6"/>
    </row>
    <row r="53" spans="1:37">
      <c r="A53" s="1">
        <v>52</v>
      </c>
      <c r="B53" s="37">
        <v>461.4</v>
      </c>
      <c r="C53" s="37">
        <v>460.6</v>
      </c>
      <c r="D53" s="37">
        <v>459.1</v>
      </c>
      <c r="E53" s="6">
        <v>457.6</v>
      </c>
      <c r="F53" s="6">
        <v>456.3</v>
      </c>
      <c r="G53" s="77">
        <v>454.6</v>
      </c>
      <c r="H53" s="6">
        <v>453.5</v>
      </c>
      <c r="I53" s="6">
        <v>452.3</v>
      </c>
      <c r="J53" s="6">
        <v>450.8</v>
      </c>
      <c r="K53" s="27">
        <v>449.2</v>
      </c>
      <c r="L53" s="77">
        <v>454.2</v>
      </c>
      <c r="M53" s="6">
        <v>461.7</v>
      </c>
      <c r="N53" s="6">
        <v>462.2</v>
      </c>
      <c r="O53" s="6">
        <v>461.4</v>
      </c>
      <c r="P53" s="27">
        <v>467</v>
      </c>
      <c r="Q53" s="77">
        <v>457.8</v>
      </c>
      <c r="R53" s="6">
        <v>457.1</v>
      </c>
      <c r="S53" s="6">
        <v>460.8</v>
      </c>
      <c r="T53" s="6">
        <v>460</v>
      </c>
      <c r="U53" s="27"/>
      <c r="X53" s="6"/>
      <c r="Z53" s="6"/>
      <c r="AA53" s="6"/>
      <c r="AC53" s="6"/>
      <c r="AD53" s="6"/>
      <c r="AF53" s="6"/>
      <c r="AG53" s="6"/>
      <c r="AI53" s="6"/>
    </row>
    <row r="54" spans="1:37">
      <c r="A54" s="1">
        <v>53</v>
      </c>
      <c r="B54" s="37">
        <v>463.6</v>
      </c>
      <c r="C54" s="37">
        <v>460.2</v>
      </c>
      <c r="D54" s="37">
        <v>453.6</v>
      </c>
      <c r="E54" s="6">
        <v>449.7</v>
      </c>
      <c r="F54" s="6">
        <v>444.7</v>
      </c>
      <c r="G54" s="77">
        <v>471.2</v>
      </c>
      <c r="H54" s="6">
        <v>466.8</v>
      </c>
      <c r="I54" s="6">
        <v>461.2</v>
      </c>
      <c r="J54" s="6">
        <v>455</v>
      </c>
      <c r="K54" s="27">
        <v>449.9</v>
      </c>
      <c r="L54" s="77">
        <v>443.8</v>
      </c>
      <c r="M54" s="6">
        <v>457.9</v>
      </c>
      <c r="N54" s="6">
        <v>458.8</v>
      </c>
      <c r="O54" s="6">
        <v>454.4</v>
      </c>
      <c r="P54" s="27">
        <v>465</v>
      </c>
      <c r="Q54" s="77">
        <v>456.7</v>
      </c>
      <c r="R54" s="6">
        <v>454.3</v>
      </c>
      <c r="S54" s="6">
        <v>450.7</v>
      </c>
      <c r="T54" s="6">
        <v>446.9</v>
      </c>
      <c r="U54" s="27"/>
      <c r="X54" s="6"/>
      <c r="Z54" s="6"/>
      <c r="AA54" s="6"/>
      <c r="AC54" s="6"/>
      <c r="AD54" s="6"/>
      <c r="AF54" s="6"/>
      <c r="AG54" s="6"/>
      <c r="AI54" s="6"/>
    </row>
    <row r="55" spans="1:37">
      <c r="A55" s="1">
        <v>54</v>
      </c>
      <c r="B55" s="37">
        <v>459</v>
      </c>
      <c r="C55" s="37">
        <v>455.3</v>
      </c>
      <c r="D55" s="37">
        <v>453.5</v>
      </c>
      <c r="E55" s="6">
        <v>451.3</v>
      </c>
      <c r="F55" s="6">
        <v>448.2</v>
      </c>
      <c r="G55" s="77">
        <v>479.3</v>
      </c>
      <c r="H55" s="6">
        <v>476.2</v>
      </c>
      <c r="I55" s="6">
        <v>472.8</v>
      </c>
      <c r="J55" s="6">
        <v>469.3</v>
      </c>
      <c r="K55" s="80">
        <v>465.6</v>
      </c>
      <c r="L55" s="77">
        <v>444.7</v>
      </c>
      <c r="M55" s="6">
        <v>461.3</v>
      </c>
      <c r="N55" s="6">
        <v>452.8</v>
      </c>
      <c r="O55" s="6">
        <v>449.3</v>
      </c>
      <c r="P55" s="27">
        <v>466.8</v>
      </c>
      <c r="Q55" s="77">
        <v>468.9</v>
      </c>
      <c r="R55" s="6">
        <v>466.9</v>
      </c>
      <c r="S55" s="6">
        <v>458.6</v>
      </c>
      <c r="T55" s="6">
        <v>457.1</v>
      </c>
      <c r="U55" s="27"/>
      <c r="X55" s="6"/>
      <c r="Z55" s="6"/>
      <c r="AA55" s="6"/>
      <c r="AC55" s="6"/>
      <c r="AD55" s="6"/>
      <c r="AF55" s="6"/>
      <c r="AG55" s="6"/>
      <c r="AI55" s="6"/>
    </row>
    <row r="56" spans="1:37">
      <c r="A56" s="1">
        <v>55</v>
      </c>
      <c r="B56" s="37">
        <v>434.2</v>
      </c>
      <c r="C56" s="37">
        <v>431.6</v>
      </c>
      <c r="D56" s="37">
        <v>430.1</v>
      </c>
      <c r="E56" s="6">
        <v>460.6</v>
      </c>
      <c r="F56" s="6">
        <v>459.5</v>
      </c>
      <c r="G56" s="77">
        <v>457.9</v>
      </c>
      <c r="H56" s="6">
        <v>456.2</v>
      </c>
      <c r="I56" s="6">
        <v>457.1</v>
      </c>
      <c r="J56" s="6">
        <v>452.3</v>
      </c>
      <c r="K56" s="80">
        <v>450.9</v>
      </c>
      <c r="L56" s="77">
        <v>455.1</v>
      </c>
      <c r="M56" s="6">
        <v>461.1</v>
      </c>
      <c r="N56" s="6">
        <v>454.5</v>
      </c>
      <c r="O56" s="6">
        <v>453.7</v>
      </c>
      <c r="P56" s="27">
        <v>459.3</v>
      </c>
      <c r="Q56" s="77">
        <v>458.7</v>
      </c>
      <c r="R56" s="6">
        <v>458.1</v>
      </c>
      <c r="S56" s="6">
        <v>464.5</v>
      </c>
      <c r="T56" s="6">
        <v>463.8</v>
      </c>
      <c r="U56" s="27"/>
      <c r="X56" s="6"/>
      <c r="Z56" s="6"/>
      <c r="AA56" s="6"/>
      <c r="AC56" s="6"/>
      <c r="AD56" s="6"/>
      <c r="AF56" s="6"/>
      <c r="AG56" s="6"/>
      <c r="AI56" s="6"/>
    </row>
    <row r="57" spans="1:37">
      <c r="A57" s="1">
        <v>56</v>
      </c>
      <c r="B57" s="37">
        <v>465.1</v>
      </c>
      <c r="C57" s="37">
        <v>463.2</v>
      </c>
      <c r="D57" s="37">
        <v>461.4</v>
      </c>
      <c r="E57" s="6">
        <v>459.9</v>
      </c>
      <c r="F57" s="6">
        <v>458.1</v>
      </c>
      <c r="G57" s="77">
        <v>481.3</v>
      </c>
      <c r="H57" s="6">
        <v>479.2</v>
      </c>
      <c r="I57" s="6">
        <v>476.6</v>
      </c>
      <c r="J57" s="6">
        <v>474.9</v>
      </c>
      <c r="K57" s="80">
        <v>472.5</v>
      </c>
      <c r="L57" s="77">
        <v>458.7</v>
      </c>
      <c r="M57" s="6">
        <v>469.3</v>
      </c>
      <c r="N57" s="6">
        <v>471.3</v>
      </c>
      <c r="O57" s="6">
        <v>470.5</v>
      </c>
      <c r="P57" s="27">
        <v>460.5</v>
      </c>
      <c r="Q57" s="77">
        <v>461.5</v>
      </c>
      <c r="R57" s="6">
        <v>460.5</v>
      </c>
      <c r="S57" s="6">
        <v>466.8</v>
      </c>
      <c r="T57" s="6">
        <v>466.5</v>
      </c>
      <c r="U57" s="27"/>
      <c r="X57" s="6"/>
      <c r="Z57" s="6"/>
      <c r="AA57" s="6"/>
      <c r="AC57" s="6"/>
      <c r="AD57" s="6"/>
      <c r="AF57" s="6"/>
      <c r="AG57" s="6"/>
      <c r="AI57" s="6"/>
    </row>
    <row r="58" spans="1:37">
      <c r="A58" s="1">
        <v>57</v>
      </c>
      <c r="B58" s="37">
        <v>443.1</v>
      </c>
      <c r="C58" s="37">
        <v>439.8</v>
      </c>
      <c r="D58" s="37">
        <v>436.6</v>
      </c>
      <c r="E58" s="6">
        <v>460</v>
      </c>
      <c r="F58" s="6">
        <v>458.2</v>
      </c>
      <c r="G58" s="77">
        <v>455.7</v>
      </c>
      <c r="H58" s="6">
        <v>451.8</v>
      </c>
      <c r="I58" s="6">
        <v>448.6</v>
      </c>
      <c r="J58" s="6">
        <v>445.3</v>
      </c>
      <c r="K58" s="80">
        <v>443.2</v>
      </c>
      <c r="L58" s="77">
        <v>451.9</v>
      </c>
      <c r="M58" s="6">
        <v>454.9</v>
      </c>
      <c r="N58" s="6">
        <v>452.6</v>
      </c>
      <c r="O58" s="6">
        <v>452.3</v>
      </c>
      <c r="P58" s="27">
        <v>461.4</v>
      </c>
      <c r="Q58" s="77">
        <v>455.7</v>
      </c>
      <c r="R58" s="6">
        <v>455.4</v>
      </c>
      <c r="S58" s="6">
        <v>455.4</v>
      </c>
      <c r="T58" s="6">
        <v>454.9</v>
      </c>
      <c r="U58" s="27"/>
      <c r="X58" s="6"/>
      <c r="Z58" s="6"/>
      <c r="AA58" s="6"/>
      <c r="AC58" s="6"/>
      <c r="AD58" s="6"/>
      <c r="AF58" s="6"/>
      <c r="AG58" s="6"/>
      <c r="AI58" s="6"/>
      <c r="AK58" s="6"/>
    </row>
    <row r="59" spans="1:37">
      <c r="A59" s="1">
        <v>58</v>
      </c>
      <c r="B59" s="37">
        <v>461.7</v>
      </c>
      <c r="C59" s="37">
        <v>460.9</v>
      </c>
      <c r="D59" s="37">
        <v>460.4</v>
      </c>
      <c r="E59" s="6">
        <v>459.7</v>
      </c>
      <c r="F59" s="6">
        <v>459.3</v>
      </c>
      <c r="G59" s="77">
        <v>458.9</v>
      </c>
      <c r="H59" s="6">
        <v>458.4</v>
      </c>
      <c r="I59" s="6">
        <v>457.4</v>
      </c>
      <c r="J59" s="6">
        <v>456.8</v>
      </c>
      <c r="K59" s="80">
        <v>456.1</v>
      </c>
      <c r="L59" s="77">
        <v>448.9</v>
      </c>
      <c r="M59" s="6">
        <v>455.9</v>
      </c>
      <c r="N59" s="6">
        <v>460.2</v>
      </c>
      <c r="O59" s="6">
        <v>460</v>
      </c>
      <c r="P59" s="27">
        <v>452.9</v>
      </c>
      <c r="Q59" s="77">
        <v>465.6</v>
      </c>
      <c r="R59" s="6">
        <v>465.3</v>
      </c>
      <c r="S59" s="6">
        <v>460.8</v>
      </c>
      <c r="T59" s="6">
        <v>460.5</v>
      </c>
      <c r="U59" s="27"/>
      <c r="X59" s="6"/>
      <c r="Z59" s="6"/>
      <c r="AA59" s="6"/>
      <c r="AC59" s="6"/>
      <c r="AD59" s="6"/>
      <c r="AF59" s="6"/>
      <c r="AG59" s="6"/>
      <c r="AI59" s="6"/>
    </row>
    <row r="60" spans="1:37">
      <c r="A60" s="1">
        <v>59</v>
      </c>
      <c r="B60" s="37">
        <v>448.9</v>
      </c>
      <c r="C60" s="37">
        <v>445.5</v>
      </c>
      <c r="D60" s="37">
        <v>443</v>
      </c>
      <c r="E60" s="6">
        <v>466.2</v>
      </c>
      <c r="F60" s="6">
        <v>462.8</v>
      </c>
      <c r="G60" s="77">
        <v>460.1</v>
      </c>
      <c r="H60" s="6">
        <v>457.7</v>
      </c>
      <c r="I60" s="6">
        <v>454.2</v>
      </c>
      <c r="J60" s="6">
        <v>450.3</v>
      </c>
      <c r="K60" s="80">
        <v>446.2</v>
      </c>
      <c r="L60" s="77">
        <v>455.5</v>
      </c>
      <c r="M60" s="6">
        <v>462.1</v>
      </c>
      <c r="N60" s="6">
        <v>471.5</v>
      </c>
      <c r="O60" s="6">
        <v>469.3</v>
      </c>
      <c r="P60" s="27">
        <v>472.7</v>
      </c>
      <c r="Q60" s="77">
        <v>474.4</v>
      </c>
      <c r="R60" s="6">
        <v>472.7</v>
      </c>
      <c r="S60" s="6">
        <v>449.7</v>
      </c>
      <c r="T60" s="6">
        <v>448.1</v>
      </c>
      <c r="U60" s="27"/>
      <c r="X60" s="6"/>
      <c r="Z60" s="6"/>
      <c r="AA60" s="6"/>
      <c r="AC60" s="6"/>
      <c r="AD60" s="6"/>
      <c r="AF60" s="6"/>
      <c r="AG60" s="6"/>
      <c r="AI60" s="6"/>
      <c r="AJ60" s="6"/>
    </row>
    <row r="61" spans="1:37">
      <c r="A61" s="1">
        <v>60</v>
      </c>
      <c r="B61" s="37">
        <v>471.6</v>
      </c>
      <c r="C61" s="37">
        <v>464.9</v>
      </c>
      <c r="D61" s="37">
        <v>458.3</v>
      </c>
      <c r="E61" s="6">
        <v>451.9</v>
      </c>
      <c r="F61" s="6">
        <v>446.9</v>
      </c>
      <c r="G61" s="77">
        <v>478.1</v>
      </c>
      <c r="H61" s="6">
        <v>474</v>
      </c>
      <c r="I61" s="6">
        <v>469.4</v>
      </c>
      <c r="J61" s="6">
        <v>462.8</v>
      </c>
      <c r="K61" s="80">
        <v>456.9</v>
      </c>
      <c r="L61" s="77">
        <v>469.7</v>
      </c>
      <c r="M61" s="6">
        <v>459.3</v>
      </c>
      <c r="N61" s="6">
        <v>470.5</v>
      </c>
      <c r="O61" s="6">
        <v>463.3</v>
      </c>
      <c r="P61" s="27">
        <v>460.5</v>
      </c>
      <c r="Q61" s="77">
        <v>468.8</v>
      </c>
      <c r="R61" s="6">
        <v>466.1</v>
      </c>
      <c r="S61" s="6">
        <v>468.5</v>
      </c>
      <c r="T61" s="6">
        <v>464.1</v>
      </c>
      <c r="U61" s="27"/>
      <c r="X61" s="6"/>
      <c r="Z61" s="6"/>
      <c r="AA61" s="6"/>
      <c r="AC61" s="6"/>
      <c r="AD61" s="6"/>
      <c r="AF61" s="6"/>
      <c r="AG61" s="6"/>
      <c r="AI61" s="6"/>
    </row>
    <row r="62" spans="1:37">
      <c r="A62" t="s">
        <v>71</v>
      </c>
      <c r="B62" s="37">
        <v>448</v>
      </c>
      <c r="C62" s="37">
        <v>447.3</v>
      </c>
      <c r="D62" s="37">
        <v>446.9</v>
      </c>
      <c r="E62" s="6">
        <v>446.7</v>
      </c>
      <c r="F62" s="6">
        <v>446.3</v>
      </c>
      <c r="G62" s="77">
        <v>445.9</v>
      </c>
      <c r="H62" s="6">
        <v>445.6</v>
      </c>
      <c r="I62" s="6">
        <v>444.9</v>
      </c>
      <c r="J62" s="6">
        <v>444.5</v>
      </c>
      <c r="K62" s="80">
        <v>443.8</v>
      </c>
      <c r="L62" s="77">
        <v>452</v>
      </c>
      <c r="M62" s="6">
        <v>451.7</v>
      </c>
      <c r="N62" s="6">
        <v>451.3</v>
      </c>
      <c r="O62" s="6">
        <v>450.9</v>
      </c>
      <c r="P62" s="27">
        <v>449.6</v>
      </c>
      <c r="Q62" s="77">
        <v>456.7</v>
      </c>
      <c r="R62" s="6">
        <v>456.5</v>
      </c>
      <c r="S62" s="6">
        <v>453.3</v>
      </c>
      <c r="T62" s="6">
        <v>453</v>
      </c>
      <c r="U62" s="27"/>
      <c r="X62" s="6"/>
      <c r="Z62" s="6"/>
      <c r="AA62" s="6"/>
      <c r="AC62" s="6"/>
      <c r="AD62" s="6"/>
      <c r="AF62" s="6"/>
      <c r="AG62" s="6"/>
      <c r="AI62" s="6"/>
    </row>
    <row r="63" spans="1:37" s="9" customFormat="1">
      <c r="A63" s="9" t="s">
        <v>72</v>
      </c>
      <c r="B63" s="79">
        <v>466.1</v>
      </c>
      <c r="C63" s="79">
        <v>465.8</v>
      </c>
      <c r="D63" s="79">
        <v>465.4</v>
      </c>
      <c r="E63" s="14">
        <v>465.1</v>
      </c>
      <c r="F63" s="14">
        <v>464.9</v>
      </c>
      <c r="G63" s="81">
        <v>464.6</v>
      </c>
      <c r="H63" s="14">
        <v>464.3</v>
      </c>
      <c r="I63" s="14">
        <v>463.9</v>
      </c>
      <c r="J63" s="14">
        <v>463.5</v>
      </c>
      <c r="K63" s="82">
        <v>463.2</v>
      </c>
      <c r="L63" s="81">
        <v>465.3</v>
      </c>
      <c r="M63" s="14">
        <v>465.1</v>
      </c>
      <c r="N63" s="14">
        <v>464.3</v>
      </c>
      <c r="O63" s="14">
        <v>464</v>
      </c>
      <c r="P63" s="28">
        <v>462.6</v>
      </c>
      <c r="Q63" s="81">
        <v>460.7</v>
      </c>
      <c r="R63" s="14">
        <v>460.4</v>
      </c>
      <c r="S63" s="14">
        <v>456.4</v>
      </c>
      <c r="T63" s="14">
        <v>456.1</v>
      </c>
      <c r="U63" s="28"/>
      <c r="X63" s="14"/>
      <c r="Z63" s="14"/>
      <c r="AA63" s="14"/>
      <c r="AC63" s="14"/>
      <c r="AD63" s="14"/>
      <c r="AF63" s="14"/>
      <c r="AG63" s="14"/>
      <c r="AI63" s="14"/>
      <c r="AK63" s="14"/>
    </row>
    <row r="64" spans="1:37">
      <c r="A64" t="s">
        <v>73</v>
      </c>
      <c r="B64" s="37">
        <v>499.9</v>
      </c>
      <c r="C64" s="37">
        <v>499.9</v>
      </c>
      <c r="D64" s="37">
        <v>500</v>
      </c>
      <c r="E64" s="6">
        <v>500</v>
      </c>
      <c r="F64" s="6">
        <v>500</v>
      </c>
      <c r="G64" s="77">
        <v>500</v>
      </c>
      <c r="H64" s="6">
        <v>500</v>
      </c>
      <c r="I64" s="6">
        <v>500</v>
      </c>
      <c r="J64" s="6">
        <v>500</v>
      </c>
      <c r="K64" s="27">
        <v>500</v>
      </c>
      <c r="L64" s="77">
        <v>500</v>
      </c>
      <c r="M64" s="6">
        <v>500</v>
      </c>
      <c r="N64" s="6">
        <v>500</v>
      </c>
      <c r="O64" s="6">
        <v>500</v>
      </c>
      <c r="P64" s="27">
        <v>500</v>
      </c>
      <c r="Q64" s="77">
        <v>500</v>
      </c>
      <c r="R64" s="6">
        <v>500</v>
      </c>
      <c r="S64" s="6">
        <v>500</v>
      </c>
      <c r="T64" s="6">
        <v>499.9</v>
      </c>
      <c r="U64" s="27"/>
      <c r="X64" s="6"/>
      <c r="Z64" s="6"/>
      <c r="AA64" s="6"/>
      <c r="AC64" s="6"/>
      <c r="AD64" s="6"/>
      <c r="AF64" s="6"/>
      <c r="AG64" s="6"/>
      <c r="AI64" s="6"/>
      <c r="AJ64" s="6"/>
      <c r="AK64" s="6"/>
    </row>
    <row r="65" spans="1:20" ht="16">
      <c r="A65" t="s">
        <v>77</v>
      </c>
      <c r="B65" s="85">
        <f>500-B64</f>
        <v>0.10000000000002274</v>
      </c>
      <c r="C65" s="85">
        <f t="shared" ref="C65:T65" si="0">500-C64</f>
        <v>0.10000000000002274</v>
      </c>
      <c r="D65" s="85">
        <f t="shared" si="0"/>
        <v>0</v>
      </c>
      <c r="E65" s="85">
        <f t="shared" si="0"/>
        <v>0</v>
      </c>
      <c r="F65" s="85">
        <f t="shared" si="0"/>
        <v>0</v>
      </c>
      <c r="G65" s="85">
        <f t="shared" si="0"/>
        <v>0</v>
      </c>
      <c r="H65" s="85">
        <f t="shared" si="0"/>
        <v>0</v>
      </c>
      <c r="I65" s="85">
        <f t="shared" si="0"/>
        <v>0</v>
      </c>
      <c r="J65" s="85">
        <f t="shared" si="0"/>
        <v>0</v>
      </c>
      <c r="K65" s="85">
        <f t="shared" si="0"/>
        <v>0</v>
      </c>
      <c r="L65" s="85">
        <f t="shared" si="0"/>
        <v>0</v>
      </c>
      <c r="M65" s="85">
        <f t="shared" si="0"/>
        <v>0</v>
      </c>
      <c r="N65" s="85">
        <f t="shared" si="0"/>
        <v>0</v>
      </c>
      <c r="O65" s="85">
        <f t="shared" si="0"/>
        <v>0</v>
      </c>
      <c r="P65" s="85">
        <f t="shared" si="0"/>
        <v>0</v>
      </c>
      <c r="Q65" s="85">
        <f t="shared" si="0"/>
        <v>0</v>
      </c>
      <c r="R65" s="85">
        <f t="shared" si="0"/>
        <v>0</v>
      </c>
      <c r="S65" s="85">
        <f t="shared" si="0"/>
        <v>0</v>
      </c>
      <c r="T65" s="85">
        <f t="shared" si="0"/>
        <v>0.10000000000002274</v>
      </c>
    </row>
    <row r="66" spans="1:20" ht="16">
      <c r="B66" s="25"/>
      <c r="C66" s="23"/>
      <c r="D66" s="23"/>
    </row>
    <row r="67" spans="1:20" ht="16">
      <c r="B67" s="25"/>
      <c r="C67" s="23"/>
      <c r="D67" s="23"/>
    </row>
    <row r="68" spans="1:20" ht="16">
      <c r="B68" s="25"/>
      <c r="C68" s="23"/>
      <c r="D68" s="23"/>
    </row>
    <row r="69" spans="1:20" ht="16">
      <c r="B69" s="25"/>
      <c r="C69" s="23"/>
      <c r="D69" s="23"/>
    </row>
    <row r="70" spans="1:20" ht="16">
      <c r="B70" s="25"/>
      <c r="C70" s="23"/>
      <c r="D70" s="23"/>
    </row>
    <row r="71" spans="1:20" ht="16">
      <c r="B71" s="25"/>
      <c r="C71" s="23"/>
      <c r="D71" s="23"/>
    </row>
    <row r="72" spans="1:20" ht="16">
      <c r="B72" s="25"/>
      <c r="C72" s="23"/>
      <c r="D72" s="23"/>
    </row>
    <row r="73" spans="1:20" ht="16">
      <c r="B73" s="25"/>
      <c r="C73" s="23"/>
      <c r="D73" s="23"/>
    </row>
    <row r="74" spans="1:20" ht="16">
      <c r="B74" s="25"/>
      <c r="C74" s="23"/>
      <c r="D74" s="23"/>
    </row>
    <row r="75" spans="1:20" ht="16">
      <c r="B75" s="25"/>
      <c r="C75" s="23"/>
      <c r="D75" s="23"/>
    </row>
    <row r="76" spans="1:20" ht="16">
      <c r="B76" s="25"/>
      <c r="C76" s="23"/>
      <c r="D76" s="23"/>
    </row>
    <row r="77" spans="1:20" ht="16">
      <c r="B77" s="25"/>
      <c r="C77" s="23"/>
      <c r="D77" s="23"/>
    </row>
    <row r="78" spans="1:20" ht="16">
      <c r="B78" s="25"/>
      <c r="C78" s="23"/>
      <c r="D78" s="23"/>
    </row>
    <row r="79" spans="1:20" ht="16">
      <c r="B79" s="25"/>
      <c r="C79" s="23"/>
      <c r="D79" s="23"/>
    </row>
    <row r="80" spans="1:20" ht="16">
      <c r="B80" s="25"/>
      <c r="C80" s="23"/>
      <c r="D80" s="23"/>
    </row>
    <row r="81" spans="2:4" ht="16">
      <c r="B81" s="25"/>
      <c r="C81" s="23"/>
      <c r="D81" s="23"/>
    </row>
    <row r="82" spans="2:4" ht="16">
      <c r="B82" s="25"/>
      <c r="C82" s="23"/>
      <c r="D82" s="23"/>
    </row>
    <row r="83" spans="2:4" ht="16">
      <c r="B83" s="25"/>
      <c r="C83" s="23"/>
      <c r="D83" s="23"/>
    </row>
    <row r="84" spans="2:4" ht="16">
      <c r="B84" s="25"/>
      <c r="C84" s="23"/>
      <c r="D84" s="23"/>
    </row>
    <row r="85" spans="2:4" ht="16">
      <c r="B85" s="25"/>
      <c r="C85" s="23"/>
      <c r="D85" s="23"/>
    </row>
    <row r="86" spans="2:4" ht="16">
      <c r="B86" s="25"/>
      <c r="C86" s="23"/>
      <c r="D86" s="23"/>
    </row>
    <row r="87" spans="2:4" ht="16">
      <c r="B87" s="25"/>
      <c r="C87" s="23"/>
      <c r="D87" s="23"/>
    </row>
    <row r="88" spans="2:4" ht="16">
      <c r="B88" s="25"/>
      <c r="C88" s="23"/>
      <c r="D88" s="23"/>
    </row>
    <row r="89" spans="2:4" ht="16">
      <c r="B89" s="25"/>
      <c r="C89" s="23"/>
      <c r="D89" s="23"/>
    </row>
    <row r="90" spans="2:4" ht="16">
      <c r="B90" s="25"/>
      <c r="C90" s="23"/>
      <c r="D90" s="23"/>
    </row>
    <row r="91" spans="2:4" ht="16">
      <c r="B91" s="25"/>
      <c r="C91" s="23"/>
      <c r="D91" s="23"/>
    </row>
    <row r="92" spans="2:4">
      <c r="B92" s="23"/>
      <c r="C92" s="23"/>
      <c r="D92" s="23"/>
    </row>
    <row r="93" spans="2:4">
      <c r="B93" s="23"/>
      <c r="C93" s="23"/>
      <c r="D93" s="23"/>
    </row>
    <row r="94" spans="2:4">
      <c r="B94" s="23"/>
      <c r="C94" s="23"/>
      <c r="D94" s="23"/>
    </row>
    <row r="95" spans="2:4">
      <c r="B95" s="23"/>
      <c r="C95" s="23"/>
      <c r="D95" s="23"/>
    </row>
    <row r="96" spans="2:4">
      <c r="B96" s="23"/>
      <c r="C96" s="23"/>
      <c r="D96" s="23"/>
    </row>
    <row r="97" spans="2:4">
      <c r="B97" s="23"/>
      <c r="C97" s="23"/>
      <c r="D97" s="23"/>
    </row>
    <row r="98" spans="2:4">
      <c r="B98" s="23"/>
      <c r="C98" s="23"/>
      <c r="D98" s="23"/>
    </row>
    <row r="99" spans="2:4">
      <c r="B99" s="23"/>
      <c r="C99" s="23"/>
      <c r="D99" s="23"/>
    </row>
    <row r="100" spans="2:4">
      <c r="B100" s="23"/>
      <c r="C100" s="23"/>
      <c r="D100" s="23"/>
    </row>
    <row r="101" spans="2:4">
      <c r="B101" s="23"/>
      <c r="C101" s="23"/>
      <c r="D101" s="23"/>
    </row>
    <row r="102" spans="2:4">
      <c r="B102" s="23"/>
      <c r="C102" s="23"/>
      <c r="D102" s="23"/>
    </row>
    <row r="103" spans="2:4">
      <c r="B103" s="23"/>
      <c r="C103" s="23"/>
      <c r="D103" s="23"/>
    </row>
    <row r="104" spans="2:4">
      <c r="B104" s="23"/>
      <c r="C104" s="23"/>
      <c r="D104" s="23"/>
    </row>
    <row r="105" spans="2:4">
      <c r="B105" s="23"/>
      <c r="C105" s="23"/>
      <c r="D105" s="23"/>
    </row>
    <row r="106" spans="2:4">
      <c r="B106" s="23"/>
      <c r="C106" s="23"/>
      <c r="D106" s="23"/>
    </row>
    <row r="107" spans="2:4">
      <c r="B107" s="23"/>
      <c r="C107" s="23"/>
      <c r="D107" s="23"/>
    </row>
    <row r="108" spans="2:4">
      <c r="B108" s="23"/>
      <c r="C108" s="23"/>
      <c r="D108" s="23"/>
    </row>
    <row r="109" spans="2:4">
      <c r="B109" s="23"/>
      <c r="C109" s="23"/>
      <c r="D109" s="23"/>
    </row>
    <row r="110" spans="2:4">
      <c r="B110" s="23"/>
      <c r="C110" s="23"/>
      <c r="D110" s="23"/>
    </row>
    <row r="111" spans="2:4">
      <c r="B111" s="23"/>
      <c r="C111" s="23"/>
      <c r="D111" s="23"/>
    </row>
    <row r="112" spans="2:4">
      <c r="B112" s="23"/>
      <c r="C112" s="23"/>
      <c r="D112" s="23"/>
    </row>
    <row r="113" spans="2:4">
      <c r="B113" s="23"/>
      <c r="C113" s="23"/>
      <c r="D113" s="23"/>
    </row>
    <row r="114" spans="2:4">
      <c r="B114" s="23"/>
      <c r="C114" s="23"/>
      <c r="D114" s="23"/>
    </row>
    <row r="115" spans="2:4">
      <c r="B115" s="23"/>
      <c r="C115" s="23"/>
      <c r="D115" s="23"/>
    </row>
    <row r="116" spans="2:4">
      <c r="B116" s="23"/>
      <c r="C116" s="23"/>
      <c r="D116" s="23"/>
    </row>
    <row r="117" spans="2:4">
      <c r="B117" s="23"/>
      <c r="C117" s="23"/>
      <c r="D117" s="23"/>
    </row>
    <row r="118" spans="2:4">
      <c r="B118" s="23"/>
      <c r="C118" s="23"/>
      <c r="D118" s="23"/>
    </row>
    <row r="119" spans="2:4">
      <c r="B119" s="23"/>
      <c r="C119" s="23"/>
      <c r="D119" s="23"/>
    </row>
    <row r="120" spans="2:4">
      <c r="B120" s="23"/>
      <c r="C120" s="23"/>
      <c r="D120" s="23"/>
    </row>
    <row r="121" spans="2:4">
      <c r="B121" s="23"/>
      <c r="C121" s="23"/>
      <c r="D121" s="23"/>
    </row>
    <row r="122" spans="2:4">
      <c r="B122" s="23"/>
      <c r="C122" s="23"/>
      <c r="D122" s="23"/>
    </row>
    <row r="123" spans="2:4">
      <c r="B123" s="23"/>
      <c r="C123" s="23"/>
      <c r="D123" s="2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1210-2073-4844-82F3-3DAF5A662AF6}">
  <dimension ref="A1:AK123"/>
  <sheetViews>
    <sheetView topLeftCell="A13" workbookViewId="0">
      <pane xSplit="1" topLeftCell="B1" activePane="topRight" state="frozen"/>
      <selection pane="topRight" activeCell="M67" sqref="M67"/>
    </sheetView>
  </sheetViews>
  <sheetFormatPr defaultColWidth="7.453125" defaultRowHeight="14.5"/>
  <cols>
    <col min="2" max="5" width="7.453125" customWidth="1"/>
    <col min="6" max="6" width="7.453125" style="16" customWidth="1"/>
    <col min="7" max="10" width="7.453125" customWidth="1"/>
    <col min="11" max="11" width="7.453125" style="16" customWidth="1"/>
    <col min="12" max="15" width="7.453125" customWidth="1"/>
    <col min="16" max="16" width="7.453125" style="16" customWidth="1"/>
    <col min="17" max="19" width="7.453125" customWidth="1"/>
    <col min="21" max="21" width="7.453125" style="16"/>
  </cols>
  <sheetData>
    <row r="1" spans="1:37" s="3" customFormat="1">
      <c r="A1" s="3" t="s">
        <v>1</v>
      </c>
      <c r="B1" s="32">
        <v>45957</v>
      </c>
      <c r="C1" s="32">
        <v>45958</v>
      </c>
      <c r="D1" s="32">
        <v>45959</v>
      </c>
      <c r="E1" s="32">
        <v>45960</v>
      </c>
      <c r="F1" s="66">
        <v>45961</v>
      </c>
      <c r="G1" s="30">
        <v>45964</v>
      </c>
      <c r="H1" s="30">
        <v>45965</v>
      </c>
      <c r="I1" s="30">
        <v>45966</v>
      </c>
      <c r="J1" s="30">
        <v>45967</v>
      </c>
      <c r="K1" s="31">
        <v>45968</v>
      </c>
      <c r="L1" s="30">
        <v>45971</v>
      </c>
      <c r="M1" s="30">
        <v>45972</v>
      </c>
      <c r="N1" s="30">
        <v>45973</v>
      </c>
      <c r="O1" s="30">
        <v>45974</v>
      </c>
      <c r="P1" s="31">
        <v>45975</v>
      </c>
      <c r="Q1" s="30">
        <v>45978</v>
      </c>
      <c r="R1" s="30">
        <v>45979</v>
      </c>
      <c r="S1" s="30">
        <v>45980</v>
      </c>
      <c r="T1" s="30">
        <v>45981</v>
      </c>
      <c r="U1" s="31"/>
    </row>
    <row r="2" spans="1:37">
      <c r="A2" s="1">
        <v>1</v>
      </c>
      <c r="B2" s="37">
        <v>471.7</v>
      </c>
      <c r="C2" s="37">
        <v>467.8</v>
      </c>
      <c r="D2" s="37">
        <v>464.1</v>
      </c>
      <c r="E2" s="37">
        <v>459.9</v>
      </c>
      <c r="F2" s="76">
        <v>456.6</v>
      </c>
      <c r="G2" s="6">
        <v>476.4</v>
      </c>
      <c r="H2" s="37">
        <v>472.6</v>
      </c>
      <c r="I2" s="6">
        <v>468.7</v>
      </c>
      <c r="J2" s="37">
        <v>466.7</v>
      </c>
      <c r="K2" s="27">
        <v>463.2</v>
      </c>
      <c r="L2" s="37">
        <v>477.6</v>
      </c>
      <c r="M2" s="6">
        <v>478.8</v>
      </c>
      <c r="N2" s="6">
        <v>475.7</v>
      </c>
      <c r="O2" s="6">
        <v>470.6</v>
      </c>
      <c r="P2" s="27">
        <v>467.2</v>
      </c>
      <c r="Q2" s="6">
        <v>477</v>
      </c>
      <c r="R2" s="6">
        <v>476.1</v>
      </c>
      <c r="S2" s="6">
        <v>461.1</v>
      </c>
      <c r="T2" s="6">
        <v>459.9</v>
      </c>
      <c r="U2" s="27"/>
      <c r="V2" s="6"/>
      <c r="W2" s="6"/>
      <c r="X2" s="6"/>
      <c r="Z2" s="6"/>
      <c r="AG2" s="6"/>
      <c r="AI2" s="6"/>
    </row>
    <row r="3" spans="1:37">
      <c r="A3" s="1">
        <v>2</v>
      </c>
      <c r="B3" s="37">
        <v>478.9</v>
      </c>
      <c r="C3" s="37">
        <v>477</v>
      </c>
      <c r="D3" s="37">
        <v>475.5</v>
      </c>
      <c r="E3" s="37">
        <v>473.2</v>
      </c>
      <c r="F3" s="76">
        <v>471.3</v>
      </c>
      <c r="G3" s="6">
        <v>469.4</v>
      </c>
      <c r="H3" s="37">
        <v>467.9</v>
      </c>
      <c r="I3" s="6">
        <v>465.7</v>
      </c>
      <c r="J3" s="37">
        <v>464.2</v>
      </c>
      <c r="K3" s="27">
        <v>461.8</v>
      </c>
      <c r="L3" s="37">
        <v>481.6</v>
      </c>
      <c r="M3" s="6">
        <v>476.7</v>
      </c>
      <c r="N3" s="6">
        <v>474.7</v>
      </c>
      <c r="O3" s="6">
        <v>471.2</v>
      </c>
      <c r="P3" s="27">
        <v>469.9</v>
      </c>
      <c r="Q3" s="6">
        <v>482.1</v>
      </c>
      <c r="R3" s="6">
        <v>481.5</v>
      </c>
      <c r="S3" s="6">
        <v>477.2</v>
      </c>
      <c r="T3" s="6">
        <v>476.5</v>
      </c>
      <c r="U3" s="27"/>
      <c r="V3" s="6"/>
      <c r="W3" s="6"/>
      <c r="X3" s="6"/>
      <c r="Z3" s="6"/>
      <c r="AG3" s="6"/>
      <c r="AI3" s="6"/>
    </row>
    <row r="4" spans="1:37">
      <c r="A4" s="1">
        <v>3</v>
      </c>
      <c r="B4" s="37">
        <v>464.8</v>
      </c>
      <c r="C4" s="37">
        <v>459.6</v>
      </c>
      <c r="D4" s="37">
        <v>457.6</v>
      </c>
      <c r="E4" s="37">
        <v>469.7</v>
      </c>
      <c r="F4" s="76">
        <v>466.7</v>
      </c>
      <c r="G4" s="6">
        <v>463.8</v>
      </c>
      <c r="H4" s="37">
        <v>458.7</v>
      </c>
      <c r="I4" s="6">
        <v>451.8</v>
      </c>
      <c r="J4" s="37">
        <v>449.5</v>
      </c>
      <c r="K4" s="27">
        <v>446.4</v>
      </c>
      <c r="L4" s="37">
        <v>474</v>
      </c>
      <c r="M4" s="6">
        <v>463.6</v>
      </c>
      <c r="N4" s="6">
        <v>459</v>
      </c>
      <c r="O4" s="6">
        <v>456.2</v>
      </c>
      <c r="P4" s="27">
        <v>453.5</v>
      </c>
      <c r="Q4" s="6">
        <v>462.7</v>
      </c>
      <c r="R4" s="6">
        <v>459.9</v>
      </c>
      <c r="S4" s="6">
        <v>474.5</v>
      </c>
      <c r="T4" s="6">
        <v>471.2</v>
      </c>
      <c r="U4" s="27"/>
      <c r="V4" s="6"/>
      <c r="W4" s="6"/>
      <c r="X4" s="6"/>
      <c r="Z4" s="6"/>
      <c r="AG4" s="6"/>
      <c r="AI4" s="6"/>
    </row>
    <row r="5" spans="1:37">
      <c r="A5" s="1">
        <v>4</v>
      </c>
      <c r="B5" s="37">
        <v>470.3</v>
      </c>
      <c r="C5" s="37">
        <v>467.6</v>
      </c>
      <c r="D5" s="37">
        <v>465.1</v>
      </c>
      <c r="E5" s="37">
        <v>460.7</v>
      </c>
      <c r="F5" s="76">
        <v>456.9</v>
      </c>
      <c r="G5" s="6">
        <v>453.6</v>
      </c>
      <c r="H5" s="37">
        <v>449.8</v>
      </c>
      <c r="I5" s="6">
        <v>445</v>
      </c>
      <c r="J5" s="37">
        <v>442.3</v>
      </c>
      <c r="K5" s="76">
        <v>437.9</v>
      </c>
      <c r="L5" s="37">
        <v>475.6</v>
      </c>
      <c r="M5" s="6">
        <v>464.1</v>
      </c>
      <c r="N5" s="6">
        <v>460.2</v>
      </c>
      <c r="O5" s="37">
        <v>461.1</v>
      </c>
      <c r="P5" s="27">
        <v>458.4</v>
      </c>
      <c r="Q5" s="6">
        <v>464.1</v>
      </c>
      <c r="R5" s="6">
        <v>460.9</v>
      </c>
      <c r="S5" s="6">
        <v>475.3</v>
      </c>
      <c r="T5" s="6">
        <v>472.2</v>
      </c>
      <c r="U5" s="27"/>
      <c r="V5" s="6"/>
      <c r="W5" s="6"/>
      <c r="X5" s="6"/>
      <c r="Z5" s="6"/>
      <c r="AG5" s="6"/>
      <c r="AI5" s="6"/>
      <c r="AJ5" s="6"/>
    </row>
    <row r="6" spans="1:37">
      <c r="A6" s="1">
        <v>5</v>
      </c>
      <c r="B6" s="37">
        <v>469.1</v>
      </c>
      <c r="C6" s="37">
        <v>468.9</v>
      </c>
      <c r="D6" s="37">
        <v>468.4</v>
      </c>
      <c r="E6" s="37">
        <v>468.1</v>
      </c>
      <c r="F6" s="76">
        <v>467.5</v>
      </c>
      <c r="G6" s="6">
        <v>466.9</v>
      </c>
      <c r="H6" s="37">
        <v>466.1</v>
      </c>
      <c r="I6" s="6">
        <v>465.4</v>
      </c>
      <c r="J6" s="37">
        <v>464.8</v>
      </c>
      <c r="K6" s="27">
        <v>464.4</v>
      </c>
      <c r="L6" s="37">
        <v>482.9</v>
      </c>
      <c r="M6" s="6">
        <v>470.4</v>
      </c>
      <c r="N6" s="6">
        <v>469.8</v>
      </c>
      <c r="O6" s="6">
        <v>463.4</v>
      </c>
      <c r="P6" s="27">
        <v>462.7</v>
      </c>
      <c r="Q6" s="6">
        <v>479.1</v>
      </c>
      <c r="R6" s="6">
        <v>478.9</v>
      </c>
      <c r="S6" s="6">
        <v>461.2</v>
      </c>
      <c r="T6" s="6">
        <v>460.8</v>
      </c>
      <c r="U6" s="27"/>
      <c r="V6" s="6"/>
      <c r="W6" s="6"/>
      <c r="X6" s="6"/>
      <c r="Z6" s="6"/>
      <c r="AG6" s="6"/>
      <c r="AI6" s="6"/>
    </row>
    <row r="7" spans="1:37">
      <c r="A7" s="1">
        <v>6</v>
      </c>
      <c r="B7" s="37">
        <v>471.5</v>
      </c>
      <c r="C7" s="37">
        <v>467.5</v>
      </c>
      <c r="D7" s="37">
        <v>462.7</v>
      </c>
      <c r="E7" s="37">
        <v>460.5</v>
      </c>
      <c r="F7" s="76">
        <v>458</v>
      </c>
      <c r="G7" s="6">
        <v>472.9</v>
      </c>
      <c r="H7" s="37">
        <v>468.5</v>
      </c>
      <c r="I7" s="6">
        <v>463.2</v>
      </c>
      <c r="J7" s="37">
        <v>460.1</v>
      </c>
      <c r="K7" s="27">
        <v>458.1</v>
      </c>
      <c r="L7" s="37">
        <v>454.3</v>
      </c>
      <c r="M7" s="6">
        <v>468.2</v>
      </c>
      <c r="N7" s="6">
        <v>465.5</v>
      </c>
      <c r="O7" s="6">
        <v>466.9</v>
      </c>
      <c r="P7" s="27">
        <v>465</v>
      </c>
      <c r="Q7" s="6">
        <v>464.5</v>
      </c>
      <c r="R7" s="6">
        <v>463.2</v>
      </c>
      <c r="S7" s="6">
        <v>468.9</v>
      </c>
      <c r="T7" s="6">
        <v>467.1</v>
      </c>
      <c r="U7" s="27"/>
      <c r="V7" s="6"/>
      <c r="W7" s="6"/>
      <c r="X7" s="6"/>
      <c r="Z7" s="6"/>
      <c r="AG7" s="6"/>
      <c r="AI7" s="6"/>
    </row>
    <row r="8" spans="1:37">
      <c r="A8" s="1">
        <v>7</v>
      </c>
      <c r="B8" s="37">
        <v>451.2</v>
      </c>
      <c r="C8" s="37">
        <v>449.6</v>
      </c>
      <c r="D8" s="37">
        <v>446.8</v>
      </c>
      <c r="E8" s="37">
        <v>472.1</v>
      </c>
      <c r="F8" s="76">
        <v>470.1</v>
      </c>
      <c r="G8" s="6">
        <v>486.8</v>
      </c>
      <c r="H8" s="37">
        <v>482.2</v>
      </c>
      <c r="I8" s="6">
        <v>478.5</v>
      </c>
      <c r="J8" s="37">
        <v>474.4</v>
      </c>
      <c r="K8" s="27">
        <v>472.6</v>
      </c>
      <c r="L8" s="37">
        <v>468.6</v>
      </c>
      <c r="M8" s="6">
        <v>469.2</v>
      </c>
      <c r="N8" s="6">
        <v>467.1</v>
      </c>
      <c r="O8" s="6">
        <v>478.9</v>
      </c>
      <c r="P8" s="27">
        <v>476.3</v>
      </c>
      <c r="Q8" s="6">
        <v>470.8</v>
      </c>
      <c r="R8" s="6">
        <v>468.5</v>
      </c>
      <c r="S8" s="6">
        <v>473.1</v>
      </c>
      <c r="T8" s="6">
        <v>470.4</v>
      </c>
      <c r="U8" s="27"/>
      <c r="V8" s="6"/>
      <c r="W8" s="6"/>
      <c r="X8" s="6"/>
      <c r="Z8" s="6"/>
      <c r="AG8" s="6"/>
      <c r="AI8" s="6"/>
      <c r="AK8" s="6"/>
    </row>
    <row r="9" spans="1:37">
      <c r="A9" s="1">
        <v>8</v>
      </c>
      <c r="B9" s="37">
        <v>476.3</v>
      </c>
      <c r="C9" s="37">
        <v>473.2</v>
      </c>
      <c r="D9" s="37">
        <v>469.1</v>
      </c>
      <c r="E9" s="37">
        <v>465.6</v>
      </c>
      <c r="F9" s="76">
        <v>462</v>
      </c>
      <c r="G9" s="6">
        <v>484.2</v>
      </c>
      <c r="H9" s="37">
        <v>479.9</v>
      </c>
      <c r="I9" s="6">
        <v>476</v>
      </c>
      <c r="J9" s="37">
        <v>472.1</v>
      </c>
      <c r="K9" s="27">
        <v>467.3</v>
      </c>
      <c r="L9" s="37">
        <v>462</v>
      </c>
      <c r="M9" s="6">
        <v>469.6</v>
      </c>
      <c r="N9" s="6">
        <v>464.6</v>
      </c>
      <c r="O9" s="6">
        <v>473.9</v>
      </c>
      <c r="P9" s="27">
        <v>471.3</v>
      </c>
      <c r="Q9" s="6">
        <v>464</v>
      </c>
      <c r="R9" s="6">
        <v>459.9</v>
      </c>
      <c r="S9" s="6">
        <v>481.2</v>
      </c>
      <c r="T9" s="6">
        <v>478.6</v>
      </c>
      <c r="U9" s="27"/>
      <c r="V9" s="6"/>
      <c r="W9" s="6"/>
      <c r="X9" s="6"/>
      <c r="Z9" s="6"/>
      <c r="AG9" s="6"/>
      <c r="AI9" s="6"/>
    </row>
    <row r="10" spans="1:37">
      <c r="A10" s="1">
        <v>9</v>
      </c>
      <c r="B10" s="37">
        <v>474.1</v>
      </c>
      <c r="C10" s="37">
        <v>473.7</v>
      </c>
      <c r="D10" s="37">
        <v>473.2</v>
      </c>
      <c r="E10" s="37">
        <v>472.8</v>
      </c>
      <c r="F10" s="76">
        <v>471.9</v>
      </c>
      <c r="G10" s="6">
        <v>470.9</v>
      </c>
      <c r="H10" s="37">
        <v>470.4</v>
      </c>
      <c r="I10" s="6">
        <v>469.7</v>
      </c>
      <c r="J10" s="37">
        <v>468.8</v>
      </c>
      <c r="K10" s="27">
        <v>468.4</v>
      </c>
      <c r="L10" s="37">
        <v>467.5</v>
      </c>
      <c r="M10" s="6">
        <v>467.5</v>
      </c>
      <c r="N10" s="6">
        <v>466.8</v>
      </c>
      <c r="O10" s="6">
        <v>460.6</v>
      </c>
      <c r="P10" s="27">
        <v>460</v>
      </c>
      <c r="Q10" s="6">
        <v>464.9</v>
      </c>
      <c r="R10" s="6">
        <v>464.3</v>
      </c>
      <c r="S10" s="6">
        <v>469</v>
      </c>
      <c r="T10" s="6">
        <v>468.3</v>
      </c>
      <c r="U10" s="27"/>
      <c r="V10" s="6"/>
      <c r="W10" s="6"/>
      <c r="X10" s="6"/>
      <c r="Z10" s="6"/>
      <c r="AG10" s="6"/>
      <c r="AI10" s="6"/>
      <c r="AK10" s="6"/>
    </row>
    <row r="11" spans="1:37">
      <c r="A11" s="1">
        <v>10</v>
      </c>
      <c r="B11" s="37">
        <v>480.6</v>
      </c>
      <c r="C11" s="37">
        <v>480.3</v>
      </c>
      <c r="D11" s="37">
        <v>479.6</v>
      </c>
      <c r="E11" s="6">
        <v>478.9</v>
      </c>
      <c r="F11" s="76">
        <v>478.5</v>
      </c>
      <c r="G11" s="6">
        <v>477.7</v>
      </c>
      <c r="H11" s="37">
        <v>476.9</v>
      </c>
      <c r="I11" s="6">
        <v>476</v>
      </c>
      <c r="J11" s="37">
        <v>475.2</v>
      </c>
      <c r="K11" s="76">
        <v>474.8</v>
      </c>
      <c r="L11" s="37">
        <v>474.1</v>
      </c>
      <c r="M11" s="6">
        <v>470.4</v>
      </c>
      <c r="N11" s="6">
        <v>469.6</v>
      </c>
      <c r="O11" s="37">
        <v>468.6</v>
      </c>
      <c r="P11" s="27">
        <v>467.9</v>
      </c>
      <c r="Q11" s="6">
        <v>473.8</v>
      </c>
      <c r="R11" s="6">
        <v>473.1</v>
      </c>
      <c r="S11" s="6">
        <v>472.1</v>
      </c>
      <c r="T11" s="6">
        <v>471.4</v>
      </c>
      <c r="U11" s="27"/>
      <c r="V11" s="6"/>
      <c r="W11" s="6"/>
      <c r="X11" s="6"/>
      <c r="Z11" s="6"/>
      <c r="AG11" s="6"/>
      <c r="AI11" s="6"/>
    </row>
    <row r="12" spans="1:37">
      <c r="A12" s="1">
        <v>11</v>
      </c>
      <c r="B12" s="37">
        <v>462.8</v>
      </c>
      <c r="C12" s="37">
        <v>459.9</v>
      </c>
      <c r="D12" s="37">
        <v>456.7</v>
      </c>
      <c r="E12" s="37">
        <v>472</v>
      </c>
      <c r="F12" s="76">
        <v>469.9</v>
      </c>
      <c r="G12" s="6">
        <v>466.5</v>
      </c>
      <c r="H12" s="37">
        <v>463.9</v>
      </c>
      <c r="I12" s="6">
        <v>460.9</v>
      </c>
      <c r="J12" s="37">
        <v>459.3</v>
      </c>
      <c r="K12" s="27">
        <v>458.7</v>
      </c>
      <c r="L12" s="37">
        <v>473.4</v>
      </c>
      <c r="M12" s="6">
        <v>474.3</v>
      </c>
      <c r="N12" s="6">
        <v>472.3</v>
      </c>
      <c r="O12" s="6">
        <v>475.9</v>
      </c>
      <c r="P12" s="27">
        <v>473.9</v>
      </c>
      <c r="Q12" s="6">
        <v>472.5</v>
      </c>
      <c r="R12" s="6">
        <v>471.3</v>
      </c>
      <c r="S12" s="6">
        <v>467.6</v>
      </c>
      <c r="T12" s="6">
        <v>466.9</v>
      </c>
      <c r="U12" s="27"/>
      <c r="V12" s="6"/>
      <c r="W12" s="6"/>
      <c r="X12" s="6"/>
      <c r="Z12" s="6"/>
      <c r="AG12" s="6"/>
      <c r="AI12" s="6"/>
    </row>
    <row r="13" spans="1:37">
      <c r="A13" s="1">
        <v>12</v>
      </c>
      <c r="B13" s="37">
        <v>456.5</v>
      </c>
      <c r="C13" s="37">
        <v>452.2</v>
      </c>
      <c r="D13" s="37">
        <v>447.3</v>
      </c>
      <c r="E13" s="37">
        <v>468</v>
      </c>
      <c r="F13" s="76">
        <v>462.5</v>
      </c>
      <c r="G13" s="6">
        <v>460</v>
      </c>
      <c r="H13" s="37">
        <v>457.7</v>
      </c>
      <c r="I13" s="6">
        <v>455</v>
      </c>
      <c r="J13" s="37">
        <v>452.6</v>
      </c>
      <c r="K13" s="76">
        <v>450.3</v>
      </c>
      <c r="L13" s="37">
        <v>471.5</v>
      </c>
      <c r="M13" s="6">
        <v>461.3</v>
      </c>
      <c r="N13" s="6">
        <v>458.5</v>
      </c>
      <c r="O13" s="37">
        <v>460.6</v>
      </c>
      <c r="P13" s="27">
        <v>458.6</v>
      </c>
      <c r="Q13" s="6">
        <v>466.4</v>
      </c>
      <c r="R13" s="6">
        <v>465.4</v>
      </c>
      <c r="S13" s="6">
        <v>463.9</v>
      </c>
      <c r="T13" s="6">
        <v>462.4</v>
      </c>
      <c r="U13" s="27"/>
      <c r="V13" s="6"/>
      <c r="W13" s="6"/>
      <c r="X13" s="6"/>
      <c r="Z13" s="6"/>
      <c r="AG13" s="6"/>
      <c r="AI13" s="6"/>
    </row>
    <row r="14" spans="1:37">
      <c r="A14" s="1">
        <v>13</v>
      </c>
      <c r="B14" s="37">
        <v>452.7</v>
      </c>
      <c r="C14" s="37">
        <v>448.4</v>
      </c>
      <c r="D14" s="37">
        <v>444</v>
      </c>
      <c r="E14" s="37">
        <v>467.1</v>
      </c>
      <c r="F14" s="76">
        <v>464.1</v>
      </c>
      <c r="G14" s="6">
        <v>458.3</v>
      </c>
      <c r="H14" s="37">
        <v>453.5</v>
      </c>
      <c r="I14" s="6">
        <v>447.4</v>
      </c>
      <c r="J14" s="37">
        <v>444.3</v>
      </c>
      <c r="K14" s="27">
        <v>438.6</v>
      </c>
      <c r="L14" s="37">
        <v>469.3</v>
      </c>
      <c r="M14" s="6">
        <v>467.8</v>
      </c>
      <c r="N14" s="6">
        <v>462.2</v>
      </c>
      <c r="O14" s="6">
        <v>459.3</v>
      </c>
      <c r="P14" s="27">
        <v>454.2</v>
      </c>
      <c r="Q14" s="6">
        <v>462.6</v>
      </c>
      <c r="R14" s="6">
        <v>461.6</v>
      </c>
      <c r="S14" s="6">
        <v>467.5</v>
      </c>
      <c r="T14" s="6">
        <v>465.3</v>
      </c>
      <c r="U14" s="27"/>
      <c r="V14" s="6"/>
      <c r="W14" s="6"/>
      <c r="X14" s="6"/>
      <c r="Z14" s="6"/>
      <c r="AG14" s="6"/>
      <c r="AI14" s="6"/>
    </row>
    <row r="15" spans="1:37">
      <c r="A15" s="1">
        <v>14</v>
      </c>
      <c r="B15" s="37">
        <v>458.8</v>
      </c>
      <c r="C15" s="37">
        <v>456.1</v>
      </c>
      <c r="D15" s="37">
        <v>453.5</v>
      </c>
      <c r="E15" s="37">
        <v>451.4</v>
      </c>
      <c r="F15" s="76">
        <v>449.1</v>
      </c>
      <c r="G15" s="6">
        <v>468.4</v>
      </c>
      <c r="H15" s="37">
        <v>465.7</v>
      </c>
      <c r="I15" s="6">
        <v>463.2</v>
      </c>
      <c r="J15" s="37">
        <v>460.3</v>
      </c>
      <c r="K15" s="76">
        <v>458.1</v>
      </c>
      <c r="L15" s="37">
        <v>454.8</v>
      </c>
      <c r="M15" s="6">
        <v>458.6</v>
      </c>
      <c r="N15" s="6">
        <v>455.3</v>
      </c>
      <c r="O15" s="37">
        <v>459.8</v>
      </c>
      <c r="P15" s="27">
        <v>457.8</v>
      </c>
      <c r="Q15" s="6">
        <v>460</v>
      </c>
      <c r="R15" s="6">
        <v>459</v>
      </c>
      <c r="S15" s="6">
        <v>458.1</v>
      </c>
      <c r="T15" s="6">
        <v>457.4</v>
      </c>
      <c r="U15" s="27"/>
      <c r="V15" s="6"/>
      <c r="W15" s="6"/>
      <c r="X15" s="6"/>
      <c r="Z15" s="6"/>
      <c r="AG15" s="6"/>
      <c r="AI15" s="6"/>
    </row>
    <row r="16" spans="1:37">
      <c r="A16" s="1">
        <v>15</v>
      </c>
      <c r="B16" s="37">
        <v>459.6</v>
      </c>
      <c r="C16" s="37">
        <v>458.5</v>
      </c>
      <c r="D16" s="37">
        <v>457</v>
      </c>
      <c r="E16" s="37">
        <v>456</v>
      </c>
      <c r="F16" s="76">
        <v>455</v>
      </c>
      <c r="G16" s="6">
        <v>452.4</v>
      </c>
      <c r="H16" s="37">
        <v>450.4</v>
      </c>
      <c r="I16" s="6">
        <v>449</v>
      </c>
      <c r="J16" s="37">
        <v>448.6</v>
      </c>
      <c r="K16" s="27">
        <v>447.7</v>
      </c>
      <c r="L16" s="37">
        <v>445.4</v>
      </c>
      <c r="M16" s="6">
        <v>455.4</v>
      </c>
      <c r="N16" s="6">
        <v>454.7</v>
      </c>
      <c r="O16" s="6">
        <v>456.6</v>
      </c>
      <c r="P16" s="27">
        <v>456.2</v>
      </c>
      <c r="Q16" s="6">
        <v>471.1</v>
      </c>
      <c r="R16" s="6">
        <v>470.7</v>
      </c>
      <c r="S16" s="6">
        <v>451.9</v>
      </c>
      <c r="T16" s="6">
        <v>451.3</v>
      </c>
      <c r="U16" s="27"/>
      <c r="V16" s="6"/>
      <c r="W16" s="6"/>
      <c r="X16" s="6"/>
      <c r="Z16" s="6"/>
      <c r="AG16" s="6"/>
      <c r="AI16" s="6"/>
    </row>
    <row r="17" spans="1:37">
      <c r="A17" s="1">
        <v>16</v>
      </c>
      <c r="B17" s="37">
        <v>458</v>
      </c>
      <c r="C17" s="37">
        <v>456.4</v>
      </c>
      <c r="D17" s="37">
        <v>453.7</v>
      </c>
      <c r="E17" s="37">
        <v>452.1</v>
      </c>
      <c r="F17" s="76">
        <v>449.8</v>
      </c>
      <c r="G17" s="6">
        <v>471.2</v>
      </c>
      <c r="H17" s="37">
        <v>468.3</v>
      </c>
      <c r="I17" s="6">
        <v>464.9</v>
      </c>
      <c r="J17" s="37">
        <v>463.5</v>
      </c>
      <c r="K17" s="76">
        <v>461.1</v>
      </c>
      <c r="L17" s="37">
        <v>458.2</v>
      </c>
      <c r="M17" s="6">
        <v>459.8</v>
      </c>
      <c r="N17" s="6">
        <v>459.2</v>
      </c>
      <c r="O17" s="37">
        <v>452.8</v>
      </c>
      <c r="P17" s="27">
        <v>450.8</v>
      </c>
      <c r="Q17" s="6">
        <v>462.8</v>
      </c>
      <c r="R17" s="6">
        <v>462.2</v>
      </c>
      <c r="S17" s="6">
        <v>463.2</v>
      </c>
      <c r="T17" s="6">
        <v>462.7</v>
      </c>
      <c r="U17" s="27"/>
      <c r="V17" s="6"/>
      <c r="W17" s="6"/>
      <c r="X17" s="6"/>
      <c r="Z17" s="6"/>
      <c r="AG17" s="6"/>
      <c r="AI17" s="6"/>
      <c r="AK17" s="6"/>
    </row>
    <row r="18" spans="1:37">
      <c r="A18" s="1">
        <v>17</v>
      </c>
      <c r="B18" s="37">
        <v>469.2</v>
      </c>
      <c r="C18" s="37">
        <v>463</v>
      </c>
      <c r="D18" s="37">
        <v>458.1</v>
      </c>
      <c r="E18" s="37">
        <v>454</v>
      </c>
      <c r="F18" s="76">
        <v>450.4</v>
      </c>
      <c r="G18" s="6">
        <v>474</v>
      </c>
      <c r="H18" s="37">
        <v>469.1</v>
      </c>
      <c r="I18" s="6">
        <v>463.7</v>
      </c>
      <c r="J18" s="37">
        <v>460.3</v>
      </c>
      <c r="K18" s="27">
        <v>455.9</v>
      </c>
      <c r="L18" s="37">
        <v>448.1</v>
      </c>
      <c r="M18" s="6">
        <v>459.2</v>
      </c>
      <c r="N18" s="6">
        <v>454.5</v>
      </c>
      <c r="O18" s="6">
        <v>453.3</v>
      </c>
      <c r="P18" s="27">
        <v>450.3</v>
      </c>
      <c r="Q18" s="6">
        <v>461</v>
      </c>
      <c r="R18" s="6">
        <v>458.3</v>
      </c>
      <c r="S18" s="6">
        <v>471.9</v>
      </c>
      <c r="T18" s="6">
        <v>468.3</v>
      </c>
      <c r="U18" s="27"/>
      <c r="V18" s="6"/>
      <c r="W18" s="6"/>
      <c r="X18" s="6"/>
      <c r="Z18" s="6"/>
      <c r="AG18" s="6"/>
      <c r="AI18" s="6"/>
    </row>
    <row r="19" spans="1:37">
      <c r="A19" s="1">
        <v>18</v>
      </c>
      <c r="B19" s="37">
        <v>464.9</v>
      </c>
      <c r="C19" s="37">
        <v>461.5</v>
      </c>
      <c r="D19" s="37">
        <v>457.9</v>
      </c>
      <c r="E19" s="37">
        <v>453.1</v>
      </c>
      <c r="F19" s="76">
        <v>450.3</v>
      </c>
      <c r="G19" s="6">
        <v>471.4</v>
      </c>
      <c r="H19" s="37">
        <v>468.9</v>
      </c>
      <c r="I19" s="6">
        <v>466</v>
      </c>
      <c r="J19" s="37">
        <v>462.2</v>
      </c>
      <c r="K19" s="76">
        <v>458.8</v>
      </c>
      <c r="L19" s="37">
        <v>455.3</v>
      </c>
      <c r="M19" s="6">
        <v>459.2</v>
      </c>
      <c r="N19" s="6">
        <v>454</v>
      </c>
      <c r="O19" s="37">
        <v>449.1</v>
      </c>
      <c r="P19" s="27">
        <v>446.1</v>
      </c>
      <c r="Q19" s="6">
        <v>464.6</v>
      </c>
      <c r="R19" s="6">
        <v>462</v>
      </c>
      <c r="S19" s="6">
        <v>464.1</v>
      </c>
      <c r="T19" s="6">
        <v>461.2</v>
      </c>
      <c r="U19" s="27"/>
      <c r="V19" s="6"/>
      <c r="W19" s="6"/>
      <c r="X19" s="6"/>
      <c r="Z19" s="6"/>
      <c r="AG19" s="6"/>
      <c r="AI19" s="6"/>
    </row>
    <row r="20" spans="1:37">
      <c r="A20" s="1">
        <v>19</v>
      </c>
      <c r="B20" s="37">
        <v>457.6</v>
      </c>
      <c r="C20" s="37">
        <v>456.2</v>
      </c>
      <c r="D20" s="37">
        <v>455.5</v>
      </c>
      <c r="E20" s="37">
        <v>454.3</v>
      </c>
      <c r="F20" s="76">
        <v>453.6</v>
      </c>
      <c r="G20" s="6">
        <v>452.4</v>
      </c>
      <c r="H20" s="37">
        <v>451.3</v>
      </c>
      <c r="I20" s="6">
        <v>450.5</v>
      </c>
      <c r="J20" s="37">
        <v>449.2</v>
      </c>
      <c r="K20" s="27">
        <v>448.4</v>
      </c>
      <c r="L20" s="37">
        <v>464.3</v>
      </c>
      <c r="M20" s="6">
        <v>460.2</v>
      </c>
      <c r="N20" s="6">
        <v>459.2</v>
      </c>
      <c r="O20" s="6">
        <v>452.1</v>
      </c>
      <c r="P20" s="27">
        <v>451.7</v>
      </c>
      <c r="Q20" s="6">
        <v>460.7</v>
      </c>
      <c r="R20" s="6">
        <v>460.1</v>
      </c>
      <c r="S20" s="6">
        <v>461.4</v>
      </c>
      <c r="T20" s="6">
        <v>461</v>
      </c>
      <c r="U20" s="27"/>
      <c r="V20" s="6"/>
      <c r="W20" s="6"/>
      <c r="X20" s="6"/>
      <c r="Z20" s="6"/>
      <c r="AG20" s="6"/>
      <c r="AI20" s="6"/>
    </row>
    <row r="21" spans="1:37">
      <c r="A21" s="1">
        <v>20</v>
      </c>
      <c r="B21" s="37">
        <v>478</v>
      </c>
      <c r="C21" s="37">
        <v>477.4</v>
      </c>
      <c r="D21" s="37">
        <v>476.8</v>
      </c>
      <c r="E21" s="37">
        <v>476</v>
      </c>
      <c r="F21" s="76">
        <v>475.5</v>
      </c>
      <c r="G21" s="6">
        <v>474.8</v>
      </c>
      <c r="H21" s="37">
        <v>474.4</v>
      </c>
      <c r="I21" s="6">
        <v>473.8</v>
      </c>
      <c r="J21" s="37">
        <v>473.2</v>
      </c>
      <c r="K21" s="76">
        <v>472.6</v>
      </c>
      <c r="L21" s="37">
        <v>471.8</v>
      </c>
      <c r="M21" s="6">
        <v>470.3</v>
      </c>
      <c r="N21" s="6">
        <v>469.5</v>
      </c>
      <c r="O21" s="37">
        <v>470.5</v>
      </c>
      <c r="P21" s="27">
        <v>470</v>
      </c>
      <c r="Q21" s="6">
        <v>474.1</v>
      </c>
      <c r="R21" s="6">
        <v>473.2</v>
      </c>
      <c r="S21" s="6">
        <v>476.4</v>
      </c>
      <c r="T21" s="6">
        <v>475.8</v>
      </c>
      <c r="U21" s="27"/>
      <c r="V21" s="6"/>
      <c r="W21" s="6"/>
      <c r="X21" s="6"/>
      <c r="Z21" s="6"/>
      <c r="AG21" s="6"/>
      <c r="AI21" s="6"/>
    </row>
    <row r="22" spans="1:37">
      <c r="A22" s="1">
        <v>21</v>
      </c>
      <c r="B22" s="37">
        <v>470.4</v>
      </c>
      <c r="C22" s="37">
        <v>468.1</v>
      </c>
      <c r="D22" s="37">
        <v>465.5</v>
      </c>
      <c r="E22" s="37">
        <v>462.7</v>
      </c>
      <c r="F22" s="76">
        <v>460.6</v>
      </c>
      <c r="G22" s="6">
        <v>457.9</v>
      </c>
      <c r="H22" s="37">
        <v>456.4</v>
      </c>
      <c r="I22" s="6">
        <v>454.4</v>
      </c>
      <c r="J22" s="37">
        <v>452.5</v>
      </c>
      <c r="K22" s="27">
        <v>450.5</v>
      </c>
      <c r="L22" s="37">
        <v>471</v>
      </c>
      <c r="M22" s="6">
        <v>463.4</v>
      </c>
      <c r="N22" s="6">
        <v>460.5</v>
      </c>
      <c r="O22" s="6">
        <v>465.5</v>
      </c>
      <c r="P22" s="27">
        <v>463.8</v>
      </c>
      <c r="Q22" s="6">
        <v>458.5</v>
      </c>
      <c r="R22" s="6">
        <v>457.4</v>
      </c>
      <c r="S22" s="6">
        <v>457.8</v>
      </c>
      <c r="T22" s="6">
        <v>456.2</v>
      </c>
      <c r="U22" s="27"/>
      <c r="V22" s="6"/>
      <c r="W22" s="6"/>
      <c r="X22" s="6"/>
      <c r="Z22" s="6"/>
      <c r="AG22" s="6"/>
      <c r="AI22" s="6"/>
    </row>
    <row r="23" spans="1:37">
      <c r="A23" s="1">
        <v>22</v>
      </c>
      <c r="B23" s="37">
        <v>461.8</v>
      </c>
      <c r="C23" s="37">
        <v>457.9</v>
      </c>
      <c r="D23" s="37">
        <v>455.2</v>
      </c>
      <c r="E23" s="37">
        <v>452.3</v>
      </c>
      <c r="F23" s="76">
        <v>448.6</v>
      </c>
      <c r="G23" s="6">
        <v>445.7</v>
      </c>
      <c r="H23" s="37">
        <v>442.4</v>
      </c>
      <c r="I23" s="6">
        <v>439</v>
      </c>
      <c r="J23" s="37">
        <v>435.9</v>
      </c>
      <c r="K23" s="76">
        <v>433.1</v>
      </c>
      <c r="L23" s="37">
        <v>459.9</v>
      </c>
      <c r="M23" s="6">
        <v>463</v>
      </c>
      <c r="N23" s="6">
        <v>459.7</v>
      </c>
      <c r="O23" s="37">
        <v>452.2</v>
      </c>
      <c r="P23" s="27">
        <v>449.2</v>
      </c>
      <c r="Q23" s="6">
        <v>454.9</v>
      </c>
      <c r="R23" s="6">
        <v>453.9</v>
      </c>
      <c r="S23" s="6">
        <v>465.9</v>
      </c>
      <c r="T23" s="6">
        <v>464.2</v>
      </c>
      <c r="U23" s="27"/>
      <c r="V23" s="6"/>
      <c r="W23" s="6"/>
      <c r="X23" s="6"/>
      <c r="Z23" s="6"/>
      <c r="AG23" s="6"/>
      <c r="AI23" s="6"/>
    </row>
    <row r="24" spans="1:37">
      <c r="A24" s="1">
        <v>23</v>
      </c>
      <c r="B24" s="37">
        <v>447.1</v>
      </c>
      <c r="C24" s="37">
        <v>444.5</v>
      </c>
      <c r="D24" s="37">
        <v>442.3</v>
      </c>
      <c r="E24" s="37">
        <v>454.3</v>
      </c>
      <c r="F24" s="76">
        <v>451.3</v>
      </c>
      <c r="G24" s="6">
        <v>448.9</v>
      </c>
      <c r="H24" s="37">
        <v>446.4</v>
      </c>
      <c r="I24" s="6">
        <v>442.1</v>
      </c>
      <c r="J24" s="37">
        <v>440.5</v>
      </c>
      <c r="K24" s="27">
        <v>437.6</v>
      </c>
      <c r="L24" s="37">
        <v>469.6</v>
      </c>
      <c r="M24" s="6">
        <v>460</v>
      </c>
      <c r="N24" s="6">
        <v>459.1</v>
      </c>
      <c r="O24" s="6">
        <v>461.9</v>
      </c>
      <c r="P24" s="27">
        <v>459</v>
      </c>
      <c r="Q24" s="6">
        <v>464.4</v>
      </c>
      <c r="R24" s="6">
        <v>462.7</v>
      </c>
      <c r="S24" s="6">
        <v>461.8</v>
      </c>
      <c r="T24" s="6">
        <v>458.9</v>
      </c>
      <c r="U24" s="27"/>
      <c r="V24" s="6"/>
      <c r="W24" s="6"/>
      <c r="X24" s="6"/>
      <c r="Z24" s="6"/>
      <c r="AG24" s="6"/>
      <c r="AI24" s="6"/>
    </row>
    <row r="25" spans="1:37">
      <c r="A25" s="1">
        <v>24</v>
      </c>
      <c r="B25" s="37">
        <v>448.7</v>
      </c>
      <c r="C25" s="37">
        <v>444.6</v>
      </c>
      <c r="D25" s="37">
        <v>440.2</v>
      </c>
      <c r="E25" s="37">
        <v>465.7</v>
      </c>
      <c r="F25" s="76">
        <v>462.4</v>
      </c>
      <c r="G25" s="6">
        <v>457.4</v>
      </c>
      <c r="H25" s="37">
        <v>452.7</v>
      </c>
      <c r="I25" s="6">
        <v>448.8</v>
      </c>
      <c r="J25" s="37">
        <v>443.6</v>
      </c>
      <c r="K25" s="76">
        <v>439.2</v>
      </c>
      <c r="L25" s="37">
        <v>460.1</v>
      </c>
      <c r="M25" s="6">
        <v>455.2</v>
      </c>
      <c r="N25" s="6">
        <v>449.7</v>
      </c>
      <c r="O25" s="37">
        <v>453</v>
      </c>
      <c r="P25" s="27">
        <v>448.3</v>
      </c>
      <c r="Q25" s="6">
        <v>459.3</v>
      </c>
      <c r="R25" s="6">
        <v>456.7</v>
      </c>
      <c r="S25" s="6">
        <v>454.3</v>
      </c>
      <c r="T25" s="6">
        <v>450.4</v>
      </c>
      <c r="U25" s="27"/>
      <c r="V25" s="6"/>
      <c r="W25" s="6"/>
      <c r="X25" s="6"/>
      <c r="Z25" s="6"/>
      <c r="AG25" s="6"/>
      <c r="AH25" s="6"/>
      <c r="AI25" s="6"/>
    </row>
    <row r="26" spans="1:37">
      <c r="A26" s="1">
        <v>25</v>
      </c>
      <c r="B26" s="37">
        <v>451</v>
      </c>
      <c r="C26" s="37">
        <v>445.9</v>
      </c>
      <c r="D26" s="37">
        <v>441.1</v>
      </c>
      <c r="E26" s="37">
        <v>471.5</v>
      </c>
      <c r="F26" s="76">
        <v>466.9</v>
      </c>
      <c r="G26" s="6">
        <v>463.2</v>
      </c>
      <c r="H26" s="37">
        <v>458.6</v>
      </c>
      <c r="I26" s="6">
        <v>451.7</v>
      </c>
      <c r="J26" s="37">
        <v>446.2</v>
      </c>
      <c r="K26" s="27">
        <v>442.8</v>
      </c>
      <c r="L26" s="37">
        <v>469.2</v>
      </c>
      <c r="M26" s="6">
        <v>467.2</v>
      </c>
      <c r="N26" s="6">
        <v>460.5</v>
      </c>
      <c r="O26" s="6">
        <v>462.5</v>
      </c>
      <c r="P26" s="27">
        <v>459.5</v>
      </c>
      <c r="Q26" s="6">
        <v>466.4</v>
      </c>
      <c r="R26" s="6">
        <v>464.3</v>
      </c>
      <c r="S26" s="6">
        <v>467.6</v>
      </c>
      <c r="T26" s="6">
        <v>465.4</v>
      </c>
      <c r="U26" s="27"/>
      <c r="V26" s="6"/>
      <c r="W26" s="6"/>
      <c r="X26" s="6"/>
      <c r="Z26" s="6"/>
      <c r="AG26" s="6"/>
      <c r="AI26" s="6"/>
    </row>
    <row r="27" spans="1:37">
      <c r="A27" s="1">
        <v>26</v>
      </c>
      <c r="B27" s="37">
        <v>459</v>
      </c>
      <c r="C27" s="37">
        <v>456.3</v>
      </c>
      <c r="D27" s="37">
        <v>453</v>
      </c>
      <c r="E27" s="37">
        <v>450.4</v>
      </c>
      <c r="F27" s="76">
        <v>447.7</v>
      </c>
      <c r="G27" s="6">
        <v>445.6</v>
      </c>
      <c r="H27" s="37">
        <v>443.4</v>
      </c>
      <c r="I27" s="6">
        <v>441.3</v>
      </c>
      <c r="J27" s="37">
        <v>437.7</v>
      </c>
      <c r="K27" s="76">
        <v>434.8</v>
      </c>
      <c r="L27" s="37">
        <v>469.1</v>
      </c>
      <c r="M27" s="6">
        <v>461.7</v>
      </c>
      <c r="N27" s="6">
        <v>459</v>
      </c>
      <c r="O27" s="37">
        <v>449.5</v>
      </c>
      <c r="P27" s="27">
        <v>447.1</v>
      </c>
      <c r="Q27" s="6">
        <v>466</v>
      </c>
      <c r="R27" s="6">
        <v>463.9</v>
      </c>
      <c r="S27" s="6">
        <v>459.4</v>
      </c>
      <c r="T27" s="6">
        <v>457.1</v>
      </c>
      <c r="U27" s="27"/>
      <c r="V27" s="6"/>
      <c r="W27" s="6"/>
      <c r="X27" s="6"/>
      <c r="Z27" s="6"/>
      <c r="AG27" s="6"/>
      <c r="AI27" s="6"/>
    </row>
    <row r="28" spans="1:37">
      <c r="A28" s="1">
        <v>27</v>
      </c>
      <c r="B28" s="37">
        <v>458.1</v>
      </c>
      <c r="C28" s="37">
        <v>454.7</v>
      </c>
      <c r="D28" s="37">
        <v>450.8</v>
      </c>
      <c r="E28" s="37">
        <v>445.9</v>
      </c>
      <c r="F28" s="76">
        <v>441.9</v>
      </c>
      <c r="G28" s="6">
        <v>467.5</v>
      </c>
      <c r="H28" s="37">
        <v>464.4</v>
      </c>
      <c r="I28" s="6">
        <v>460.4</v>
      </c>
      <c r="J28" s="37">
        <v>457.5</v>
      </c>
      <c r="K28" s="27">
        <v>454.6</v>
      </c>
      <c r="L28" s="37">
        <v>450.7</v>
      </c>
      <c r="M28" s="6">
        <v>459.8</v>
      </c>
      <c r="N28" s="6">
        <v>455.9</v>
      </c>
      <c r="O28" s="6">
        <v>461.9</v>
      </c>
      <c r="P28" s="27">
        <v>458.6</v>
      </c>
      <c r="Q28" s="6">
        <v>474.1</v>
      </c>
      <c r="R28" s="6">
        <v>472.5</v>
      </c>
      <c r="S28" s="6">
        <v>458.8</v>
      </c>
      <c r="T28" s="6">
        <v>456.4</v>
      </c>
      <c r="U28" s="27"/>
      <c r="V28" s="6"/>
      <c r="W28" s="6"/>
      <c r="X28" s="6"/>
      <c r="Z28" s="6"/>
      <c r="AG28" s="6"/>
      <c r="AI28" s="6"/>
    </row>
    <row r="29" spans="1:37">
      <c r="A29" s="1">
        <v>28</v>
      </c>
      <c r="B29" s="37">
        <v>459.7</v>
      </c>
      <c r="C29" s="37">
        <v>457.3</v>
      </c>
      <c r="D29" s="37">
        <v>454.8</v>
      </c>
      <c r="E29" s="37">
        <v>451.7</v>
      </c>
      <c r="F29" s="76">
        <v>449.2</v>
      </c>
      <c r="G29" s="6">
        <v>470.4</v>
      </c>
      <c r="H29" s="37">
        <v>469.5</v>
      </c>
      <c r="I29" s="6">
        <v>468.4</v>
      </c>
      <c r="J29" s="37">
        <v>467</v>
      </c>
      <c r="K29" s="76">
        <v>465.7</v>
      </c>
      <c r="L29" s="37">
        <v>464.2</v>
      </c>
      <c r="M29" s="6">
        <v>460.5</v>
      </c>
      <c r="N29" s="6">
        <v>458.7</v>
      </c>
      <c r="O29" s="37">
        <v>465.8</v>
      </c>
      <c r="P29" s="27">
        <v>464.3</v>
      </c>
      <c r="Q29" s="6">
        <v>487.6</v>
      </c>
      <c r="R29" s="6">
        <v>487</v>
      </c>
      <c r="S29" s="6">
        <v>467.1</v>
      </c>
      <c r="T29" s="6">
        <v>466.1</v>
      </c>
      <c r="U29" s="27"/>
      <c r="V29" s="6"/>
      <c r="W29" s="6"/>
      <c r="X29" s="6"/>
      <c r="Z29" s="6"/>
      <c r="AG29" s="6"/>
      <c r="AI29" s="6"/>
    </row>
    <row r="30" spans="1:37">
      <c r="A30" s="1">
        <v>29</v>
      </c>
      <c r="B30" s="37">
        <v>460.7</v>
      </c>
      <c r="C30" s="37">
        <v>459.8</v>
      </c>
      <c r="D30" s="37">
        <v>458.7</v>
      </c>
      <c r="E30" s="37">
        <v>458</v>
      </c>
      <c r="F30" s="76">
        <v>457</v>
      </c>
      <c r="G30" s="6">
        <v>455.6</v>
      </c>
      <c r="H30" s="37">
        <v>454</v>
      </c>
      <c r="I30" s="6">
        <v>453</v>
      </c>
      <c r="J30" s="37">
        <v>451.3</v>
      </c>
      <c r="K30" s="27">
        <v>450.6</v>
      </c>
      <c r="L30" s="37">
        <v>449.5</v>
      </c>
      <c r="M30" s="6">
        <v>461.3</v>
      </c>
      <c r="N30" s="6">
        <v>460.8</v>
      </c>
      <c r="O30" s="6">
        <v>465.6</v>
      </c>
      <c r="P30" s="27">
        <v>465.2</v>
      </c>
      <c r="Q30" s="6">
        <v>459.9</v>
      </c>
      <c r="R30" s="6">
        <v>459.4</v>
      </c>
      <c r="S30" s="6">
        <v>451.6</v>
      </c>
      <c r="T30" s="6">
        <v>450.9</v>
      </c>
      <c r="U30" s="27"/>
      <c r="V30" s="6"/>
      <c r="W30" s="6"/>
      <c r="X30" s="6"/>
      <c r="Z30" s="6"/>
      <c r="AG30" s="6"/>
      <c r="AI30" s="6"/>
    </row>
    <row r="31" spans="1:37">
      <c r="A31" s="1">
        <v>30</v>
      </c>
      <c r="B31" s="37">
        <v>458.5</v>
      </c>
      <c r="C31" s="37">
        <v>457.1</v>
      </c>
      <c r="D31" s="37">
        <v>455.8</v>
      </c>
      <c r="E31" s="37">
        <v>454.9</v>
      </c>
      <c r="F31" s="76">
        <v>454.3</v>
      </c>
      <c r="G31" s="6">
        <v>453.3</v>
      </c>
      <c r="H31" s="37">
        <v>452.2</v>
      </c>
      <c r="I31" s="6">
        <v>451.1</v>
      </c>
      <c r="J31" s="37">
        <v>450.1</v>
      </c>
      <c r="K31" s="76">
        <v>449</v>
      </c>
      <c r="L31" s="37">
        <v>462.5</v>
      </c>
      <c r="M31" s="6">
        <v>463.9</v>
      </c>
      <c r="N31" s="6">
        <v>463.3</v>
      </c>
      <c r="O31" s="37">
        <v>464.7</v>
      </c>
      <c r="P31" s="27">
        <v>464.3</v>
      </c>
      <c r="Q31" s="6">
        <v>457.4</v>
      </c>
      <c r="R31" s="6">
        <v>457</v>
      </c>
      <c r="S31" s="6">
        <v>448.7</v>
      </c>
      <c r="T31" s="6">
        <v>448</v>
      </c>
      <c r="U31" s="27"/>
      <c r="V31" s="6"/>
      <c r="W31" s="6"/>
      <c r="X31" s="6"/>
      <c r="Z31" s="6"/>
      <c r="AG31" s="6"/>
      <c r="AI31" s="6"/>
    </row>
    <row r="32" spans="1:37">
      <c r="A32" s="1">
        <v>31</v>
      </c>
      <c r="B32" s="37">
        <v>464.9</v>
      </c>
      <c r="C32" s="37">
        <v>462.6</v>
      </c>
      <c r="D32" s="37">
        <v>461.5</v>
      </c>
      <c r="E32" s="37">
        <v>459.1</v>
      </c>
      <c r="F32" s="76">
        <v>456.8</v>
      </c>
      <c r="G32" s="6">
        <v>474.1</v>
      </c>
      <c r="H32" s="37">
        <v>470.4</v>
      </c>
      <c r="I32" s="6">
        <v>468.1</v>
      </c>
      <c r="J32" s="37">
        <v>466.1</v>
      </c>
      <c r="K32" s="27">
        <v>464</v>
      </c>
      <c r="L32" s="37">
        <v>461.3</v>
      </c>
      <c r="M32" s="6">
        <v>458.4</v>
      </c>
      <c r="N32" s="6">
        <v>467.6</v>
      </c>
      <c r="O32" s="6">
        <v>466.5</v>
      </c>
      <c r="P32" s="27">
        <v>460.7</v>
      </c>
      <c r="Q32" s="6">
        <v>466</v>
      </c>
      <c r="R32" s="6">
        <v>465.5</v>
      </c>
      <c r="S32" s="6">
        <v>450</v>
      </c>
      <c r="T32" s="6">
        <v>449.6</v>
      </c>
      <c r="U32" s="27"/>
      <c r="V32" s="6"/>
      <c r="W32" s="6"/>
      <c r="X32" s="6"/>
      <c r="Z32" s="6"/>
      <c r="AG32" s="6"/>
      <c r="AI32" s="6"/>
      <c r="AK32" s="6"/>
    </row>
    <row r="33" spans="1:37">
      <c r="A33" s="1">
        <v>32</v>
      </c>
      <c r="B33" s="37">
        <v>448.9</v>
      </c>
      <c r="C33" s="37">
        <v>445.6</v>
      </c>
      <c r="D33" s="37">
        <v>441.6</v>
      </c>
      <c r="E33" s="37">
        <v>456.4</v>
      </c>
      <c r="F33" s="76">
        <v>455</v>
      </c>
      <c r="G33" s="6">
        <v>451.5</v>
      </c>
      <c r="H33" s="37">
        <v>448</v>
      </c>
      <c r="I33" s="6">
        <v>444.7</v>
      </c>
      <c r="J33" s="37">
        <v>441.4</v>
      </c>
      <c r="K33" s="76">
        <v>438.8</v>
      </c>
      <c r="L33" s="37">
        <v>454</v>
      </c>
      <c r="M33" s="6">
        <v>451.4</v>
      </c>
      <c r="N33" s="6">
        <v>464.2</v>
      </c>
      <c r="O33" s="37">
        <v>463.3</v>
      </c>
      <c r="P33" s="27">
        <v>458.1</v>
      </c>
      <c r="Q33" s="6">
        <v>453.7</v>
      </c>
      <c r="R33" s="6">
        <v>453.1</v>
      </c>
      <c r="S33" s="6">
        <v>467.6</v>
      </c>
      <c r="T33" s="6">
        <v>467.2</v>
      </c>
      <c r="U33" s="27"/>
      <c r="V33" s="6"/>
      <c r="W33" s="6"/>
      <c r="X33" s="6"/>
      <c r="Z33" s="6"/>
      <c r="AG33" s="6"/>
      <c r="AI33" s="6"/>
    </row>
    <row r="34" spans="1:37">
      <c r="A34" s="1">
        <v>33</v>
      </c>
      <c r="B34" s="37">
        <v>443.1</v>
      </c>
      <c r="C34" s="37">
        <v>440.4</v>
      </c>
      <c r="D34" s="37">
        <v>437.3</v>
      </c>
      <c r="E34" s="37">
        <v>467.6</v>
      </c>
      <c r="F34" s="76">
        <v>465.2</v>
      </c>
      <c r="G34" s="6">
        <v>463.5</v>
      </c>
      <c r="H34" s="37">
        <v>461.8</v>
      </c>
      <c r="I34" s="6">
        <v>459.7</v>
      </c>
      <c r="J34" s="37">
        <v>456.7</v>
      </c>
      <c r="K34" s="27">
        <v>454.3</v>
      </c>
      <c r="L34" s="37">
        <v>456.3</v>
      </c>
      <c r="M34" s="6">
        <v>462.4</v>
      </c>
      <c r="N34" s="6">
        <v>457.9</v>
      </c>
      <c r="O34" s="6">
        <v>455.4</v>
      </c>
      <c r="P34" s="27">
        <v>468.3</v>
      </c>
      <c r="Q34" s="6">
        <v>460</v>
      </c>
      <c r="R34" s="6">
        <v>458.1</v>
      </c>
      <c r="S34" s="6">
        <v>454</v>
      </c>
      <c r="T34" s="6">
        <v>452.4</v>
      </c>
      <c r="U34" s="27"/>
      <c r="V34" s="6"/>
      <c r="W34" s="6"/>
      <c r="X34" s="6"/>
      <c r="Z34" s="6"/>
      <c r="AG34" s="6"/>
      <c r="AI34" s="6"/>
    </row>
    <row r="35" spans="1:37">
      <c r="A35" s="1">
        <v>34</v>
      </c>
      <c r="B35" s="37">
        <v>459.9</v>
      </c>
      <c r="C35" s="37">
        <v>454.9</v>
      </c>
      <c r="D35" s="37">
        <v>450.7</v>
      </c>
      <c r="E35" s="37">
        <v>456.6</v>
      </c>
      <c r="F35" s="76">
        <v>449.9</v>
      </c>
      <c r="G35" s="6">
        <v>477.4</v>
      </c>
      <c r="H35" s="37">
        <v>473.9</v>
      </c>
      <c r="I35" s="6">
        <v>468.9</v>
      </c>
      <c r="J35" s="37">
        <v>465.2</v>
      </c>
      <c r="K35" s="76">
        <v>460.6</v>
      </c>
      <c r="L35" s="37">
        <v>451.9</v>
      </c>
      <c r="M35" s="6">
        <v>458.7</v>
      </c>
      <c r="N35" s="6">
        <v>455.2</v>
      </c>
      <c r="O35" s="37">
        <v>451.1</v>
      </c>
      <c r="P35" s="27">
        <v>456.8</v>
      </c>
      <c r="Q35" s="6">
        <v>455.9</v>
      </c>
      <c r="R35" s="6">
        <v>453.8</v>
      </c>
      <c r="S35" s="6">
        <v>463.1</v>
      </c>
      <c r="T35" s="6">
        <v>460.5</v>
      </c>
      <c r="U35" s="27"/>
      <c r="V35" s="6"/>
      <c r="W35" s="6"/>
      <c r="X35" s="6"/>
      <c r="Z35" s="6"/>
      <c r="AG35" s="6"/>
      <c r="AI35" s="6"/>
    </row>
    <row r="36" spans="1:37">
      <c r="A36" s="1">
        <v>35</v>
      </c>
      <c r="B36" s="37">
        <v>449.5</v>
      </c>
      <c r="C36" s="37">
        <v>447.6</v>
      </c>
      <c r="D36" s="37">
        <v>445.2</v>
      </c>
      <c r="E36" s="37">
        <v>442.7</v>
      </c>
      <c r="F36" s="76">
        <v>439.8</v>
      </c>
      <c r="G36" s="6">
        <v>467.4</v>
      </c>
      <c r="H36" s="37">
        <v>465.4</v>
      </c>
      <c r="I36" s="6">
        <v>462.8</v>
      </c>
      <c r="J36" s="37">
        <v>460.9</v>
      </c>
      <c r="K36" s="27">
        <v>458.7</v>
      </c>
      <c r="L36" s="37">
        <v>449.2</v>
      </c>
      <c r="M36" s="6">
        <v>450.7</v>
      </c>
      <c r="N36" s="6">
        <v>449</v>
      </c>
      <c r="O36" s="6">
        <v>447</v>
      </c>
      <c r="P36" s="27">
        <v>455.4</v>
      </c>
      <c r="Q36" s="6">
        <v>448.1</v>
      </c>
      <c r="R36" s="6">
        <v>446.8</v>
      </c>
      <c r="S36" s="6">
        <v>455.6</v>
      </c>
      <c r="T36" s="6">
        <v>454.6</v>
      </c>
      <c r="U36" s="27"/>
      <c r="V36" s="6"/>
      <c r="W36" s="6"/>
      <c r="X36" s="6"/>
      <c r="Z36" s="6"/>
      <c r="AG36" s="6"/>
      <c r="AI36" s="6"/>
    </row>
    <row r="37" spans="1:37">
      <c r="A37" s="1">
        <v>36</v>
      </c>
      <c r="B37" s="37">
        <v>468.1</v>
      </c>
      <c r="C37" s="37">
        <v>463.6</v>
      </c>
      <c r="D37" s="37">
        <v>460.9</v>
      </c>
      <c r="E37" s="37">
        <v>457.5</v>
      </c>
      <c r="F37" s="76">
        <v>453.2</v>
      </c>
      <c r="G37" s="6">
        <v>449.7</v>
      </c>
      <c r="H37" s="37">
        <v>445.9</v>
      </c>
      <c r="I37" s="6">
        <v>441.9</v>
      </c>
      <c r="J37" s="37">
        <v>438.2</v>
      </c>
      <c r="K37" s="76">
        <v>434.5</v>
      </c>
      <c r="L37" s="37">
        <v>455.1</v>
      </c>
      <c r="M37" s="6">
        <v>448.4</v>
      </c>
      <c r="N37" s="6">
        <v>453.7</v>
      </c>
      <c r="O37" s="37">
        <v>450.2</v>
      </c>
      <c r="P37" s="27">
        <v>448.4</v>
      </c>
      <c r="Q37" s="6">
        <v>459.4</v>
      </c>
      <c r="R37" s="6">
        <v>458.1</v>
      </c>
      <c r="S37" s="6">
        <v>458.6</v>
      </c>
      <c r="T37" s="6">
        <v>456.9</v>
      </c>
      <c r="U37" s="27"/>
      <c r="V37" s="6"/>
      <c r="W37" s="6"/>
      <c r="X37" s="6"/>
      <c r="Z37" s="6"/>
      <c r="AG37" s="6"/>
      <c r="AI37" s="6"/>
    </row>
    <row r="38" spans="1:37">
      <c r="A38" s="1">
        <v>37</v>
      </c>
      <c r="B38" s="37">
        <v>455.2</v>
      </c>
      <c r="C38" s="37">
        <v>450.2</v>
      </c>
      <c r="D38" s="37">
        <v>445.4</v>
      </c>
      <c r="E38" s="37">
        <v>452.7</v>
      </c>
      <c r="F38" s="76">
        <v>449.3</v>
      </c>
      <c r="G38" s="6">
        <v>467.4</v>
      </c>
      <c r="H38" s="37">
        <v>462.8</v>
      </c>
      <c r="I38" s="6">
        <v>457.6</v>
      </c>
      <c r="J38" s="37">
        <v>450.3</v>
      </c>
      <c r="K38" s="27">
        <v>449.1</v>
      </c>
      <c r="L38" s="37">
        <v>440.8</v>
      </c>
      <c r="M38" s="6">
        <v>455.6</v>
      </c>
      <c r="N38" s="6">
        <v>447</v>
      </c>
      <c r="O38" s="6">
        <v>442.7</v>
      </c>
      <c r="P38" s="27">
        <v>455.4</v>
      </c>
      <c r="Q38" s="6">
        <v>451.6</v>
      </c>
      <c r="R38" s="6">
        <v>448.7</v>
      </c>
      <c r="S38" s="6">
        <v>454</v>
      </c>
      <c r="T38" s="6">
        <v>450.4</v>
      </c>
      <c r="U38" s="27"/>
      <c r="V38" s="6"/>
      <c r="W38" s="6"/>
      <c r="X38" s="6"/>
      <c r="Z38" s="6"/>
      <c r="AG38" s="6"/>
      <c r="AI38" s="6"/>
    </row>
    <row r="39" spans="1:37">
      <c r="A39" s="1">
        <v>38</v>
      </c>
      <c r="B39" s="37">
        <v>444</v>
      </c>
      <c r="C39" s="37">
        <v>441.6</v>
      </c>
      <c r="D39" s="37">
        <v>439.8</v>
      </c>
      <c r="E39" s="37">
        <v>459.5</v>
      </c>
      <c r="F39" s="76">
        <v>457.4</v>
      </c>
      <c r="G39" s="6">
        <v>454.8</v>
      </c>
      <c r="H39" s="37">
        <v>452.9</v>
      </c>
      <c r="I39" s="6">
        <v>450.8</v>
      </c>
      <c r="J39" s="37">
        <v>448.2</v>
      </c>
      <c r="K39" s="76">
        <v>445.7</v>
      </c>
      <c r="L39" s="37">
        <v>450.2</v>
      </c>
      <c r="M39" s="6">
        <v>445.8</v>
      </c>
      <c r="N39" s="6">
        <v>447.9</v>
      </c>
      <c r="O39" s="37">
        <v>445.3</v>
      </c>
      <c r="P39" s="27">
        <v>446.5</v>
      </c>
      <c r="Q39" s="6">
        <v>451.5</v>
      </c>
      <c r="R39" s="6">
        <v>448.6</v>
      </c>
      <c r="S39" s="6">
        <v>449.9</v>
      </c>
      <c r="T39" s="6">
        <v>448.4</v>
      </c>
      <c r="U39" s="27"/>
      <c r="V39" s="6"/>
      <c r="W39" s="6"/>
      <c r="X39" s="6"/>
      <c r="Z39" s="6"/>
      <c r="AG39" s="6"/>
      <c r="AI39" s="6"/>
    </row>
    <row r="40" spans="1:37">
      <c r="A40" s="1">
        <v>39</v>
      </c>
      <c r="B40" s="37">
        <v>436</v>
      </c>
      <c r="C40" s="37">
        <v>431.4</v>
      </c>
      <c r="D40" s="37">
        <v>427.2</v>
      </c>
      <c r="E40" s="37">
        <v>450.8</v>
      </c>
      <c r="F40" s="76">
        <v>445.5</v>
      </c>
      <c r="G40" s="6">
        <v>466.8</v>
      </c>
      <c r="H40" s="37">
        <v>461</v>
      </c>
      <c r="I40" s="6">
        <v>456.3</v>
      </c>
      <c r="J40" s="37">
        <v>452.3</v>
      </c>
      <c r="K40" s="27">
        <v>448.9</v>
      </c>
      <c r="L40" s="37">
        <v>447</v>
      </c>
      <c r="M40" s="6">
        <v>457.5</v>
      </c>
      <c r="N40" s="6">
        <v>451.7</v>
      </c>
      <c r="O40" s="6">
        <v>450.9</v>
      </c>
      <c r="P40" s="27">
        <v>458.8</v>
      </c>
      <c r="Q40" s="6">
        <v>456.1</v>
      </c>
      <c r="R40" s="6">
        <v>455.1</v>
      </c>
      <c r="S40" s="6">
        <v>459.7</v>
      </c>
      <c r="T40" s="6">
        <v>459.4</v>
      </c>
      <c r="U40" s="27"/>
      <c r="V40" s="6"/>
      <c r="W40" s="6"/>
      <c r="X40" s="6"/>
      <c r="Z40" s="6"/>
      <c r="AG40" s="6"/>
      <c r="AI40" s="6"/>
    </row>
    <row r="41" spans="1:37">
      <c r="A41" s="1">
        <v>40</v>
      </c>
      <c r="B41" s="37">
        <v>459.1</v>
      </c>
      <c r="C41" s="37">
        <v>458.8</v>
      </c>
      <c r="D41" s="37">
        <v>458.5</v>
      </c>
      <c r="E41" s="37">
        <v>457.6</v>
      </c>
      <c r="F41" s="76">
        <v>456.7</v>
      </c>
      <c r="G41" s="6">
        <v>455.9</v>
      </c>
      <c r="H41" s="37">
        <v>455.1</v>
      </c>
      <c r="I41" s="6">
        <v>454.7</v>
      </c>
      <c r="J41" s="37">
        <v>453.9</v>
      </c>
      <c r="K41" s="76">
        <v>453.6</v>
      </c>
      <c r="L41" s="37">
        <v>454.4</v>
      </c>
      <c r="M41" s="6">
        <v>449.8</v>
      </c>
      <c r="N41" s="6">
        <v>455.4</v>
      </c>
      <c r="O41" s="37">
        <v>454.7</v>
      </c>
      <c r="P41" s="27">
        <v>458.6</v>
      </c>
      <c r="Q41" s="6">
        <v>453</v>
      </c>
      <c r="R41" s="6">
        <v>452.3</v>
      </c>
      <c r="S41" s="6">
        <v>461.2</v>
      </c>
      <c r="T41" s="6">
        <v>461</v>
      </c>
      <c r="U41" s="27"/>
      <c r="V41" s="6"/>
      <c r="W41" s="6"/>
      <c r="X41" s="6"/>
      <c r="Z41" s="6"/>
      <c r="AG41" s="6"/>
      <c r="AI41" s="6"/>
      <c r="AK41" s="6"/>
    </row>
    <row r="42" spans="1:37">
      <c r="A42" s="1">
        <v>41</v>
      </c>
      <c r="B42" s="37">
        <v>427.2</v>
      </c>
      <c r="C42" s="37">
        <v>423.3</v>
      </c>
      <c r="D42" s="37">
        <v>419.7</v>
      </c>
      <c r="E42" s="37">
        <v>453.3</v>
      </c>
      <c r="F42" s="76">
        <v>449</v>
      </c>
      <c r="G42" s="6">
        <v>444.7</v>
      </c>
      <c r="H42" s="37">
        <v>438.5</v>
      </c>
      <c r="I42" s="6">
        <v>435.1</v>
      </c>
      <c r="J42" s="37">
        <v>431.7</v>
      </c>
      <c r="K42" s="27">
        <v>428.5</v>
      </c>
      <c r="L42" s="37">
        <v>448.2</v>
      </c>
      <c r="M42" s="6">
        <v>446.5</v>
      </c>
      <c r="N42" s="6">
        <v>456.2</v>
      </c>
      <c r="O42" s="6">
        <v>453.3</v>
      </c>
      <c r="P42" s="27">
        <v>457.8</v>
      </c>
      <c r="Q42" s="6">
        <v>450</v>
      </c>
      <c r="R42" s="6">
        <v>448.8</v>
      </c>
      <c r="S42" s="6">
        <v>469.5</v>
      </c>
      <c r="T42" s="6">
        <v>466.9</v>
      </c>
      <c r="U42" s="27"/>
      <c r="V42" s="6"/>
      <c r="W42" s="6"/>
      <c r="X42" s="6"/>
      <c r="Z42" s="6"/>
      <c r="AG42" s="6"/>
      <c r="AI42" s="6"/>
    </row>
    <row r="43" spans="1:37">
      <c r="A43" s="1">
        <v>42</v>
      </c>
      <c r="B43" s="37">
        <v>452.4</v>
      </c>
      <c r="C43" s="37">
        <v>450.7</v>
      </c>
      <c r="D43" s="37">
        <v>447.9</v>
      </c>
      <c r="E43" s="37">
        <v>446.1</v>
      </c>
      <c r="F43" s="76">
        <v>444.1</v>
      </c>
      <c r="G43" s="6">
        <v>465.2</v>
      </c>
      <c r="H43" s="37">
        <v>462.6</v>
      </c>
      <c r="I43" s="6">
        <v>460.1</v>
      </c>
      <c r="J43" s="37">
        <v>458</v>
      </c>
      <c r="K43" s="76">
        <v>455.8</v>
      </c>
      <c r="L43" s="37">
        <v>451.6</v>
      </c>
      <c r="M43" s="6">
        <v>459</v>
      </c>
      <c r="N43" s="6">
        <v>453.3</v>
      </c>
      <c r="O43" s="37">
        <v>450.9</v>
      </c>
      <c r="P43" s="27">
        <v>466.7</v>
      </c>
      <c r="Q43" s="6">
        <v>462</v>
      </c>
      <c r="R43" s="6">
        <v>461.4</v>
      </c>
      <c r="S43" s="6">
        <v>457.8</v>
      </c>
      <c r="T43" s="6">
        <v>457</v>
      </c>
      <c r="U43" s="27"/>
      <c r="V43" s="6"/>
      <c r="W43" s="6"/>
      <c r="X43" s="6"/>
      <c r="Z43" s="6"/>
      <c r="AG43" s="6"/>
      <c r="AI43" s="6"/>
      <c r="AK43" s="6"/>
    </row>
    <row r="44" spans="1:37">
      <c r="A44" s="1">
        <v>43</v>
      </c>
      <c r="B44" s="37">
        <v>448.6</v>
      </c>
      <c r="C44" s="37">
        <v>446.6</v>
      </c>
      <c r="D44" s="37">
        <v>445.3</v>
      </c>
      <c r="E44" s="37">
        <v>443.5</v>
      </c>
      <c r="F44" s="76">
        <v>441.5</v>
      </c>
      <c r="G44" s="6">
        <v>478.5</v>
      </c>
      <c r="H44" s="37">
        <v>477.1</v>
      </c>
      <c r="I44" s="6">
        <v>474.7</v>
      </c>
      <c r="J44" s="37">
        <v>472.8</v>
      </c>
      <c r="K44" s="27">
        <v>471</v>
      </c>
      <c r="L44" s="37">
        <v>453.2</v>
      </c>
      <c r="M44" s="6">
        <v>451.6</v>
      </c>
      <c r="N44" s="6">
        <v>460.8</v>
      </c>
      <c r="O44" s="6">
        <v>459.6</v>
      </c>
      <c r="P44" s="27">
        <v>461.4</v>
      </c>
      <c r="Q44" s="6">
        <v>461.7</v>
      </c>
      <c r="R44" s="6">
        <v>460.8</v>
      </c>
      <c r="S44" s="6">
        <v>459.5</v>
      </c>
      <c r="T44" s="6">
        <v>458.7</v>
      </c>
      <c r="U44" s="27"/>
      <c r="V44" s="6"/>
      <c r="W44" s="6"/>
      <c r="X44" s="6"/>
      <c r="Z44" s="6"/>
      <c r="AG44" s="6"/>
      <c r="AI44" s="6"/>
    </row>
    <row r="45" spans="1:37">
      <c r="A45" s="1">
        <v>44</v>
      </c>
      <c r="B45" s="37">
        <v>439.9</v>
      </c>
      <c r="C45" s="37">
        <v>437.8</v>
      </c>
      <c r="D45" s="37">
        <v>436.2</v>
      </c>
      <c r="E45" s="37">
        <v>467.1</v>
      </c>
      <c r="F45" s="76">
        <v>464.8</v>
      </c>
      <c r="G45" s="6">
        <v>462.2</v>
      </c>
      <c r="H45" s="37">
        <v>459.5</v>
      </c>
      <c r="I45" s="6">
        <v>457.7</v>
      </c>
      <c r="J45" s="37">
        <v>455.5</v>
      </c>
      <c r="K45" s="76">
        <v>453.9</v>
      </c>
      <c r="L45" s="37">
        <v>463.4</v>
      </c>
      <c r="M45" s="6">
        <v>471.5</v>
      </c>
      <c r="N45" s="6">
        <v>460.5</v>
      </c>
      <c r="O45" s="37">
        <v>459.3</v>
      </c>
      <c r="P45" s="27">
        <v>462</v>
      </c>
      <c r="Q45" s="6">
        <v>471</v>
      </c>
      <c r="R45" s="6">
        <v>470.2</v>
      </c>
      <c r="S45" s="6">
        <v>462.5</v>
      </c>
      <c r="T45" s="6">
        <v>462.2</v>
      </c>
      <c r="U45" s="27"/>
      <c r="V45" s="6"/>
      <c r="W45" s="6"/>
      <c r="X45" s="6"/>
      <c r="Z45" s="6"/>
      <c r="AG45" s="6"/>
      <c r="AH45" s="6"/>
      <c r="AI45" s="6"/>
      <c r="AJ45" s="6"/>
    </row>
    <row r="46" spans="1:37">
      <c r="A46" s="1">
        <v>45</v>
      </c>
      <c r="B46" s="37">
        <v>443.8</v>
      </c>
      <c r="C46" s="37">
        <v>441.7</v>
      </c>
      <c r="D46" s="37">
        <v>439.3</v>
      </c>
      <c r="E46" s="37">
        <v>436.9</v>
      </c>
      <c r="F46" s="76">
        <v>433</v>
      </c>
      <c r="G46" s="6">
        <v>468.4</v>
      </c>
      <c r="H46" s="37">
        <v>466.5</v>
      </c>
      <c r="I46" s="6">
        <v>462.6</v>
      </c>
      <c r="J46" s="37">
        <v>460.4</v>
      </c>
      <c r="K46" s="27">
        <v>457.5</v>
      </c>
      <c r="L46" s="37">
        <v>446.9</v>
      </c>
      <c r="M46" s="6">
        <v>453.9</v>
      </c>
      <c r="N46" s="6">
        <v>455.7</v>
      </c>
      <c r="O46" s="6">
        <v>452.6</v>
      </c>
      <c r="P46" s="27">
        <v>456.8</v>
      </c>
      <c r="Q46" s="6">
        <v>456.8</v>
      </c>
      <c r="R46" s="6">
        <v>455</v>
      </c>
      <c r="S46" s="6">
        <v>455</v>
      </c>
      <c r="T46" s="6">
        <v>453.5</v>
      </c>
      <c r="U46" s="27"/>
      <c r="V46" s="6"/>
      <c r="W46" s="6"/>
      <c r="X46" s="6"/>
      <c r="Z46" s="6"/>
      <c r="AG46" s="6"/>
      <c r="AI46" s="6"/>
    </row>
    <row r="47" spans="1:37">
      <c r="A47" s="1">
        <v>46</v>
      </c>
      <c r="B47" s="37">
        <v>460.2</v>
      </c>
      <c r="C47" s="37">
        <v>454.5</v>
      </c>
      <c r="D47" s="37">
        <v>449.6</v>
      </c>
      <c r="E47" s="37">
        <v>477.4</v>
      </c>
      <c r="F47" s="76">
        <v>471</v>
      </c>
      <c r="G47" s="6">
        <v>465.4</v>
      </c>
      <c r="H47" s="37">
        <v>458.3</v>
      </c>
      <c r="I47" s="6">
        <v>452.1</v>
      </c>
      <c r="J47" s="37">
        <v>444.9</v>
      </c>
      <c r="K47" s="76">
        <v>437.6</v>
      </c>
      <c r="L47" s="37">
        <v>445.6</v>
      </c>
      <c r="M47" s="6">
        <v>469.8</v>
      </c>
      <c r="N47" s="6">
        <v>456.3</v>
      </c>
      <c r="O47" s="37">
        <v>450.7</v>
      </c>
      <c r="P47" s="27">
        <v>472.6</v>
      </c>
      <c r="Q47" s="6">
        <v>469.6</v>
      </c>
      <c r="R47" s="6">
        <v>466</v>
      </c>
      <c r="S47" s="6">
        <v>464.5</v>
      </c>
      <c r="T47" s="6">
        <v>461.5</v>
      </c>
      <c r="U47" s="27"/>
      <c r="V47" s="6"/>
      <c r="W47" s="6"/>
      <c r="X47" s="6"/>
      <c r="Z47" s="6"/>
      <c r="AG47" s="6"/>
      <c r="AI47" s="6"/>
      <c r="AK47" s="6"/>
    </row>
    <row r="48" spans="1:37">
      <c r="A48" s="1">
        <v>47</v>
      </c>
      <c r="B48" s="37">
        <v>462.1</v>
      </c>
      <c r="C48" s="37">
        <v>458.9</v>
      </c>
      <c r="D48" s="37">
        <v>455.9</v>
      </c>
      <c r="E48" s="37">
        <v>452.6</v>
      </c>
      <c r="F48" s="76">
        <v>448.9</v>
      </c>
      <c r="G48" s="6">
        <v>476.8</v>
      </c>
      <c r="H48" s="37">
        <v>474.6</v>
      </c>
      <c r="I48" s="6">
        <v>471.2</v>
      </c>
      <c r="J48" s="37">
        <v>468.4</v>
      </c>
      <c r="K48" s="27">
        <v>466.8</v>
      </c>
      <c r="L48" s="37">
        <v>456.2</v>
      </c>
      <c r="M48" s="6">
        <v>464.2</v>
      </c>
      <c r="N48" s="6">
        <v>462.6</v>
      </c>
      <c r="O48" s="6">
        <v>461.6</v>
      </c>
      <c r="P48" s="27">
        <v>460.9</v>
      </c>
      <c r="Q48" s="6">
        <v>461.9</v>
      </c>
      <c r="R48" s="6">
        <v>461.5</v>
      </c>
      <c r="S48" s="6">
        <v>461.5</v>
      </c>
      <c r="T48" s="6">
        <v>461.2</v>
      </c>
      <c r="U48" s="27"/>
      <c r="V48" s="6"/>
      <c r="W48" s="6"/>
      <c r="X48" s="6"/>
      <c r="Z48" s="6"/>
      <c r="AG48" s="6"/>
      <c r="AI48" s="6"/>
    </row>
    <row r="49" spans="1:37">
      <c r="A49" s="1">
        <v>48</v>
      </c>
      <c r="B49" s="37">
        <v>453.1</v>
      </c>
      <c r="C49" s="37">
        <v>449</v>
      </c>
      <c r="D49" s="37">
        <v>442.6</v>
      </c>
      <c r="E49" s="37">
        <v>467.5</v>
      </c>
      <c r="F49" s="76">
        <v>463.6</v>
      </c>
      <c r="G49" s="6">
        <v>457.6</v>
      </c>
      <c r="H49" s="37">
        <v>448.7</v>
      </c>
      <c r="I49" s="6">
        <v>439.7</v>
      </c>
      <c r="J49" s="37">
        <v>435.1</v>
      </c>
      <c r="K49" s="76">
        <v>431.3</v>
      </c>
      <c r="L49" s="37">
        <v>451.5</v>
      </c>
      <c r="M49" s="6">
        <v>455.8</v>
      </c>
      <c r="N49" s="6">
        <v>457.2</v>
      </c>
      <c r="O49" s="37">
        <v>455.1</v>
      </c>
      <c r="P49" s="27">
        <v>456</v>
      </c>
      <c r="Q49" s="6">
        <v>463.2</v>
      </c>
      <c r="R49" s="6">
        <v>462.7</v>
      </c>
      <c r="S49" s="6">
        <v>462.1</v>
      </c>
      <c r="T49" s="6">
        <v>461.8</v>
      </c>
      <c r="U49" s="27"/>
      <c r="V49" s="6"/>
      <c r="W49" s="6"/>
      <c r="X49" s="6"/>
      <c r="Z49" s="6"/>
      <c r="AG49" s="6"/>
      <c r="AI49" s="6"/>
    </row>
    <row r="50" spans="1:37">
      <c r="A50" s="1">
        <v>49</v>
      </c>
      <c r="B50" s="37">
        <v>456.3</v>
      </c>
      <c r="C50" s="37">
        <v>451.4</v>
      </c>
      <c r="D50" s="37">
        <v>448.1</v>
      </c>
      <c r="E50" s="37">
        <v>465.3</v>
      </c>
      <c r="F50" s="76">
        <v>461.7</v>
      </c>
      <c r="G50" s="6">
        <v>458.6</v>
      </c>
      <c r="H50" s="37">
        <v>454</v>
      </c>
      <c r="I50" s="6">
        <v>449.6</v>
      </c>
      <c r="J50" s="37">
        <v>447.2</v>
      </c>
      <c r="K50" s="27">
        <v>444.3</v>
      </c>
      <c r="L50" s="37">
        <v>461.3</v>
      </c>
      <c r="M50" s="6">
        <v>464.8</v>
      </c>
      <c r="N50" s="6">
        <v>468.8</v>
      </c>
      <c r="O50" s="6">
        <v>467.8</v>
      </c>
      <c r="P50" s="27">
        <v>457.9</v>
      </c>
      <c r="Q50" s="6">
        <v>467.8</v>
      </c>
      <c r="R50" s="6">
        <v>467.2</v>
      </c>
      <c r="S50" s="6">
        <v>473.9</v>
      </c>
      <c r="T50" s="6">
        <v>473.6</v>
      </c>
      <c r="U50" s="27"/>
      <c r="V50" s="6"/>
      <c r="W50" s="6"/>
      <c r="X50" s="6"/>
      <c r="Z50" s="6"/>
      <c r="AG50" s="6"/>
      <c r="AI50" s="6"/>
    </row>
    <row r="51" spans="1:37">
      <c r="A51" s="1">
        <v>50</v>
      </c>
      <c r="B51" s="37">
        <v>459.6</v>
      </c>
      <c r="C51" s="37">
        <v>456.5</v>
      </c>
      <c r="D51" s="37">
        <v>453.4</v>
      </c>
      <c r="E51" s="37">
        <v>451.6</v>
      </c>
      <c r="F51" s="76">
        <v>448.8</v>
      </c>
      <c r="G51" s="6">
        <v>446.2</v>
      </c>
      <c r="H51" s="37">
        <v>443.8</v>
      </c>
      <c r="I51" s="6">
        <v>441.4</v>
      </c>
      <c r="J51" s="37">
        <v>438.9</v>
      </c>
      <c r="K51" s="76">
        <v>437.2</v>
      </c>
      <c r="L51" s="37">
        <v>452.1</v>
      </c>
      <c r="M51" s="6">
        <v>451.7</v>
      </c>
      <c r="N51" s="6">
        <v>457.2</v>
      </c>
      <c r="O51" s="37">
        <v>455.7</v>
      </c>
      <c r="P51" s="27">
        <v>463.7</v>
      </c>
      <c r="Q51" s="6">
        <v>465.2</v>
      </c>
      <c r="R51" s="6">
        <v>464.1</v>
      </c>
      <c r="S51" s="6">
        <v>463.1</v>
      </c>
      <c r="T51" s="6">
        <v>462</v>
      </c>
      <c r="U51" s="27"/>
      <c r="V51" s="6"/>
      <c r="W51" s="6"/>
      <c r="X51" s="6"/>
      <c r="Z51" s="6"/>
      <c r="AG51" s="6"/>
      <c r="AI51" s="6"/>
      <c r="AJ51" s="6"/>
    </row>
    <row r="52" spans="1:37">
      <c r="A52" s="1">
        <v>51</v>
      </c>
      <c r="B52" s="37">
        <v>446.9</v>
      </c>
      <c r="C52" s="37">
        <v>444.6</v>
      </c>
      <c r="D52" s="37">
        <v>442.1</v>
      </c>
      <c r="E52" s="37">
        <v>440.1</v>
      </c>
      <c r="F52" s="76">
        <v>437.9</v>
      </c>
      <c r="G52" s="6">
        <v>461.3</v>
      </c>
      <c r="H52" s="37">
        <v>457.2</v>
      </c>
      <c r="I52" s="6">
        <v>455</v>
      </c>
      <c r="J52" s="37">
        <v>453.8</v>
      </c>
      <c r="K52" s="27" t="s">
        <v>74</v>
      </c>
      <c r="L52" s="37">
        <v>476.1</v>
      </c>
      <c r="M52" s="6">
        <v>466.9</v>
      </c>
      <c r="N52" s="6">
        <v>466.2</v>
      </c>
      <c r="O52" s="6">
        <v>464.7</v>
      </c>
      <c r="P52" s="27">
        <v>469.9</v>
      </c>
      <c r="Q52" s="6">
        <v>469.9</v>
      </c>
      <c r="R52" s="6">
        <v>468.9</v>
      </c>
      <c r="S52" s="6">
        <v>464.5</v>
      </c>
      <c r="T52" s="6">
        <v>463.3</v>
      </c>
      <c r="U52" s="27"/>
      <c r="V52" s="6"/>
      <c r="W52" s="6"/>
      <c r="X52" s="6"/>
      <c r="Z52" s="6"/>
      <c r="AG52" s="6"/>
      <c r="AI52" s="6"/>
    </row>
    <row r="53" spans="1:37">
      <c r="A53" s="1">
        <v>52</v>
      </c>
      <c r="B53" s="37">
        <v>460.7</v>
      </c>
      <c r="C53" s="37">
        <v>459.3</v>
      </c>
      <c r="D53" s="37">
        <v>457.7</v>
      </c>
      <c r="E53" s="37">
        <v>456.4</v>
      </c>
      <c r="F53" s="76">
        <v>454.9</v>
      </c>
      <c r="G53" s="6">
        <v>453.6</v>
      </c>
      <c r="H53" s="37">
        <v>452.5</v>
      </c>
      <c r="I53" s="6">
        <v>450.9</v>
      </c>
      <c r="J53" s="37">
        <v>449.4</v>
      </c>
      <c r="K53" s="76">
        <v>447.8</v>
      </c>
      <c r="L53" s="37">
        <v>453.6</v>
      </c>
      <c r="M53" s="6">
        <v>460.8</v>
      </c>
      <c r="N53" s="6">
        <v>461.5</v>
      </c>
      <c r="O53" s="37">
        <v>460</v>
      </c>
      <c r="P53" s="27">
        <v>466.3</v>
      </c>
      <c r="Q53" s="6">
        <v>457.2</v>
      </c>
      <c r="R53" s="6">
        <v>456.8</v>
      </c>
      <c r="S53" s="6">
        <v>460.2</v>
      </c>
      <c r="T53" s="6">
        <v>459.4</v>
      </c>
      <c r="U53" s="27"/>
      <c r="V53" s="6"/>
      <c r="W53" s="6"/>
      <c r="X53" s="6"/>
      <c r="Z53" s="6"/>
      <c r="AG53" s="6"/>
      <c r="AI53" s="6"/>
    </row>
    <row r="54" spans="1:37">
      <c r="A54" s="1">
        <v>53</v>
      </c>
      <c r="B54" s="37">
        <v>460.4</v>
      </c>
      <c r="C54" s="37">
        <v>453.8</v>
      </c>
      <c r="D54" s="37">
        <v>449.9</v>
      </c>
      <c r="E54" s="37">
        <v>444.9</v>
      </c>
      <c r="F54" s="76">
        <v>440.2</v>
      </c>
      <c r="G54" s="6">
        <v>466.9</v>
      </c>
      <c r="H54" s="37">
        <v>461.5</v>
      </c>
      <c r="I54" s="6">
        <v>455.2</v>
      </c>
      <c r="J54" s="37">
        <v>450</v>
      </c>
      <c r="K54" s="27">
        <v>446.2</v>
      </c>
      <c r="L54" s="37">
        <v>439.2</v>
      </c>
      <c r="M54" s="6">
        <v>453.8</v>
      </c>
      <c r="N54" s="6">
        <v>454.4</v>
      </c>
      <c r="O54" s="6">
        <v>445.3</v>
      </c>
      <c r="P54" s="27">
        <v>460.9</v>
      </c>
      <c r="Q54" s="6">
        <v>454.4</v>
      </c>
      <c r="R54" s="6">
        <v>450.8</v>
      </c>
      <c r="S54" s="6">
        <v>447.1</v>
      </c>
      <c r="T54" s="6">
        <v>441.7</v>
      </c>
      <c r="U54" s="27"/>
      <c r="V54" s="6"/>
      <c r="W54" s="6"/>
      <c r="X54" s="6"/>
      <c r="Z54" s="6"/>
      <c r="AG54" s="6"/>
      <c r="AI54" s="6"/>
    </row>
    <row r="55" spans="1:37">
      <c r="A55" s="1">
        <v>54</v>
      </c>
      <c r="B55" s="37">
        <v>455.5</v>
      </c>
      <c r="C55" s="37">
        <v>453.7</v>
      </c>
      <c r="D55" s="37">
        <v>451.5</v>
      </c>
      <c r="E55" s="37">
        <v>448.3</v>
      </c>
      <c r="F55" s="76">
        <v>444.6</v>
      </c>
      <c r="G55" s="6">
        <v>476.5</v>
      </c>
      <c r="H55" s="37">
        <v>473</v>
      </c>
      <c r="I55" s="6">
        <v>469.6</v>
      </c>
      <c r="J55" s="37">
        <v>465.8</v>
      </c>
      <c r="K55" s="76">
        <v>462.5</v>
      </c>
      <c r="L55" s="37">
        <v>441.5</v>
      </c>
      <c r="M55" s="6">
        <v>459.8</v>
      </c>
      <c r="N55" s="6">
        <v>449.4</v>
      </c>
      <c r="O55" s="37">
        <v>445.7</v>
      </c>
      <c r="P55" s="27">
        <v>465.2</v>
      </c>
      <c r="Q55" s="6">
        <v>467</v>
      </c>
      <c r="R55" s="6">
        <v>464.8</v>
      </c>
      <c r="S55" s="6">
        <v>457.2</v>
      </c>
      <c r="T55" s="6">
        <v>455.8</v>
      </c>
      <c r="U55" s="27"/>
      <c r="V55" s="6"/>
      <c r="W55" s="6"/>
      <c r="X55" s="6"/>
      <c r="Z55" s="6"/>
      <c r="AG55" s="6"/>
      <c r="AI55" s="6"/>
    </row>
    <row r="56" spans="1:37">
      <c r="A56" s="1">
        <v>55</v>
      </c>
      <c r="B56" s="37">
        <v>431.7</v>
      </c>
      <c r="C56" s="37">
        <v>430.3</v>
      </c>
      <c r="D56" s="37">
        <v>429.1</v>
      </c>
      <c r="E56" s="37">
        <v>459.6</v>
      </c>
      <c r="F56" s="76">
        <v>458.1</v>
      </c>
      <c r="G56" s="6">
        <v>456.3</v>
      </c>
      <c r="H56" s="37">
        <v>454.2</v>
      </c>
      <c r="I56" s="6">
        <v>452.5</v>
      </c>
      <c r="J56" s="37">
        <v>451.1</v>
      </c>
      <c r="K56" s="27">
        <v>450</v>
      </c>
      <c r="L56" s="37">
        <v>454.4</v>
      </c>
      <c r="M56" s="6">
        <v>460.1</v>
      </c>
      <c r="N56" s="6">
        <v>453.8</v>
      </c>
      <c r="O56" s="6">
        <v>452.5</v>
      </c>
      <c r="P56" s="27">
        <v>458.5</v>
      </c>
      <c r="Q56" s="6">
        <v>458.2</v>
      </c>
      <c r="R56" s="6">
        <v>457.6</v>
      </c>
      <c r="S56" s="6">
        <v>464.1</v>
      </c>
      <c r="T56" s="6">
        <v>463.5</v>
      </c>
      <c r="U56" s="27"/>
      <c r="V56" s="6"/>
      <c r="W56" s="6"/>
      <c r="X56" s="6"/>
      <c r="Z56" s="6"/>
      <c r="AG56" s="6"/>
      <c r="AH56" s="6"/>
      <c r="AI56" s="6"/>
    </row>
    <row r="57" spans="1:37">
      <c r="A57" s="1">
        <v>56</v>
      </c>
      <c r="B57" s="37">
        <v>463.3</v>
      </c>
      <c r="C57" s="37">
        <v>461.5</v>
      </c>
      <c r="D57" s="37">
        <v>460</v>
      </c>
      <c r="E57" s="37">
        <v>458.2</v>
      </c>
      <c r="F57" s="76">
        <v>455.9</v>
      </c>
      <c r="G57" s="6">
        <v>479.4</v>
      </c>
      <c r="H57" s="37">
        <v>476.8</v>
      </c>
      <c r="I57" s="6">
        <v>475.1</v>
      </c>
      <c r="J57" s="37">
        <v>472.7</v>
      </c>
      <c r="K57" s="76">
        <v>472</v>
      </c>
      <c r="L57" s="37">
        <v>458</v>
      </c>
      <c r="M57" s="6">
        <v>467.9</v>
      </c>
      <c r="N57" s="6">
        <v>470.6</v>
      </c>
      <c r="O57" s="37">
        <v>469.1</v>
      </c>
      <c r="P57" s="27">
        <v>459.6</v>
      </c>
      <c r="Q57" s="6">
        <v>460.6</v>
      </c>
      <c r="R57" s="6">
        <v>459.6</v>
      </c>
      <c r="S57" s="6">
        <v>466.7</v>
      </c>
      <c r="T57" s="6">
        <v>465.9</v>
      </c>
      <c r="U57" s="27"/>
      <c r="V57" s="6"/>
      <c r="W57" s="6"/>
      <c r="X57" s="6"/>
      <c r="Z57" s="6"/>
      <c r="AG57" s="6"/>
      <c r="AI57" s="6"/>
    </row>
    <row r="58" spans="1:37">
      <c r="A58" s="1">
        <v>57</v>
      </c>
      <c r="B58" s="37">
        <v>439.9</v>
      </c>
      <c r="C58" s="37">
        <v>436.7</v>
      </c>
      <c r="D58" s="37">
        <v>433.7</v>
      </c>
      <c r="E58" s="37">
        <v>458.4</v>
      </c>
      <c r="F58" s="76">
        <v>456</v>
      </c>
      <c r="G58" s="6">
        <v>451.9</v>
      </c>
      <c r="H58" s="37">
        <v>448.7</v>
      </c>
      <c r="I58" s="6">
        <v>445.4</v>
      </c>
      <c r="J58" s="37">
        <v>443.3</v>
      </c>
      <c r="K58" s="27">
        <v>442</v>
      </c>
      <c r="L58" s="37">
        <v>451.6</v>
      </c>
      <c r="M58" s="6">
        <v>452.8</v>
      </c>
      <c r="N58" s="6">
        <v>452.4</v>
      </c>
      <c r="O58" s="6">
        <v>451.6</v>
      </c>
      <c r="P58" s="27">
        <v>461</v>
      </c>
      <c r="Q58" s="6">
        <v>455.4</v>
      </c>
      <c r="R58" s="6">
        <v>454.9</v>
      </c>
      <c r="S58" s="6">
        <v>455.1</v>
      </c>
      <c r="T58" s="6">
        <v>454.8</v>
      </c>
      <c r="U58" s="27"/>
      <c r="V58" s="6"/>
      <c r="W58" s="6"/>
      <c r="X58" s="6"/>
      <c r="Z58" s="6"/>
      <c r="AG58" s="6"/>
      <c r="AH58" s="6"/>
      <c r="AI58" s="6"/>
    </row>
    <row r="59" spans="1:37">
      <c r="A59" s="1">
        <v>58</v>
      </c>
      <c r="B59" s="37">
        <v>460.9</v>
      </c>
      <c r="C59" s="37">
        <v>460.7</v>
      </c>
      <c r="D59" s="37">
        <v>459.8</v>
      </c>
      <c r="E59" s="37">
        <v>459.4</v>
      </c>
      <c r="F59" s="76">
        <v>459.2</v>
      </c>
      <c r="G59" s="6">
        <v>458.4</v>
      </c>
      <c r="H59" s="37">
        <v>457.6</v>
      </c>
      <c r="I59" s="6">
        <v>457</v>
      </c>
      <c r="J59" s="37">
        <v>456.2</v>
      </c>
      <c r="K59" s="76">
        <v>456</v>
      </c>
      <c r="L59" s="37">
        <v>448.8</v>
      </c>
      <c r="M59" s="6">
        <v>455.8</v>
      </c>
      <c r="N59" s="6">
        <v>460</v>
      </c>
      <c r="O59" s="37">
        <v>459.6</v>
      </c>
      <c r="P59" s="27">
        <v>452.9</v>
      </c>
      <c r="Q59" s="6">
        <v>465.4</v>
      </c>
      <c r="R59" s="6">
        <v>464.7</v>
      </c>
      <c r="S59" s="6">
        <v>460.7</v>
      </c>
      <c r="T59" s="6">
        <v>460.3</v>
      </c>
      <c r="U59" s="27"/>
      <c r="V59" s="6"/>
      <c r="W59" s="6"/>
      <c r="X59" s="6"/>
      <c r="Z59" s="6"/>
      <c r="AG59" s="6"/>
      <c r="AI59" s="6"/>
      <c r="AK59" s="6"/>
    </row>
    <row r="60" spans="1:37">
      <c r="A60" s="1">
        <v>59</v>
      </c>
      <c r="B60" s="37">
        <v>445.6</v>
      </c>
      <c r="C60" s="37">
        <v>443.2</v>
      </c>
      <c r="D60" s="37">
        <v>440.6</v>
      </c>
      <c r="E60" s="37">
        <v>463</v>
      </c>
      <c r="F60" s="76">
        <v>460.4</v>
      </c>
      <c r="G60" s="6">
        <v>457.8</v>
      </c>
      <c r="H60" s="37">
        <v>454.3</v>
      </c>
      <c r="I60" s="6">
        <v>450.5</v>
      </c>
      <c r="J60" s="37">
        <v>446.4</v>
      </c>
      <c r="K60" s="27">
        <v>444</v>
      </c>
      <c r="L60" s="37">
        <v>453.7</v>
      </c>
      <c r="M60" s="6">
        <v>459.9</v>
      </c>
      <c r="N60" s="6">
        <v>469.6</v>
      </c>
      <c r="O60" s="6">
        <v>465.9</v>
      </c>
      <c r="P60" s="27">
        <v>470.3</v>
      </c>
      <c r="Q60" s="6">
        <v>472.8</v>
      </c>
      <c r="R60" s="6">
        <v>470.9</v>
      </c>
      <c r="S60" s="6">
        <v>448.3</v>
      </c>
      <c r="T60" s="6">
        <v>446.8</v>
      </c>
      <c r="U60" s="27"/>
      <c r="V60" s="6"/>
      <c r="W60" s="6"/>
      <c r="X60" s="6"/>
      <c r="Z60" s="6"/>
      <c r="AG60" s="6"/>
      <c r="AI60" s="6"/>
    </row>
    <row r="61" spans="1:37">
      <c r="A61" s="1">
        <v>60</v>
      </c>
      <c r="B61" s="37">
        <v>465.2</v>
      </c>
      <c r="C61" s="37">
        <v>458.6</v>
      </c>
      <c r="D61" s="37">
        <v>452.2</v>
      </c>
      <c r="E61" s="37">
        <v>447.1</v>
      </c>
      <c r="F61" s="76">
        <v>441.6</v>
      </c>
      <c r="G61" s="6">
        <v>474.2</v>
      </c>
      <c r="H61" s="37">
        <v>469.8</v>
      </c>
      <c r="I61" s="6">
        <v>463.1</v>
      </c>
      <c r="J61" s="37">
        <v>457.1</v>
      </c>
      <c r="K61" s="76">
        <v>452.1</v>
      </c>
      <c r="L61" s="37">
        <v>463.5</v>
      </c>
      <c r="M61" s="6">
        <v>454</v>
      </c>
      <c r="N61" s="6">
        <v>463.5</v>
      </c>
      <c r="O61" s="37">
        <v>458</v>
      </c>
      <c r="P61" s="27">
        <v>454.7</v>
      </c>
      <c r="Q61" s="6">
        <v>466.2</v>
      </c>
      <c r="R61" s="6">
        <v>462.1</v>
      </c>
      <c r="S61" s="6">
        <v>464.3</v>
      </c>
      <c r="T61" s="6">
        <v>459.2</v>
      </c>
      <c r="U61" s="27"/>
      <c r="V61" s="6"/>
      <c r="W61" s="6"/>
      <c r="X61" s="6"/>
      <c r="Z61" s="6"/>
      <c r="AG61" s="6"/>
      <c r="AI61" s="6"/>
      <c r="AJ61" s="6"/>
    </row>
    <row r="62" spans="1:37">
      <c r="A62" t="s">
        <v>71</v>
      </c>
      <c r="B62" s="37">
        <v>447.4</v>
      </c>
      <c r="C62" s="37">
        <v>447.1</v>
      </c>
      <c r="D62" s="37">
        <v>446.8</v>
      </c>
      <c r="E62" s="37">
        <v>446.4</v>
      </c>
      <c r="F62" s="76">
        <v>446.1</v>
      </c>
      <c r="G62" s="6">
        <v>445.6</v>
      </c>
      <c r="H62" s="37">
        <v>445.1</v>
      </c>
      <c r="I62" s="6">
        <v>444.6</v>
      </c>
      <c r="J62" s="37">
        <v>443.9</v>
      </c>
      <c r="K62" s="27">
        <v>443.6</v>
      </c>
      <c r="L62" s="37">
        <v>451.9</v>
      </c>
      <c r="M62" s="6">
        <v>451.4</v>
      </c>
      <c r="N62" s="6">
        <v>450.9</v>
      </c>
      <c r="O62" s="6">
        <v>450.6</v>
      </c>
      <c r="P62" s="27">
        <v>449.5</v>
      </c>
      <c r="Q62" s="6">
        <v>456.5</v>
      </c>
      <c r="R62" s="6">
        <v>455.9</v>
      </c>
      <c r="S62" s="6">
        <v>453.1</v>
      </c>
      <c r="T62" s="6">
        <v>452.9</v>
      </c>
      <c r="U62" s="27"/>
      <c r="V62" s="6"/>
      <c r="W62" s="6"/>
      <c r="X62" s="6"/>
      <c r="Z62" s="6"/>
      <c r="AG62" s="6"/>
      <c r="AI62" s="6"/>
    </row>
    <row r="63" spans="1:37" s="9" customFormat="1">
      <c r="A63" s="9" t="s">
        <v>72</v>
      </c>
      <c r="B63" s="79">
        <v>465.9</v>
      </c>
      <c r="C63" s="79">
        <v>465.5</v>
      </c>
      <c r="D63" s="79">
        <v>465.3</v>
      </c>
      <c r="E63" s="79">
        <v>465.1</v>
      </c>
      <c r="F63" s="83">
        <v>464.9</v>
      </c>
      <c r="G63" s="14">
        <v>464.3</v>
      </c>
      <c r="H63" s="14">
        <v>464.1</v>
      </c>
      <c r="I63" s="14">
        <v>463.6</v>
      </c>
      <c r="J63" s="14">
        <v>463.3</v>
      </c>
      <c r="K63" s="28">
        <v>463.1</v>
      </c>
      <c r="L63" s="14">
        <v>465.2</v>
      </c>
      <c r="M63" s="14">
        <v>464.5</v>
      </c>
      <c r="N63" s="14">
        <v>464</v>
      </c>
      <c r="O63" s="14">
        <v>463.7</v>
      </c>
      <c r="P63" s="28">
        <v>462.7</v>
      </c>
      <c r="Q63" s="14">
        <v>460.4</v>
      </c>
      <c r="R63" s="14">
        <v>459.9</v>
      </c>
      <c r="S63" s="14">
        <v>456.3</v>
      </c>
      <c r="T63" s="6">
        <v>456.1</v>
      </c>
      <c r="U63" s="28"/>
      <c r="V63" s="14"/>
      <c r="W63" s="14"/>
      <c r="X63" s="14"/>
      <c r="Z63" s="14"/>
      <c r="AG63" s="14"/>
      <c r="AI63" s="14"/>
    </row>
    <row r="64" spans="1:37">
      <c r="A64" t="s">
        <v>73</v>
      </c>
      <c r="B64" s="37">
        <v>500</v>
      </c>
      <c r="C64" s="37">
        <v>500</v>
      </c>
      <c r="D64" s="37">
        <v>500</v>
      </c>
      <c r="E64" s="37">
        <v>500</v>
      </c>
      <c r="F64" s="76">
        <v>500</v>
      </c>
      <c r="G64" s="6">
        <v>500</v>
      </c>
      <c r="H64" s="37">
        <v>500</v>
      </c>
      <c r="I64" s="6">
        <v>500</v>
      </c>
      <c r="J64" s="6">
        <v>500</v>
      </c>
      <c r="K64" s="27">
        <v>500</v>
      </c>
      <c r="L64" s="6">
        <v>500</v>
      </c>
      <c r="M64" s="6">
        <v>500</v>
      </c>
      <c r="N64" s="6">
        <v>500</v>
      </c>
      <c r="O64" s="6">
        <v>500</v>
      </c>
      <c r="P64" s="27">
        <v>500</v>
      </c>
      <c r="Q64" s="6">
        <v>500</v>
      </c>
      <c r="R64" s="6">
        <v>500</v>
      </c>
      <c r="S64" s="6">
        <v>500</v>
      </c>
      <c r="T64" s="6">
        <v>500</v>
      </c>
      <c r="U64" s="27"/>
      <c r="V64" s="6"/>
      <c r="W64" s="6"/>
      <c r="X64" s="6"/>
      <c r="Z64" s="6"/>
      <c r="AG64" s="6"/>
      <c r="AH64" s="6"/>
      <c r="AI64" s="6"/>
      <c r="AJ64" s="6"/>
      <c r="AK64" s="6"/>
    </row>
    <row r="65" spans="1:23">
      <c r="A65" t="s">
        <v>77</v>
      </c>
      <c r="B65" s="37">
        <f>500-B64</f>
        <v>0</v>
      </c>
      <c r="C65" s="37">
        <f t="shared" ref="C65:T65" si="0">500-C64</f>
        <v>0</v>
      </c>
      <c r="D65" s="37">
        <f t="shared" si="0"/>
        <v>0</v>
      </c>
      <c r="E65" s="37">
        <f t="shared" si="0"/>
        <v>0</v>
      </c>
      <c r="F65" s="37">
        <f t="shared" si="0"/>
        <v>0</v>
      </c>
      <c r="G65" s="37">
        <f t="shared" si="0"/>
        <v>0</v>
      </c>
      <c r="H65" s="37">
        <f t="shared" si="0"/>
        <v>0</v>
      </c>
      <c r="I65" s="37">
        <f t="shared" si="0"/>
        <v>0</v>
      </c>
      <c r="J65" s="37">
        <f t="shared" si="0"/>
        <v>0</v>
      </c>
      <c r="K65" s="37">
        <f t="shared" si="0"/>
        <v>0</v>
      </c>
      <c r="L65" s="37">
        <f t="shared" si="0"/>
        <v>0</v>
      </c>
      <c r="M65" s="37">
        <f t="shared" si="0"/>
        <v>0</v>
      </c>
      <c r="N65" s="37">
        <f t="shared" si="0"/>
        <v>0</v>
      </c>
      <c r="O65" s="37">
        <f t="shared" si="0"/>
        <v>0</v>
      </c>
      <c r="P65" s="37">
        <f t="shared" si="0"/>
        <v>0</v>
      </c>
      <c r="Q65" s="37">
        <f t="shared" si="0"/>
        <v>0</v>
      </c>
      <c r="R65" s="37">
        <f t="shared" si="0"/>
        <v>0</v>
      </c>
      <c r="S65" s="37">
        <f t="shared" si="0"/>
        <v>0</v>
      </c>
      <c r="T65" s="37">
        <f t="shared" si="0"/>
        <v>0</v>
      </c>
      <c r="U65" s="27"/>
      <c r="V65" s="6"/>
      <c r="W65" s="6"/>
    </row>
    <row r="66" spans="1:23">
      <c r="B66" s="37"/>
      <c r="C66" s="37"/>
      <c r="D66" s="37"/>
      <c r="E66" s="37"/>
      <c r="F66" s="76"/>
      <c r="G66" s="6"/>
      <c r="H66" s="6"/>
      <c r="I66" s="6"/>
      <c r="J66" s="6"/>
      <c r="K66" s="27"/>
      <c r="L66" s="6"/>
      <c r="M66" s="6"/>
      <c r="N66" s="6"/>
      <c r="O66" s="6"/>
      <c r="P66" s="27"/>
      <c r="Q66" s="6"/>
      <c r="R66" s="6"/>
      <c r="S66" s="6"/>
      <c r="T66" s="6"/>
      <c r="U66" s="27"/>
      <c r="V66" s="6"/>
      <c r="W66" s="6"/>
    </row>
    <row r="67" spans="1:23">
      <c r="B67" s="37"/>
      <c r="C67" s="37"/>
      <c r="D67" s="37"/>
      <c r="E67" s="37"/>
      <c r="F67" s="76"/>
      <c r="G67" s="6"/>
      <c r="H67" s="6"/>
      <c r="I67" s="6"/>
      <c r="J67" s="6"/>
      <c r="K67" s="27"/>
      <c r="L67" s="6"/>
      <c r="M67" s="6"/>
      <c r="N67" s="6"/>
      <c r="O67" s="6"/>
      <c r="P67" s="27"/>
      <c r="Q67" s="6"/>
      <c r="R67" s="6"/>
      <c r="S67" s="6"/>
      <c r="T67" s="6"/>
      <c r="U67" s="27"/>
      <c r="V67" s="6"/>
      <c r="W67" s="6"/>
    </row>
    <row r="68" spans="1:23">
      <c r="B68" s="37"/>
      <c r="C68" s="37"/>
      <c r="D68" s="37"/>
      <c r="E68" s="37"/>
      <c r="F68" s="76"/>
      <c r="G68" s="6"/>
      <c r="H68" s="6"/>
      <c r="I68" s="6"/>
      <c r="J68" s="6"/>
      <c r="K68" s="27"/>
      <c r="L68" s="6"/>
      <c r="M68" s="6"/>
      <c r="N68" s="6"/>
      <c r="O68" s="6"/>
      <c r="P68" s="27"/>
      <c r="Q68" s="6"/>
      <c r="R68" s="6"/>
      <c r="S68" s="6"/>
      <c r="T68" s="6"/>
      <c r="U68" s="27"/>
      <c r="V68" s="6"/>
      <c r="W68" s="6"/>
    </row>
    <row r="69" spans="1:23">
      <c r="B69" s="23"/>
      <c r="C69" s="23"/>
      <c r="D69" s="23"/>
      <c r="E69" s="23"/>
      <c r="F69" s="62"/>
    </row>
    <row r="70" spans="1:23">
      <c r="B70" s="23"/>
      <c r="C70" s="23"/>
      <c r="D70" s="23"/>
      <c r="E70" s="23"/>
      <c r="F70" s="62"/>
    </row>
    <row r="71" spans="1:23">
      <c r="B71" s="23"/>
      <c r="C71" s="23"/>
      <c r="D71" s="23"/>
      <c r="E71" s="23"/>
      <c r="F71" s="62"/>
    </row>
    <row r="72" spans="1:23">
      <c r="B72" s="23"/>
      <c r="C72" s="23"/>
      <c r="D72" s="23"/>
      <c r="E72" s="23"/>
      <c r="F72" s="62"/>
    </row>
    <row r="73" spans="1:23">
      <c r="B73" s="23"/>
      <c r="C73" s="23"/>
      <c r="D73" s="23"/>
      <c r="E73" s="23"/>
      <c r="F73" s="62"/>
    </row>
    <row r="74" spans="1:23">
      <c r="B74" s="23"/>
      <c r="C74" s="23"/>
      <c r="D74" s="23"/>
      <c r="E74" s="23"/>
      <c r="F74" s="62"/>
    </row>
    <row r="75" spans="1:23">
      <c r="B75" s="23"/>
      <c r="C75" s="23"/>
      <c r="D75" s="23"/>
      <c r="E75" s="23"/>
      <c r="F75" s="62"/>
    </row>
    <row r="76" spans="1:23">
      <c r="B76" s="23"/>
      <c r="C76" s="23"/>
      <c r="D76" s="23"/>
      <c r="E76" s="23"/>
      <c r="F76" s="62"/>
    </row>
    <row r="77" spans="1:23">
      <c r="B77" s="23"/>
      <c r="C77" s="23"/>
      <c r="D77" s="23"/>
      <c r="E77" s="23"/>
      <c r="F77" s="62"/>
    </row>
    <row r="78" spans="1:23">
      <c r="B78" s="23"/>
      <c r="C78" s="23"/>
      <c r="D78" s="23"/>
      <c r="E78" s="23"/>
      <c r="F78" s="62"/>
    </row>
    <row r="79" spans="1:23">
      <c r="B79" s="23"/>
      <c r="C79" s="23"/>
      <c r="D79" s="23"/>
      <c r="E79" s="23"/>
      <c r="F79" s="62"/>
    </row>
    <row r="80" spans="1:23">
      <c r="B80" s="23"/>
      <c r="C80" s="23"/>
      <c r="D80" s="23"/>
      <c r="E80" s="23"/>
      <c r="F80" s="62"/>
    </row>
    <row r="81" spans="2:6">
      <c r="B81" s="23"/>
      <c r="C81" s="23"/>
      <c r="D81" s="23"/>
      <c r="E81" s="23"/>
      <c r="F81" s="62"/>
    </row>
    <row r="82" spans="2:6">
      <c r="B82" s="23"/>
      <c r="C82" s="23"/>
      <c r="D82" s="23"/>
      <c r="E82" s="23"/>
      <c r="F82" s="62"/>
    </row>
    <row r="83" spans="2:6">
      <c r="B83" s="23"/>
      <c r="C83" s="23"/>
      <c r="D83" s="23"/>
      <c r="E83" s="23"/>
      <c r="F83" s="62"/>
    </row>
    <row r="84" spans="2:6">
      <c r="B84" s="23"/>
      <c r="C84" s="23"/>
      <c r="D84" s="23"/>
      <c r="E84" s="23"/>
      <c r="F84" s="62"/>
    </row>
    <row r="85" spans="2:6">
      <c r="B85" s="23"/>
      <c r="C85" s="23"/>
      <c r="D85" s="23"/>
      <c r="E85" s="23"/>
      <c r="F85" s="62"/>
    </row>
    <row r="86" spans="2:6">
      <c r="B86" s="23"/>
      <c r="C86" s="23"/>
      <c r="D86" s="23"/>
      <c r="E86" s="23"/>
      <c r="F86" s="62"/>
    </row>
    <row r="87" spans="2:6">
      <c r="B87" s="23"/>
      <c r="C87" s="23"/>
      <c r="D87" s="23"/>
      <c r="E87" s="23"/>
      <c r="F87" s="62"/>
    </row>
    <row r="88" spans="2:6">
      <c r="B88" s="23"/>
      <c r="C88" s="23"/>
      <c r="D88" s="23"/>
      <c r="E88" s="23"/>
      <c r="F88" s="62"/>
    </row>
    <row r="89" spans="2:6">
      <c r="B89" s="23"/>
      <c r="C89" s="23"/>
      <c r="D89" s="23"/>
      <c r="E89" s="23"/>
      <c r="F89" s="62"/>
    </row>
    <row r="90" spans="2:6">
      <c r="B90" s="23"/>
      <c r="C90" s="23"/>
      <c r="D90" s="23"/>
      <c r="E90" s="23"/>
      <c r="F90" s="62"/>
    </row>
    <row r="91" spans="2:6">
      <c r="B91" s="23"/>
      <c r="C91" s="23"/>
      <c r="D91" s="23"/>
      <c r="E91" s="23"/>
      <c r="F91" s="62"/>
    </row>
    <row r="92" spans="2:6">
      <c r="B92" s="23"/>
      <c r="C92" s="23"/>
      <c r="D92" s="23"/>
      <c r="E92" s="23"/>
      <c r="F92" s="62"/>
    </row>
    <row r="93" spans="2:6">
      <c r="B93" s="23"/>
      <c r="C93" s="23"/>
      <c r="D93" s="23"/>
      <c r="E93" s="23"/>
      <c r="F93" s="62"/>
    </row>
    <row r="94" spans="2:6">
      <c r="B94" s="23"/>
      <c r="C94" s="23"/>
      <c r="D94" s="23"/>
      <c r="E94" s="23"/>
      <c r="F94" s="62"/>
    </row>
    <row r="95" spans="2:6">
      <c r="B95" s="23"/>
      <c r="C95" s="23"/>
      <c r="D95" s="23"/>
      <c r="E95" s="23"/>
      <c r="F95" s="62"/>
    </row>
    <row r="96" spans="2:6">
      <c r="B96" s="23"/>
      <c r="C96" s="23"/>
      <c r="D96" s="23"/>
      <c r="E96" s="23"/>
      <c r="F96" s="62"/>
    </row>
    <row r="97" spans="2:6">
      <c r="B97" s="23"/>
      <c r="C97" s="23"/>
      <c r="D97" s="23"/>
      <c r="E97" s="23"/>
      <c r="F97" s="62"/>
    </row>
    <row r="98" spans="2:6">
      <c r="B98" s="23"/>
      <c r="C98" s="23"/>
      <c r="D98" s="23"/>
      <c r="E98" s="23"/>
      <c r="F98" s="62"/>
    </row>
    <row r="99" spans="2:6">
      <c r="B99" s="23"/>
      <c r="C99" s="23"/>
      <c r="D99" s="23"/>
      <c r="E99" s="23"/>
      <c r="F99" s="62"/>
    </row>
    <row r="100" spans="2:6">
      <c r="B100" s="23"/>
      <c r="C100" s="23"/>
      <c r="D100" s="23"/>
      <c r="E100" s="23"/>
      <c r="F100" s="62"/>
    </row>
    <row r="101" spans="2:6">
      <c r="B101" s="23"/>
      <c r="C101" s="23"/>
      <c r="D101" s="23"/>
      <c r="E101" s="23"/>
      <c r="F101" s="62"/>
    </row>
    <row r="102" spans="2:6">
      <c r="B102" s="23"/>
      <c r="C102" s="23"/>
      <c r="D102" s="23"/>
      <c r="E102" s="23"/>
      <c r="F102" s="62"/>
    </row>
    <row r="103" spans="2:6">
      <c r="B103" s="23"/>
      <c r="C103" s="23"/>
      <c r="D103" s="23"/>
      <c r="E103" s="23"/>
      <c r="F103" s="62"/>
    </row>
    <row r="104" spans="2:6">
      <c r="B104" s="23"/>
      <c r="C104" s="23"/>
      <c r="D104" s="23"/>
      <c r="E104" s="23"/>
      <c r="F104" s="62"/>
    </row>
    <row r="105" spans="2:6">
      <c r="B105" s="23"/>
      <c r="C105" s="23"/>
      <c r="D105" s="23"/>
      <c r="E105" s="23"/>
      <c r="F105" s="62"/>
    </row>
    <row r="106" spans="2:6">
      <c r="B106" s="23"/>
      <c r="C106" s="23"/>
      <c r="D106" s="23"/>
      <c r="E106" s="23"/>
      <c r="F106" s="62"/>
    </row>
    <row r="107" spans="2:6">
      <c r="B107" s="23"/>
      <c r="C107" s="23"/>
      <c r="D107" s="23"/>
      <c r="E107" s="23"/>
      <c r="F107" s="62"/>
    </row>
    <row r="108" spans="2:6">
      <c r="B108" s="23"/>
      <c r="C108" s="23"/>
      <c r="D108" s="23"/>
      <c r="E108" s="23"/>
      <c r="F108" s="62"/>
    </row>
    <row r="109" spans="2:6">
      <c r="B109" s="23"/>
      <c r="C109" s="23"/>
      <c r="D109" s="23"/>
      <c r="E109" s="23"/>
      <c r="F109" s="62"/>
    </row>
    <row r="110" spans="2:6">
      <c r="B110" s="23"/>
      <c r="C110" s="23"/>
      <c r="D110" s="23"/>
      <c r="E110" s="23"/>
      <c r="F110" s="62"/>
    </row>
    <row r="111" spans="2:6">
      <c r="B111" s="23"/>
      <c r="C111" s="23"/>
      <c r="D111" s="23"/>
      <c r="E111" s="23"/>
      <c r="F111" s="62"/>
    </row>
    <row r="112" spans="2:6">
      <c r="B112" s="23"/>
      <c r="C112" s="23"/>
      <c r="D112" s="23"/>
      <c r="E112" s="23"/>
      <c r="F112" s="62"/>
    </row>
    <row r="113" spans="2:6">
      <c r="B113" s="23"/>
      <c r="C113" s="23"/>
      <c r="D113" s="23"/>
      <c r="E113" s="23"/>
      <c r="F113" s="62"/>
    </row>
    <row r="114" spans="2:6">
      <c r="B114" s="23"/>
      <c r="C114" s="23"/>
      <c r="D114" s="23"/>
      <c r="E114" s="23"/>
      <c r="F114" s="62"/>
    </row>
    <row r="115" spans="2:6">
      <c r="B115" s="23"/>
      <c r="C115" s="23"/>
      <c r="D115" s="23"/>
      <c r="E115" s="23"/>
      <c r="F115" s="62"/>
    </row>
    <row r="116" spans="2:6">
      <c r="B116" s="23"/>
      <c r="C116" s="23"/>
      <c r="D116" s="23"/>
      <c r="E116" s="23"/>
      <c r="F116" s="62"/>
    </row>
    <row r="117" spans="2:6">
      <c r="B117" s="23"/>
      <c r="C117" s="23"/>
      <c r="D117" s="23"/>
      <c r="E117" s="23"/>
      <c r="F117" s="62"/>
    </row>
    <row r="118" spans="2:6">
      <c r="B118" s="23"/>
      <c r="C118" s="23"/>
      <c r="D118" s="23"/>
      <c r="E118" s="23"/>
      <c r="F118" s="62"/>
    </row>
    <row r="119" spans="2:6">
      <c r="B119" s="23"/>
      <c r="C119" s="23"/>
      <c r="D119" s="23"/>
      <c r="E119" s="23"/>
      <c r="F119" s="62"/>
    </row>
    <row r="120" spans="2:6">
      <c r="B120" s="23"/>
      <c r="C120" s="23"/>
      <c r="D120" s="23"/>
      <c r="E120" s="23"/>
      <c r="F120" s="62"/>
    </row>
    <row r="121" spans="2:6">
      <c r="B121" s="23"/>
      <c r="C121" s="23"/>
      <c r="D121" s="23"/>
      <c r="E121" s="23"/>
      <c r="F121" s="62"/>
    </row>
    <row r="122" spans="2:6">
      <c r="B122" s="23"/>
      <c r="C122" s="23"/>
      <c r="D122" s="23"/>
      <c r="E122" s="23"/>
      <c r="F122" s="62"/>
    </row>
    <row r="123" spans="2:6">
      <c r="B123" s="23"/>
      <c r="C123" s="23"/>
      <c r="D123" s="23"/>
      <c r="E123" s="23"/>
      <c r="F123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6D08-6460-4DCE-92A3-F71EDAFCD4D0}">
  <dimension ref="A1:BM64"/>
  <sheetViews>
    <sheetView topLeftCell="A40" workbookViewId="0">
      <selection activeCell="M69" sqref="M69"/>
    </sheetView>
  </sheetViews>
  <sheetFormatPr defaultColWidth="7.453125" defaultRowHeight="14.5"/>
  <cols>
    <col min="1" max="1" width="7.453125" style="16"/>
    <col min="2" max="6" width="7.453125" style="6" customWidth="1"/>
    <col min="7" max="7" width="7.453125" style="77" customWidth="1"/>
    <col min="8" max="11" width="7.453125" style="6" customWidth="1"/>
    <col min="12" max="12" width="7.453125" style="77" customWidth="1"/>
    <col min="13" max="13" width="7.453125" style="6" customWidth="1"/>
    <col min="14" max="16" width="7.453125" customWidth="1"/>
    <col min="17" max="17" width="7.453125" style="26" customWidth="1"/>
    <col min="18" max="20" width="7.453125" customWidth="1"/>
    <col min="21" max="21" width="7.453125" style="16" customWidth="1"/>
    <col min="22" max="36" width="7.453125" customWidth="1"/>
    <col min="37" max="37" width="7.453125" style="16" customWidth="1"/>
  </cols>
  <sheetData>
    <row r="1" spans="1:65" s="30" customFormat="1">
      <c r="A1" s="30" t="s">
        <v>1</v>
      </c>
      <c r="B1" s="44">
        <v>45957</v>
      </c>
      <c r="C1" s="44">
        <v>45958</v>
      </c>
      <c r="D1" s="44">
        <v>45959</v>
      </c>
      <c r="E1" s="44">
        <v>45960</v>
      </c>
      <c r="F1" s="44">
        <v>45961</v>
      </c>
      <c r="G1" s="78">
        <v>45964</v>
      </c>
      <c r="H1" s="45">
        <v>45965</v>
      </c>
      <c r="I1" s="45">
        <v>45966</v>
      </c>
      <c r="J1" s="45">
        <v>45967</v>
      </c>
      <c r="K1" s="45">
        <v>45968</v>
      </c>
      <c r="L1" s="78">
        <v>45971</v>
      </c>
      <c r="M1" s="45">
        <v>45972</v>
      </c>
      <c r="N1" s="30">
        <v>45973</v>
      </c>
      <c r="O1" s="30">
        <v>45974</v>
      </c>
      <c r="P1" s="30">
        <v>45975</v>
      </c>
      <c r="Q1" s="29">
        <v>45978</v>
      </c>
      <c r="R1" s="30">
        <v>45979</v>
      </c>
      <c r="S1" s="30">
        <v>45980</v>
      </c>
      <c r="T1" s="30">
        <v>45981</v>
      </c>
      <c r="U1" s="31"/>
    </row>
    <row r="2" spans="1:65">
      <c r="A2" s="1">
        <v>1</v>
      </c>
      <c r="B2" s="36">
        <f>eth_ON!B2 - eth_OFF!B2 - AVERAGE(B$62:B$63)</f>
        <v>2.8999999999999773</v>
      </c>
      <c r="C2" s="36">
        <f>eth_ON!C2 - eth_OFF!C2 - AVERAGE(C$62:C$63)</f>
        <v>3.4499999999999886</v>
      </c>
      <c r="D2" s="36">
        <f>eth_ON!D2 - eth_OFF!D2 - AVERAGE(D$62:D$63)</f>
        <v>3.3000000000000114</v>
      </c>
      <c r="E2" s="36">
        <f>eth_ON!E2 - eth_OFF!E2 - AVERAGE(E$62:E$63)</f>
        <v>3.7500000000000284</v>
      </c>
      <c r="F2" s="36">
        <f>eth_ON!F2 - eth_OFF!F2 - AVERAGE(F$62:F$63)</f>
        <v>2.9000000000000057</v>
      </c>
      <c r="G2" s="36">
        <f>eth_ON!G2 - eth_OFF!G2 - AVERAGE(G$62:G$63)</f>
        <v>2.4000000000000625</v>
      </c>
      <c r="H2" s="36">
        <f>eth_ON!H2 - eth_OFF!H2 - AVERAGE(H$62:H$63)</f>
        <v>3.1500000000000057</v>
      </c>
      <c r="I2" s="36">
        <f>eth_ON!I2 - eth_OFF!I2 - AVERAGE(I$62:I$63)</f>
        <v>3.4000000000000341</v>
      </c>
      <c r="J2" s="36">
        <f>eth_ON!J2 - eth_OFF!J2 - AVERAGE(J$62:J$63)</f>
        <v>1.2999999999999829</v>
      </c>
      <c r="K2" s="36">
        <f>eth_ON!K2 - eth_OFF!K2 - AVERAGE(K$62:K$63)</f>
        <v>3.1500000000000341</v>
      </c>
      <c r="L2" s="36">
        <f>eth_ON!L2 - eth_OFF!L2 - AVERAGE(L$62:L$63)</f>
        <v>4.3999999999999773</v>
      </c>
      <c r="M2" s="36">
        <f>eth_ON!M2 - eth_OFF!M2 - AVERAGE(M$62:M$63)</f>
        <v>1.8499999999999943</v>
      </c>
      <c r="N2" s="36">
        <f>eth_ON!N2 - eth_OFF!N2 - AVERAGE(N$62:N$63)</f>
        <v>2.4499999999999886</v>
      </c>
      <c r="O2" s="36">
        <f>eth_ON!O2 - eth_OFF!O2 - AVERAGE(O$62:O$63)</f>
        <v>2.2999999999999829</v>
      </c>
      <c r="P2" s="36">
        <f>eth_ON!P2 - eth_OFF!P2 - AVERAGE(P$62:P$63)</f>
        <v>3.1999999999999602</v>
      </c>
      <c r="Q2" s="36">
        <f>eth_ON!Q2 - eth_OFF!Q2 - AVERAGE(Q$62:Q$63)</f>
        <v>0.75</v>
      </c>
      <c r="R2" s="36">
        <f>eth_ON!R2 - eth_OFF!R2 - AVERAGE(R$62:R$63)</f>
        <v>0.14999999999997726</v>
      </c>
      <c r="S2" s="36">
        <f>eth_ON!S2 - eth_OFF!S2 - AVERAGE(S$62:S$63)</f>
        <v>1.5500000000000114</v>
      </c>
      <c r="T2" s="36">
        <f>eth_ON!T2 - eth_OFF!T2 - AVERAGE(T$62:T$63)</f>
        <v>0.94999999999998863</v>
      </c>
      <c r="U2" s="6" t="str">
        <f>IF(eth_OFF!U2, (eth_ON!U2+500-eth_ON!U$64) - (eth_OFF!U2+500-eth_OFF!U$64) - AVERAGE($B$62:$AK$63), "")</f>
        <v/>
      </c>
      <c r="V2" s="6" t="str">
        <f>IF(eth_OFF!V2, (eth_ON!V2+500-eth_ON!V$64) - (eth_OFF!V2+500-eth_OFF!V$64) - AVERAGE(V$62:V$63), "")</f>
        <v/>
      </c>
      <c r="W2" s="6" t="str">
        <f>IF(eth_OFF!W2, (eth_ON!W2+500-eth_ON!W$64) - (eth_OFF!W2+500-eth_OFF!W$64) - AVERAGE(W$62:W$63), "")</f>
        <v/>
      </c>
      <c r="X2" s="6" t="str">
        <f>IF(eth_OFF!X2, (eth_ON!X2+500-eth_ON!X$64) - (eth_OFF!X2+500-eth_OFF!X$64) - AVERAGE(X$62:X$63), "")</f>
        <v/>
      </c>
      <c r="Y2" s="6" t="str">
        <f>IF(eth_OFF!Y2, (eth_ON!Y2+500-eth_ON!Y$64) - (eth_OFF!Y2+500-eth_OFF!Y$64) - AVERAGE(Y$62:Y$63), "")</f>
        <v/>
      </c>
      <c r="Z2" s="6" t="str">
        <f>IF(eth_OFF!Z2, (eth_ON!Z2+500-eth_ON!Z$64) - (eth_OFF!Z2+500-eth_OFF!Z$64) - AVERAGE(Z$62:Z$63), "")</f>
        <v/>
      </c>
      <c r="AA2" s="6" t="str">
        <f>IF(eth_OFF!AA2, (eth_ON!AA2+500-eth_ON!AA$64) - (eth_OFF!AA2+500-eth_OFF!AA$64) - AVERAGE(AA$62:AA$63), "")</f>
        <v/>
      </c>
      <c r="AB2" s="6" t="str">
        <f>IF(eth_OFF!AB2, (eth_ON!AB2+500-eth_ON!AB$64) - (eth_OFF!AB2+500-eth_OFF!AB$64) - AVERAGE(AB$62:AB$63), "")</f>
        <v/>
      </c>
      <c r="AC2" s="6" t="str">
        <f>IF(eth_OFF!AC2, (eth_ON!AC2+500-eth_ON!AC$64) - (eth_OFF!AC2+500-eth_OFF!AC$64) - AVERAGE(AC$62:AC$63), "")</f>
        <v/>
      </c>
      <c r="AD2" s="6" t="str">
        <f>IF(eth_OFF!AD2, (eth_ON!AD2+500-eth_ON!AD$64) - (eth_OFF!AD2+500-eth_OFF!AD$64) - AVERAGE(AD$62:AD$63), "")</f>
        <v/>
      </c>
      <c r="AE2" s="6" t="str">
        <f>IF(eth_OFF!AE2, (eth_ON!AE2+500-eth_ON!AE$64) - (eth_OFF!AE2+500-eth_OFF!AE$64) - AVERAGE(AE$62:AE$63), "")</f>
        <v/>
      </c>
      <c r="AF2" s="6" t="str">
        <f>IF(eth_OFF!AF2, (eth_ON!AF2+500-eth_ON!AF$64) - (eth_OFF!AF2+500-eth_OFF!AF$64) - AVERAGE(AF$62:AF$63), "")</f>
        <v/>
      </c>
      <c r="AG2" s="7" t="str">
        <f>IF(eth_OFF!AG2, (eth_ON!AG2+500-eth_ON!AG$64) - (eth_OFF!AG2+500-eth_OFF!AG$64) - AVERAGE(AG$62:AG$63), "")</f>
        <v/>
      </c>
      <c r="AH2" s="7" t="str">
        <f>IF(eth_OFF!AH2, (eth_ON!AH2+500-eth_ON!AH$64) - (eth_OFF!AH2+500-eth_OFF!AH$64) - AVERAGE(AH$62:AH$63), "")</f>
        <v/>
      </c>
      <c r="AI2" s="7" t="str">
        <f>IF(eth_OFF!AI2, (eth_ON!AI2+500-eth_ON!AI$64) - (eth_OFF!AI2+500-eth_OFF!AI$64) - AVERAGE(AI$62:AI$63), "")</f>
        <v/>
      </c>
      <c r="AJ2" s="7" t="str">
        <f>IF(eth_OFF!AJ2, (eth_ON!AJ2+500-eth_ON!AJ$64) - (eth_OFF!AJ2+500-eth_OFF!AJ$64) - AVERAGE(AJ$62:AJ$63), "")</f>
        <v/>
      </c>
      <c r="AK2" s="15" t="str">
        <f>IF(eth_OFF!AK2, (eth_ON!AK2+500-eth_ON!AK$64) - (eth_OFF!AK2+500-eth_OFF!AK$64) - AVERAGE(AK$62:AK$63), "")</f>
        <v/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>
      <c r="A3" s="1">
        <v>2</v>
      </c>
      <c r="B3" s="36">
        <f>eth_ON!B3 - eth_OFF!B3 - AVERAGE(B$62:B$63)</f>
        <v>1.5</v>
      </c>
      <c r="C3" s="36">
        <f>eth_ON!C3 - eth_OFF!C3 - AVERAGE(C$62:C$63)</f>
        <v>1.3500000000000227</v>
      </c>
      <c r="D3" s="36">
        <f>eth_ON!D3 - eth_OFF!D3 - AVERAGE(D$62:D$63)</f>
        <v>1.1000000000000227</v>
      </c>
      <c r="E3" s="36">
        <f>eth_ON!E3 - eth_OFF!E3 - AVERAGE(E$62:E$63)</f>
        <v>1.8499999999999943</v>
      </c>
      <c r="F3" s="36">
        <f>eth_ON!F3 - eth_OFF!F3 - AVERAGE(F$62:F$63)</f>
        <v>1.5999999999999943</v>
      </c>
      <c r="G3" s="36">
        <f>eth_ON!G3 - eth_OFF!G3 - AVERAGE(G$62:G$63)</f>
        <v>1.1000000000000512</v>
      </c>
      <c r="H3" s="36">
        <f>eth_ON!H3 - eth_OFF!H3 - AVERAGE(H$62:H$63)</f>
        <v>0.85000000000005116</v>
      </c>
      <c r="I3" s="36">
        <f>eth_ON!I3 - eth_OFF!I3 - AVERAGE(I$62:I$63)</f>
        <v>1.7000000000000455</v>
      </c>
      <c r="J3" s="36">
        <f>eth_ON!J3 - eth_OFF!J3 - AVERAGE(J$62:J$63)</f>
        <v>0.79999999999998295</v>
      </c>
      <c r="K3" s="36">
        <f>eth_ON!K3 - eth_OFF!K3 - AVERAGE(K$62:K$63)</f>
        <v>1.9499999999999886</v>
      </c>
      <c r="L3" s="36">
        <f>eth_ON!L3 - eth_OFF!L3 - AVERAGE(L$62:L$63)</f>
        <v>1.2999999999999545</v>
      </c>
      <c r="M3" s="36">
        <f>eth_ON!M3 - eth_OFF!M3 - AVERAGE(M$62:M$63)</f>
        <v>1.3499999999999943</v>
      </c>
      <c r="N3" s="36">
        <f>eth_ON!N3 - eth_OFF!N3 - AVERAGE(N$62:N$63)</f>
        <v>1.4499999999999886</v>
      </c>
      <c r="O3" s="36">
        <f>eth_ON!O3 - eth_OFF!O3 - AVERAGE(O$62:O$63)</f>
        <v>0.70000000000001705</v>
      </c>
      <c r="P3" s="36">
        <f>eth_ON!P3 - eth_OFF!P3 - AVERAGE(P$62:P$63)</f>
        <v>1.0999999999999943</v>
      </c>
      <c r="Q3" s="36">
        <f>eth_ON!Q3 - eth_OFF!Q3 - AVERAGE(Q$62:Q$63)</f>
        <v>0.44999999999998863</v>
      </c>
      <c r="R3" s="36">
        <f>eth_ON!R3 - eth_OFF!R3 - AVERAGE(R$62:R$63)</f>
        <v>-0.15000000000003411</v>
      </c>
      <c r="S3" s="36">
        <f>eth_ON!S3 - eth_OFF!S3 - AVERAGE(S$62:S$63)</f>
        <v>-4.9999999999954525E-2</v>
      </c>
      <c r="T3" s="36">
        <f>eth_ON!T3 - eth_OFF!T3 - AVERAGE(T$62:T$63)</f>
        <v>0.34999999999996589</v>
      </c>
      <c r="U3" s="6" t="str">
        <f>IF(eth_OFF!U3, (eth_ON!U3+500-eth_ON!U$64) - (eth_OFF!U3+500-eth_OFF!U$64) - AVERAGE($B$62:$AK$63), "")</f>
        <v/>
      </c>
      <c r="V3" s="6" t="str">
        <f>IF(eth_OFF!V3, (eth_ON!V3+500-eth_ON!V$64) - (eth_OFF!V3+500-eth_OFF!V$64) - AVERAGE(V$62:V$63), "")</f>
        <v/>
      </c>
      <c r="W3" s="6" t="str">
        <f>IF(eth_OFF!W3, (eth_ON!W3+500-eth_ON!W$64) - (eth_OFF!W3+500-eth_OFF!W$64) - AVERAGE(W$62:W$63), "")</f>
        <v/>
      </c>
      <c r="X3" s="6" t="str">
        <f>IF(eth_OFF!X3, (eth_ON!X3+500-eth_ON!X$64) - (eth_OFF!X3+500-eth_OFF!X$64) - AVERAGE(X$62:X$63), "")</f>
        <v/>
      </c>
      <c r="Y3" s="6" t="str">
        <f>IF(eth_OFF!Y3, (eth_ON!Y3+500-eth_ON!Y$64) - (eth_OFF!Y3+500-eth_OFF!Y$64) - AVERAGE(Y$62:Y$63), "")</f>
        <v/>
      </c>
      <c r="Z3" s="6" t="str">
        <f>IF(eth_OFF!Z3, (eth_ON!Z3+500-eth_ON!Z$64) - (eth_OFF!Z3+500-eth_OFF!Z$64) - AVERAGE(Z$62:Z$63), "")</f>
        <v/>
      </c>
      <c r="AA3" s="6" t="str">
        <f>IF(eth_OFF!AA3, (eth_ON!AA3+500-eth_ON!AA$64) - (eth_OFF!AA3+500-eth_OFF!AA$64) - AVERAGE(AA$62:AA$63), "")</f>
        <v/>
      </c>
      <c r="AB3" s="6" t="str">
        <f>IF(eth_OFF!AB3, (eth_ON!AB3+500-eth_ON!AB$64) - (eth_OFF!AB3+500-eth_OFF!AB$64) - AVERAGE(AB$62:AB$63), "")</f>
        <v/>
      </c>
      <c r="AC3" s="6" t="str">
        <f>IF(eth_OFF!AC3, (eth_ON!AC3+500-eth_ON!AC$64) - (eth_OFF!AC3+500-eth_OFF!AC$64) - AVERAGE(AC$62:AC$63), "")</f>
        <v/>
      </c>
      <c r="AD3" s="6" t="str">
        <f>IF(eth_OFF!AD3, (eth_ON!AD3+500-eth_ON!AD$64) - (eth_OFF!AD3+500-eth_OFF!AD$64) - AVERAGE(AD$62:AD$63), "")</f>
        <v/>
      </c>
      <c r="AE3" s="6" t="str">
        <f>IF(eth_OFF!AE3, (eth_ON!AE3+500-eth_ON!AE$64) - (eth_OFF!AE3+500-eth_OFF!AE$64) - AVERAGE(AE$62:AE$63), "")</f>
        <v/>
      </c>
      <c r="AF3" s="6" t="str">
        <f>IF(eth_OFF!AF3, (eth_ON!AF3+500-eth_ON!AF$64) - (eth_OFF!AF3+500-eth_OFF!AF$64) - AVERAGE(AF$62:AF$63), "")</f>
        <v/>
      </c>
      <c r="AG3" s="7" t="str">
        <f>IF(eth_OFF!AG3, (eth_ON!AG3+500-eth_ON!AG$64) - (eth_OFF!AG3+500-eth_OFF!AG$64) - AVERAGE(AG$62:AG$63), "")</f>
        <v/>
      </c>
      <c r="AH3" s="7" t="str">
        <f>IF(eth_OFF!AH3, (eth_ON!AH3+500-eth_ON!AH$64) - (eth_OFF!AH3+500-eth_OFF!AH$64) - AVERAGE(AH$62:AH$63), "")</f>
        <v/>
      </c>
      <c r="AI3" s="7" t="str">
        <f>IF(eth_OFF!AI3, (eth_ON!AI3+500-eth_ON!AI$64) - (eth_OFF!AI3+500-eth_OFF!AI$64) - AVERAGE(AI$62:AI$63), "")</f>
        <v/>
      </c>
      <c r="AJ3" s="7" t="str">
        <f>IF(eth_OFF!AJ3, (eth_ON!AJ3+500-eth_ON!AJ$64) - (eth_OFF!AJ3+500-eth_OFF!AJ$64) - AVERAGE(AJ$62:AJ$63), "")</f>
        <v/>
      </c>
      <c r="AK3" s="15" t="str">
        <f>IF(eth_OFF!AK3, (eth_ON!AK3+500-eth_ON!AK$64) - (eth_OFF!AK3+500-eth_OFF!AK$64) - AVERAGE(AK$62:AK$63), "")</f>
        <v/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>
      <c r="A4" s="1">
        <v>3</v>
      </c>
      <c r="B4" s="36">
        <f>eth_ON!B4 - eth_OFF!B4 - AVERAGE(B$62:B$63)</f>
        <v>2.5999999999999659</v>
      </c>
      <c r="C4" s="36">
        <f>eth_ON!C4 - eth_OFF!C4 - AVERAGE(C$62:C$63)</f>
        <v>4.75</v>
      </c>
      <c r="D4" s="36">
        <f>eth_ON!D4 - eth_OFF!D4 - AVERAGE(D$62:D$63)</f>
        <v>1.6000000000000227</v>
      </c>
      <c r="E4" s="36">
        <f>eth_ON!E4 - eth_OFF!E4 - AVERAGE(E$62:E$63)</f>
        <v>3.1500000000000057</v>
      </c>
      <c r="F4" s="36">
        <f>eth_ON!F4 - eth_OFF!F4 - AVERAGE(F$62:F$63)</f>
        <v>2.7000000000000171</v>
      </c>
      <c r="G4" s="36">
        <f>eth_ON!G4 - eth_OFF!G4 - AVERAGE(G$62:G$63)</f>
        <v>2.2000000000000171</v>
      </c>
      <c r="H4" s="36">
        <f>eth_ON!H4 - eth_OFF!H4 - AVERAGE(H$62:H$63)</f>
        <v>4.5500000000000398</v>
      </c>
      <c r="I4" s="36">
        <f>eth_ON!I4 - eth_OFF!I4 - AVERAGE(I$62:I$63)</f>
        <v>6.6000000000000227</v>
      </c>
      <c r="J4" s="36">
        <f>eth_ON!J4 - eth_OFF!J4 - AVERAGE(J$62:J$63)</f>
        <v>1.7000000000000171</v>
      </c>
      <c r="K4" s="36">
        <f>eth_ON!K4 - eth_OFF!K4 - AVERAGE(K$62:K$63)</f>
        <v>2.8500000000000227</v>
      </c>
      <c r="L4" s="36">
        <f>eth_ON!L4 - eth_OFF!L4 - AVERAGE(L$62:L$63)</f>
        <v>2.7999999999999545</v>
      </c>
      <c r="M4" s="36">
        <f>eth_ON!M4 - eth_OFF!M4 - AVERAGE(M$62:M$63)</f>
        <v>3.8499999999999375</v>
      </c>
      <c r="N4" s="36">
        <f>eth_ON!N4 - eth_OFF!N4 - AVERAGE(N$62:N$63)</f>
        <v>4.1499999999999773</v>
      </c>
      <c r="O4" s="36">
        <f>eth_ON!O4 - eth_OFF!O4 - AVERAGE(O$62:O$63)</f>
        <v>4.0000000000000284</v>
      </c>
      <c r="P4" s="36">
        <f>eth_ON!P4 - eth_OFF!P4 - AVERAGE(P$62:P$63)</f>
        <v>2.5999999999999943</v>
      </c>
      <c r="Q4" s="36">
        <f>eth_ON!Q4 - eth_OFF!Q4 - AVERAGE(Q$62:Q$63)</f>
        <v>3.1500000000000341</v>
      </c>
      <c r="R4" s="36">
        <f>eth_ON!R4 - eth_OFF!R4 - AVERAGE(R$62:R$63)</f>
        <v>2.0500000000000114</v>
      </c>
      <c r="S4" s="36">
        <f>eth_ON!S4 - eth_OFF!S4 - AVERAGE(S$62:S$63)</f>
        <v>3.6500000000000341</v>
      </c>
      <c r="T4" s="36">
        <f>eth_ON!T4 - eth_OFF!T4 - AVERAGE(T$62:T$63)</f>
        <v>2.9499999999999886</v>
      </c>
      <c r="U4" s="6" t="str">
        <f>IF(eth_OFF!U4, (eth_ON!U4+500-eth_ON!U$64) - (eth_OFF!U4+500-eth_OFF!U$64) - AVERAGE($B$62:$AK$63), "")</f>
        <v/>
      </c>
      <c r="V4" s="6" t="str">
        <f>IF(eth_OFF!V4, (eth_ON!V4+500-eth_ON!V$64) - (eth_OFF!V4+500-eth_OFF!V$64) - AVERAGE(V$62:V$63), "")</f>
        <v/>
      </c>
      <c r="W4" s="6" t="str">
        <f>IF(eth_OFF!W4, (eth_ON!W4+500-eth_ON!W$64) - (eth_OFF!W4+500-eth_OFF!W$64) - AVERAGE(W$62:W$63), "")</f>
        <v/>
      </c>
      <c r="X4" s="6" t="str">
        <f>IF(eth_OFF!X4, (eth_ON!X4+500-eth_ON!X$64) - (eth_OFF!X4+500-eth_OFF!X$64) - AVERAGE(X$62:X$63), "")</f>
        <v/>
      </c>
      <c r="Y4" s="6" t="str">
        <f>IF(eth_OFF!Y4, (eth_ON!Y4+500-eth_ON!Y$64) - (eth_OFF!Y4+500-eth_OFF!Y$64) - AVERAGE(Y$62:Y$63), "")</f>
        <v/>
      </c>
      <c r="Z4" s="6" t="str">
        <f>IF(eth_OFF!Z4, (eth_ON!Z4+500-eth_ON!Z$64) - (eth_OFF!Z4+500-eth_OFF!Z$64) - AVERAGE(Z$62:Z$63), "")</f>
        <v/>
      </c>
      <c r="AA4" s="6" t="str">
        <f>IF(eth_OFF!AA4, (eth_ON!AA4+500-eth_ON!AA$64) - (eth_OFF!AA4+500-eth_OFF!AA$64) - AVERAGE(AA$62:AA$63), "")</f>
        <v/>
      </c>
      <c r="AB4" s="6" t="str">
        <f>IF(eth_OFF!AB4, (eth_ON!AB4+500-eth_ON!AB$64) - (eth_OFF!AB4+500-eth_OFF!AB$64) - AVERAGE(AB$62:AB$63), "")</f>
        <v/>
      </c>
      <c r="AC4" s="6" t="str">
        <f>IF(eth_OFF!AC4, (eth_ON!AC4+500-eth_ON!AC$64) - (eth_OFF!AC4+500-eth_OFF!AC$64) - AVERAGE(AC$62:AC$63), "")</f>
        <v/>
      </c>
      <c r="AD4" s="6" t="str">
        <f>IF(eth_OFF!AD4, (eth_ON!AD4+500-eth_ON!AD$64) - (eth_OFF!AD4+500-eth_OFF!AD$64) - AVERAGE(AD$62:AD$63), "")</f>
        <v/>
      </c>
      <c r="AE4" s="6" t="str">
        <f>IF(eth_OFF!AE4, (eth_ON!AE4+500-eth_ON!AE$64) - (eth_OFF!AE4+500-eth_OFF!AE$64) - AVERAGE(AE$62:AE$63), "")</f>
        <v/>
      </c>
      <c r="AF4" s="6" t="str">
        <f>IF(eth_OFF!AF4, (eth_ON!AF4+500-eth_ON!AF$64) - (eth_OFF!AF4+500-eth_OFF!AF$64) - AVERAGE(AF$62:AF$63), "")</f>
        <v/>
      </c>
      <c r="AG4" s="7" t="str">
        <f>IF(eth_OFF!AG4, (eth_ON!AG4+500-eth_ON!AG$64) - (eth_OFF!AG4+500-eth_OFF!AG$64) - AVERAGE(AG$62:AG$63), "")</f>
        <v/>
      </c>
      <c r="AH4" s="7" t="str">
        <f>IF(eth_OFF!AH4, (eth_ON!AH4+500-eth_ON!AH$64) - (eth_OFF!AH4+500-eth_OFF!AH$64) - AVERAGE(AH$62:AH$63), "")</f>
        <v/>
      </c>
      <c r="AI4" s="7" t="str">
        <f>IF(eth_OFF!AI4, (eth_ON!AI4+500-eth_ON!AI$64) - (eth_OFF!AI4+500-eth_OFF!AI$64) - AVERAGE(AI$62:AI$63), "")</f>
        <v/>
      </c>
      <c r="AJ4" s="7" t="str">
        <f>IF(eth_OFF!AJ4, (eth_ON!AJ4+500-eth_ON!AJ$64) - (eth_OFF!AJ4+500-eth_OFF!AJ$64) - AVERAGE(AJ$62:AJ$63), "")</f>
        <v/>
      </c>
      <c r="AK4" s="15" t="str">
        <f>IF(eth_OFF!AK4, (eth_ON!AK4+500-eth_ON!AK$64) - (eth_OFF!AK4+500-eth_OFF!AK$64) - AVERAGE(AK$62:AK$63), "")</f>
        <v/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 spans="1:65">
      <c r="A5" s="1">
        <v>4</v>
      </c>
      <c r="B5" s="36">
        <f>eth_ON!B5 - eth_OFF!B5 - AVERAGE(B$62:B$63)</f>
        <v>3.8999999999999773</v>
      </c>
      <c r="C5" s="36">
        <f>eth_ON!C5 - eth_OFF!C5 - AVERAGE(C$62:C$63)</f>
        <v>2.25</v>
      </c>
      <c r="D5" s="36">
        <f>eth_ON!D5 - eth_OFF!D5 - AVERAGE(D$62:D$63)</f>
        <v>2.1000000000000227</v>
      </c>
      <c r="E5" s="36">
        <f>eth_ON!E5 - eth_OFF!E5 - AVERAGE(E$62:E$63)</f>
        <v>3.9500000000000171</v>
      </c>
      <c r="F5" s="36">
        <f>eth_ON!F5 - eth_OFF!F5 - AVERAGE(F$62:F$63)</f>
        <v>3.4000000000000057</v>
      </c>
      <c r="G5" s="36">
        <f>eth_ON!G5 - eth_OFF!G5 - AVERAGE(G$62:G$63)</f>
        <v>2.4999999999999716</v>
      </c>
      <c r="H5" s="36">
        <f>eth_ON!H5 - eth_OFF!H5 - AVERAGE(H$62:H$63)</f>
        <v>3.1500000000000057</v>
      </c>
      <c r="I5" s="36">
        <f>eth_ON!I5 - eth_OFF!I5 - AVERAGE(I$62:I$63)</f>
        <v>4.3000000000000682</v>
      </c>
      <c r="J5" s="36">
        <f>eth_ON!J5 - eth_OFF!J5 - AVERAGE(J$62:J$63)</f>
        <v>1.9999999999999716</v>
      </c>
      <c r="K5" s="36">
        <f>eth_ON!K5 - eth_OFF!K5 - AVERAGE(K$62:K$63)</f>
        <v>3.0500000000000682</v>
      </c>
      <c r="L5" s="36">
        <f>eth_ON!L5 - eth_OFF!L5 - AVERAGE(L$62:L$63)</f>
        <v>3.5999999999999659</v>
      </c>
      <c r="M5" s="36">
        <f>eth_ON!M5 - eth_OFF!M5 - AVERAGE(M$62:M$63)</f>
        <v>2.7499999999999716</v>
      </c>
      <c r="N5" s="36">
        <f>eth_ON!N5 - eth_OFF!N5 - AVERAGE(N$62:N$63)</f>
        <v>3.4499999999999886</v>
      </c>
      <c r="O5" s="36">
        <f>eth_ON!O5 - eth_OFF!O5 - AVERAGE(O$62:O$63)</f>
        <v>2.9999999999999716</v>
      </c>
      <c r="P5" s="36">
        <f>eth_ON!P5 - eth_OFF!P5 - AVERAGE(P$62:P$63)</f>
        <v>2.4999999999999716</v>
      </c>
      <c r="Q5" s="36">
        <f>eth_ON!Q5 - eth_OFF!Q5 - AVERAGE(Q$62:Q$63)</f>
        <v>2.75</v>
      </c>
      <c r="R5" s="36">
        <f>eth_ON!R5 - eth_OFF!R5 - AVERAGE(R$62:R$63)</f>
        <v>2.4499999999999886</v>
      </c>
      <c r="S5" s="36">
        <f>eth_ON!S5 - eth_OFF!S5 - AVERAGE(S$62:S$63)</f>
        <v>3.8500000000000227</v>
      </c>
      <c r="T5" s="36">
        <f>eth_ON!T5 - eth_OFF!T5 - AVERAGE(T$62:T$63)</f>
        <v>2.8500000000000227</v>
      </c>
      <c r="U5" s="6" t="str">
        <f>IF(eth_OFF!U5, (eth_ON!U5+500-eth_ON!U$64) - (eth_OFF!U5+500-eth_OFF!U$64) - AVERAGE($B$62:$AK$63), "")</f>
        <v/>
      </c>
      <c r="V5" s="6" t="str">
        <f>IF(eth_OFF!V5, (eth_ON!V5+500-eth_ON!V$64) - (eth_OFF!V5+500-eth_OFF!V$64) - AVERAGE(V$62:V$63), "")</f>
        <v/>
      </c>
      <c r="W5" s="6" t="str">
        <f>IF(eth_OFF!W5, (eth_ON!W5+500-eth_ON!W$64) - (eth_OFF!W5+500-eth_OFF!W$64) - AVERAGE(W$62:W$63), "")</f>
        <v/>
      </c>
      <c r="X5" s="6" t="str">
        <f>IF(eth_OFF!X5, (eth_ON!X5+500-eth_ON!X$64) - (eth_OFF!X5+500-eth_OFF!X$64) - AVERAGE(X$62:X$63), "")</f>
        <v/>
      </c>
      <c r="Y5" s="6" t="str">
        <f>IF(eth_OFF!Y5, (eth_ON!Y5+500-eth_ON!Y$64) - (eth_OFF!Y5+500-eth_OFF!Y$64) - AVERAGE(Y$62:Y$63), "")</f>
        <v/>
      </c>
      <c r="Z5" s="6" t="str">
        <f>IF(eth_OFF!Z5, (eth_ON!Z5+500-eth_ON!Z$64) - (eth_OFF!Z5+500-eth_OFF!Z$64) - AVERAGE(Z$62:Z$63), "")</f>
        <v/>
      </c>
      <c r="AA5" s="6" t="str">
        <f>IF(eth_OFF!AA5, (eth_ON!AA5+500-eth_ON!AA$64) - (eth_OFF!AA5+500-eth_OFF!AA$64) - AVERAGE(AA$62:AA$63), "")</f>
        <v/>
      </c>
      <c r="AB5" s="6" t="str">
        <f>IF(eth_OFF!AB5, (eth_ON!AB5+500-eth_ON!AB$64) - (eth_OFF!AB5+500-eth_OFF!AB$64) - AVERAGE(AB$62:AB$63), "")</f>
        <v/>
      </c>
      <c r="AC5" s="6" t="str">
        <f>IF(eth_OFF!AC5, (eth_ON!AC5+500-eth_ON!AC$64) - (eth_OFF!AC5+500-eth_OFF!AC$64) - AVERAGE(AC$62:AC$63), "")</f>
        <v/>
      </c>
      <c r="AD5" s="6" t="str">
        <f>IF(eth_OFF!AD5, (eth_ON!AD5+500-eth_ON!AD$64) - (eth_OFF!AD5+500-eth_OFF!AD$64) - AVERAGE(AD$62:AD$63), "")</f>
        <v/>
      </c>
      <c r="AE5" s="6" t="str">
        <f>IF(eth_OFF!AE5, (eth_ON!AE5+500-eth_ON!AE$64) - (eth_OFF!AE5+500-eth_OFF!AE$64) - AVERAGE(AE$62:AE$63), "")</f>
        <v/>
      </c>
      <c r="AF5" s="6" t="str">
        <f>IF(eth_OFF!AF5, (eth_ON!AF5+500-eth_ON!AF$64) - (eth_OFF!AF5+500-eth_OFF!AF$64) - AVERAGE(AF$62:AF$63), "")</f>
        <v/>
      </c>
      <c r="AG5" s="7" t="str">
        <f>IF(eth_OFF!AG5, (eth_ON!AG5+500-eth_ON!AG$64) - (eth_OFF!AG5+500-eth_OFF!AG$64) - AVERAGE(AG$62:AG$63), "")</f>
        <v/>
      </c>
      <c r="AH5" s="7" t="str">
        <f>IF(eth_OFF!AH5, (eth_ON!AH5+500-eth_ON!AH$64) - (eth_OFF!AH5+500-eth_OFF!AH$64) - AVERAGE(AH$62:AH$63), "")</f>
        <v/>
      </c>
      <c r="AI5" s="7" t="str">
        <f>IF(eth_OFF!AI5, (eth_ON!AI5+500-eth_ON!AI$64) - (eth_OFF!AI5+500-eth_OFF!AI$64) - AVERAGE(AI$62:AI$63), "")</f>
        <v/>
      </c>
      <c r="AJ5" s="7" t="str">
        <f>IF(eth_OFF!AJ5, (eth_ON!AJ5+500-eth_ON!AJ$64) - (eth_OFF!AJ5+500-eth_OFF!AJ$64) - AVERAGE(AJ$62:AJ$63), "")</f>
        <v/>
      </c>
      <c r="AK5" s="15" t="str">
        <f>IF(eth_OFF!AK5, (eth_ON!AK5+500-eth_ON!AK$64) - (eth_OFF!AK5+500-eth_OFF!AK$64) - AVERAGE(AK$62:AK$63), "")</f>
        <v/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</row>
    <row r="6" spans="1:65">
      <c r="A6" s="1">
        <v>5</v>
      </c>
      <c r="B6" s="36">
        <f>eth_ON!B6 - eth_OFF!B6 - AVERAGE(B$62:B$63)</f>
        <v>9.9999999999965894E-2</v>
      </c>
      <c r="C6" s="36">
        <f>eth_ON!C6 - eth_OFF!C6 - AVERAGE(C$62:C$63)</f>
        <v>-4.9999999999954525E-2</v>
      </c>
      <c r="D6" s="36">
        <f>eth_ON!D6 - eth_OFF!D6 - AVERAGE(D$62:D$63)</f>
        <v>0.20000000000004547</v>
      </c>
      <c r="E6" s="36">
        <f>eth_ON!E6 - eth_OFF!E6 - AVERAGE(E$62:E$63)</f>
        <v>4.9999999999982947E-2</v>
      </c>
      <c r="F6" s="36">
        <f>eth_ON!F6 - eth_OFF!F6 - AVERAGE(F$62:F$63)</f>
        <v>0.40000000000000568</v>
      </c>
      <c r="G6" s="36">
        <f>eth_ON!G6 - eth_OFF!G6 - AVERAGE(G$62:G$63)</f>
        <v>2.8421709430404007E-14</v>
      </c>
      <c r="H6" s="36">
        <f>eth_ON!H6 - eth_OFF!H6 - AVERAGE(H$62:H$63)</f>
        <v>0.34999999999999432</v>
      </c>
      <c r="I6" s="36">
        <f>eth_ON!I6 - eth_OFF!I6 - AVERAGE(I$62:I$63)</f>
        <v>0.40000000000009095</v>
      </c>
      <c r="J6" s="36">
        <f>eth_ON!J6 - eth_OFF!J6 - AVERAGE(J$62:J$63)</f>
        <v>9.9999999999994316E-2</v>
      </c>
      <c r="K6" s="36">
        <f>eth_ON!K6 - eth_OFF!K6 - AVERAGE(K$62:K$63)</f>
        <v>0.15000000000003411</v>
      </c>
      <c r="L6" s="36">
        <f>eth_ON!L6 - eth_OFF!L6 - AVERAGE(L$62:L$63)</f>
        <v>0.10000000000002274</v>
      </c>
      <c r="M6" s="36">
        <f>eth_ON!M6 - eth_OFF!M6 - AVERAGE(M$62:M$63)</f>
        <v>-0.24999999999997158</v>
      </c>
      <c r="N6" s="36">
        <f>eth_ON!N6 - eth_OFF!N6 - AVERAGE(N$62:N$63)</f>
        <v>0.14999999999997726</v>
      </c>
      <c r="O6" s="36">
        <f>eth_ON!O6 - eth_OFF!O6 - AVERAGE(O$62:O$63)</f>
        <v>2.8421709430404007E-14</v>
      </c>
      <c r="P6" s="36">
        <f>eth_ON!P6 - eth_OFF!P6 - AVERAGE(P$62:P$63)</f>
        <v>0.59999999999999432</v>
      </c>
      <c r="Q6" s="36">
        <f>eth_ON!Q6 - eth_OFF!Q6 - AVERAGE(Q$62:Q$63)</f>
        <v>0.14999999999997726</v>
      </c>
      <c r="R6" s="36">
        <f>eth_ON!R6 - eth_OFF!R6 - AVERAGE(R$62:R$63)</f>
        <v>-0.44999999999998863</v>
      </c>
      <c r="S6" s="36">
        <f>eth_ON!S6 - eth_OFF!S6 - AVERAGE(S$62:S$63)</f>
        <v>5.0000000000011369E-2</v>
      </c>
      <c r="T6" s="36">
        <f>eth_ON!T6 - eth_OFF!T6 - AVERAGE(T$62:T$63)</f>
        <v>0.25</v>
      </c>
      <c r="U6" s="6" t="str">
        <f>IF(eth_OFF!U6, (eth_ON!U6+500-eth_ON!U$64) - (eth_OFF!U6+500-eth_OFF!U$64) - AVERAGE($B$62:$AK$63), "")</f>
        <v/>
      </c>
      <c r="V6" s="6" t="str">
        <f>IF(eth_OFF!V6, (eth_ON!V6+500-eth_ON!V$64) - (eth_OFF!V6+500-eth_OFF!V$64) - AVERAGE(V$62:V$63), "")</f>
        <v/>
      </c>
      <c r="W6" s="6" t="str">
        <f>IF(eth_OFF!W6, (eth_ON!W6+500-eth_ON!W$64) - (eth_OFF!W6+500-eth_OFF!W$64) - AVERAGE(W$62:W$63), "")</f>
        <v/>
      </c>
      <c r="X6" s="6" t="str">
        <f>IF(eth_OFF!X6, (eth_ON!X6+500-eth_ON!X$64) - (eth_OFF!X6+500-eth_OFF!X$64) - AVERAGE(X$62:X$63), "")</f>
        <v/>
      </c>
      <c r="Y6" s="6" t="str">
        <f>IF(eth_OFF!Y6, (eth_ON!Y6+500-eth_ON!Y$64) - (eth_OFF!Y6+500-eth_OFF!Y$64) - AVERAGE(Y$62:Y$63), "")</f>
        <v/>
      </c>
      <c r="Z6" s="6" t="str">
        <f>IF(eth_OFF!Z6, (eth_ON!Z6+500-eth_ON!Z$64) - (eth_OFF!Z6+500-eth_OFF!Z$64) - AVERAGE(Z$62:Z$63), "")</f>
        <v/>
      </c>
      <c r="AA6" s="6" t="str">
        <f>IF(eth_OFF!AA6, (eth_ON!AA6+500-eth_ON!AA$64) - (eth_OFF!AA6+500-eth_OFF!AA$64) - AVERAGE(AA$62:AA$63), "")</f>
        <v/>
      </c>
      <c r="AB6" s="6" t="str">
        <f>IF(eth_OFF!AB6, (eth_ON!AB6+500-eth_ON!AB$64) - (eth_OFF!AB6+500-eth_OFF!AB$64) - AVERAGE(AB$62:AB$63), "")</f>
        <v/>
      </c>
      <c r="AC6" s="6" t="str">
        <f>IF(eth_OFF!AC6, (eth_ON!AC6+500-eth_ON!AC$64) - (eth_OFF!AC6+500-eth_OFF!AC$64) - AVERAGE(AC$62:AC$63), "")</f>
        <v/>
      </c>
      <c r="AD6" s="6" t="str">
        <f>IF(eth_OFF!AD6, (eth_ON!AD6+500-eth_ON!AD$64) - (eth_OFF!AD6+500-eth_OFF!AD$64) - AVERAGE(AD$62:AD$63), "")</f>
        <v/>
      </c>
      <c r="AE6" s="6" t="str">
        <f>IF(eth_OFF!AE6, (eth_ON!AE6+500-eth_ON!AE$64) - (eth_OFF!AE6+500-eth_OFF!AE$64) - AVERAGE(AE$62:AE$63), "")</f>
        <v/>
      </c>
      <c r="AF6" s="6" t="str">
        <f>IF(eth_OFF!AF6, (eth_ON!AF6+500-eth_ON!AF$64) - (eth_OFF!AF6+500-eth_OFF!AF$64) - AVERAGE(AF$62:AF$63), "")</f>
        <v/>
      </c>
      <c r="AG6" s="7" t="str">
        <f>IF(eth_OFF!AG6, (eth_ON!AG6+500-eth_ON!AG$64) - (eth_OFF!AG6+500-eth_OFF!AG$64) - AVERAGE(AG$62:AG$63), "")</f>
        <v/>
      </c>
      <c r="AH6" s="7" t="str">
        <f>IF(eth_OFF!AH6, (eth_ON!AH6+500-eth_ON!AH$64) - (eth_OFF!AH6+500-eth_OFF!AH$64) - AVERAGE(AH$62:AH$63), "")</f>
        <v/>
      </c>
      <c r="AI6" s="7" t="str">
        <f>IF(eth_OFF!AI6, (eth_ON!AI6+500-eth_ON!AI$64) - (eth_OFF!AI6+500-eth_OFF!AI$64) - AVERAGE(AI$62:AI$63), "")</f>
        <v/>
      </c>
      <c r="AJ6" s="7" t="str">
        <f>IF(eth_OFF!AJ6, (eth_ON!AJ6+500-eth_ON!AJ$64) - (eth_OFF!AJ6+500-eth_OFF!AJ$64) - AVERAGE(AJ$62:AJ$63), "")</f>
        <v/>
      </c>
      <c r="AK6" s="15" t="str">
        <f>IF(eth_OFF!AK6, (eth_ON!AK6+500-eth_ON!AK$64) - (eth_OFF!AK6+500-eth_OFF!AK$64) - AVERAGE(AK$62:AK$63), "")</f>
        <v/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</row>
    <row r="7" spans="1:65">
      <c r="A7" s="1">
        <v>6</v>
      </c>
      <c r="B7" s="36">
        <f>eth_ON!B7 - eth_OFF!B7 - AVERAGE(B$62:B$63)</f>
        <v>2.6999999999999886</v>
      </c>
      <c r="C7" s="36">
        <f>eth_ON!C7 - eth_OFF!C7 - AVERAGE(C$62:C$63)</f>
        <v>3.5500000000000114</v>
      </c>
      <c r="D7" s="36">
        <f>eth_ON!D7 - eth_OFF!D7 - AVERAGE(D$62:D$63)</f>
        <v>4.3000000000000682</v>
      </c>
      <c r="E7" s="36">
        <f>eth_ON!E7 - eth_OFF!E7 - AVERAGE(E$62:E$63)</f>
        <v>4.6500000000000057</v>
      </c>
      <c r="F7" s="36">
        <f>eth_ON!F7 - eth_OFF!F7 - AVERAGE(F$62:F$63)</f>
        <v>2.0999999999999943</v>
      </c>
      <c r="G7" s="36">
        <f>eth_ON!G7 - eth_OFF!G7 - AVERAGE(G$62:G$63)</f>
        <v>3.2000000000000171</v>
      </c>
      <c r="H7" s="36">
        <f>eth_ON!H7 - eth_OFF!H7 - AVERAGE(H$62:H$63)</f>
        <v>3.7500000000000284</v>
      </c>
      <c r="I7" s="36">
        <f>eth_ON!I7 - eth_OFF!I7 - AVERAGE(I$62:I$63)</f>
        <v>4.7000000000000455</v>
      </c>
      <c r="J7" s="36">
        <f>eth_ON!J7 - eth_OFF!J7 - AVERAGE(J$62:J$63)</f>
        <v>2.4999999999999716</v>
      </c>
      <c r="K7" s="36">
        <f>eth_ON!K7 - eth_OFF!K7 - AVERAGE(K$62:K$63)</f>
        <v>1.6499999999999773</v>
      </c>
      <c r="L7" s="36">
        <f>eth_ON!L7 - eth_OFF!L7 - AVERAGE(L$62:L$63)</f>
        <v>3.1999999999999886</v>
      </c>
      <c r="M7" s="36">
        <f>eth_ON!M7 - eth_OFF!M7 - AVERAGE(M$62:M$63)</f>
        <v>1.0499999999999829</v>
      </c>
      <c r="N7" s="36">
        <f>eth_ON!N7 - eth_OFF!N7 - AVERAGE(N$62:N$63)</f>
        <v>2.25</v>
      </c>
      <c r="O7" s="36">
        <f>eth_ON!O7 - eth_OFF!O7 - AVERAGE(O$62:O$63)</f>
        <v>0.40000000000006253</v>
      </c>
      <c r="P7" s="36">
        <f>eth_ON!P7 - eth_OFF!P7 - AVERAGE(P$62:P$63)</f>
        <v>1.6999999999999602</v>
      </c>
      <c r="Q7" s="36">
        <f>eth_ON!Q7 - eth_OFF!Q7 - AVERAGE(Q$62:Q$63)</f>
        <v>0.44999999999998863</v>
      </c>
      <c r="R7" s="36">
        <f>eth_ON!R7 - eth_OFF!R7 - AVERAGE(R$62:R$63)</f>
        <v>0.55000000000001137</v>
      </c>
      <c r="S7" s="36">
        <f>eth_ON!S7 - eth_OFF!S7 - AVERAGE(S$62:S$63)</f>
        <v>0.65000000000003411</v>
      </c>
      <c r="T7" s="36">
        <f>eth_ON!T7 - eth_OFF!T7 - AVERAGE(T$62:T$63)</f>
        <v>1.6499999999999773</v>
      </c>
      <c r="U7" s="6" t="str">
        <f>IF(eth_OFF!U7, (eth_ON!U7+500-eth_ON!U$64) - (eth_OFF!U7+500-eth_OFF!U$64) - AVERAGE($B$62:$AK$63), "")</f>
        <v/>
      </c>
      <c r="V7" s="6" t="str">
        <f>IF(eth_OFF!V7, (eth_ON!V7+500-eth_ON!V$64) - (eth_OFF!V7+500-eth_OFF!V$64) - AVERAGE(V$62:V$63), "")</f>
        <v/>
      </c>
      <c r="W7" s="6" t="str">
        <f>IF(eth_OFF!W7, (eth_ON!W7+500-eth_ON!W$64) - (eth_OFF!W7+500-eth_OFF!W$64) - AVERAGE(W$62:W$63), "")</f>
        <v/>
      </c>
      <c r="X7" s="6" t="str">
        <f>IF(eth_OFF!X7, (eth_ON!X7+500-eth_ON!X$64) - (eth_OFF!X7+500-eth_OFF!X$64) - AVERAGE(X$62:X$63), "")</f>
        <v/>
      </c>
      <c r="Y7" s="6" t="str">
        <f>IF(eth_OFF!Y7, (eth_ON!Y7+500-eth_ON!Y$64) - (eth_OFF!Y7+500-eth_OFF!Y$64) - AVERAGE(Y$62:Y$63), "")</f>
        <v/>
      </c>
      <c r="Z7" s="6" t="str">
        <f>IF(eth_OFF!Z7, (eth_ON!Z7+500-eth_ON!Z$64) - (eth_OFF!Z7+500-eth_OFF!Z$64) - AVERAGE(Z$62:Z$63), "")</f>
        <v/>
      </c>
      <c r="AA7" s="6" t="str">
        <f>IF(eth_OFF!AA7, (eth_ON!AA7+500-eth_ON!AA$64) - (eth_OFF!AA7+500-eth_OFF!AA$64) - AVERAGE(AA$62:AA$63), "")</f>
        <v/>
      </c>
      <c r="AB7" s="6" t="str">
        <f>IF(eth_OFF!AB7, (eth_ON!AB7+500-eth_ON!AB$64) - (eth_OFF!AB7+500-eth_OFF!AB$64) - AVERAGE(AB$62:AB$63), "")</f>
        <v/>
      </c>
      <c r="AC7" s="6" t="str">
        <f>IF(eth_OFF!AC7, (eth_ON!AC7+500-eth_ON!AC$64) - (eth_OFF!AC7+500-eth_OFF!AC$64) - AVERAGE(AC$62:AC$63), "")</f>
        <v/>
      </c>
      <c r="AD7" s="6" t="str">
        <f>IF(eth_OFF!AD7, (eth_ON!AD7+500-eth_ON!AD$64) - (eth_OFF!AD7+500-eth_OFF!AD$64) - AVERAGE(AD$62:AD$63), "")</f>
        <v/>
      </c>
      <c r="AE7" s="6" t="str">
        <f>IF(eth_OFF!AE7, (eth_ON!AE7+500-eth_ON!AE$64) - (eth_OFF!AE7+500-eth_OFF!AE$64) - AVERAGE(AE$62:AE$63), "")</f>
        <v/>
      </c>
      <c r="AF7" s="6" t="str">
        <f>IF(eth_OFF!AF7, (eth_ON!AF7+500-eth_ON!AF$64) - (eth_OFF!AF7+500-eth_OFF!AF$64) - AVERAGE(AF$62:AF$63), "")</f>
        <v/>
      </c>
      <c r="AG7" s="7" t="str">
        <f>IF(eth_OFF!AG7, (eth_ON!AG7+500-eth_ON!AG$64) - (eth_OFF!AG7+500-eth_OFF!AG$64) - AVERAGE(AG$62:AG$63), "")</f>
        <v/>
      </c>
      <c r="AH7" s="7" t="str">
        <f>IF(eth_OFF!AH7, (eth_ON!AH7+500-eth_ON!AH$64) - (eth_OFF!AH7+500-eth_OFF!AH$64) - AVERAGE(AH$62:AH$63), "")</f>
        <v/>
      </c>
      <c r="AI7" s="7" t="str">
        <f>IF(eth_OFF!AI7, (eth_ON!AI7+500-eth_ON!AI$64) - (eth_OFF!AI7+500-eth_OFF!AI$64) - AVERAGE(AI$62:AI$63), "")</f>
        <v/>
      </c>
      <c r="AJ7" s="7" t="str">
        <f>IF(eth_OFF!AJ7, (eth_ON!AJ7+500-eth_ON!AJ$64) - (eth_OFF!AJ7+500-eth_OFF!AJ$64) - AVERAGE(AJ$62:AJ$63), "")</f>
        <v/>
      </c>
      <c r="AK7" s="15" t="str">
        <f>IF(eth_OFF!AK7, (eth_ON!AK7+500-eth_ON!AK$64) - (eth_OFF!AK7+500-eth_OFF!AK$64) - AVERAGE(AK$62:AK$63), "")</f>
        <v/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1:65">
      <c r="A8" s="1">
        <v>7</v>
      </c>
      <c r="B8" s="36">
        <f>eth_ON!B8 - eth_OFF!B8 - AVERAGE(B$62:B$63)</f>
        <v>3.0999999999999659</v>
      </c>
      <c r="C8" s="36">
        <f>eth_ON!C8 - eth_OFF!C8 - AVERAGE(C$62:C$63)</f>
        <v>1.1499999999999773</v>
      </c>
      <c r="D8" s="36">
        <f>eth_ON!D8 - eth_OFF!D8 - AVERAGE(D$62:D$63)</f>
        <v>2.4000000000000341</v>
      </c>
      <c r="E8" s="36">
        <f>eth_ON!E8 - eth_OFF!E8 - AVERAGE(E$62:E$63)</f>
        <v>2.3499999999999943</v>
      </c>
      <c r="F8" s="36">
        <f>eth_ON!F8 - eth_OFF!F8 - AVERAGE(F$62:F$63)</f>
        <v>1.5999999999999943</v>
      </c>
      <c r="G8" s="36">
        <f>eth_ON!G8 - eth_OFF!G8 - AVERAGE(G$62:G$63)</f>
        <v>1.4000000000000057</v>
      </c>
      <c r="H8" s="36">
        <f>eth_ON!H8 - eth_OFF!H8 - AVERAGE(H$62:H$63)</f>
        <v>3.9500000000000171</v>
      </c>
      <c r="I8" s="36">
        <f>eth_ON!I8 - eth_OFF!I8 - AVERAGE(I$62:I$63)</f>
        <v>3.2000000000000455</v>
      </c>
      <c r="J8" s="36">
        <f>eth_ON!J8 - eth_OFF!J8 - AVERAGE(J$62:J$63)</f>
        <v>3.4000000000000057</v>
      </c>
      <c r="K8" s="36">
        <f>eth_ON!K8 - eth_OFF!K8 - AVERAGE(K$62:K$63)</f>
        <v>1.4499999999999886</v>
      </c>
      <c r="L8" s="36">
        <f>eth_ON!L8 - eth_OFF!L8 - AVERAGE(L$62:L$63)</f>
        <v>3.2999999999999545</v>
      </c>
      <c r="M8" s="36">
        <f>eth_ON!M8 - eth_OFF!M8 - AVERAGE(M$62:M$63)</f>
        <v>2.4500000000000171</v>
      </c>
      <c r="N8" s="36">
        <f>eth_ON!N8 - eth_OFF!N8 - AVERAGE(N$62:N$63)</f>
        <v>1.5499999999999545</v>
      </c>
      <c r="O8" s="36">
        <f>eth_ON!O8 - eth_OFF!O8 - AVERAGE(O$62:O$63)</f>
        <v>1.0000000000000284</v>
      </c>
      <c r="P8" s="36">
        <f>eth_ON!P8 - eth_OFF!P8 - AVERAGE(P$62:P$63)</f>
        <v>2.3999999999999488</v>
      </c>
      <c r="Q8" s="36">
        <f>eth_ON!Q8 - eth_OFF!Q8 - AVERAGE(Q$62:Q$63)</f>
        <v>0.94999999999998863</v>
      </c>
      <c r="R8" s="36">
        <f>eth_ON!R8 - eth_OFF!R8 - AVERAGE(R$62:R$63)</f>
        <v>1.5500000000000114</v>
      </c>
      <c r="S8" s="36">
        <f>eth_ON!S8 - eth_OFF!S8 - AVERAGE(S$62:S$63)</f>
        <v>1.75</v>
      </c>
      <c r="T8" s="36">
        <f>eth_ON!T8 - eth_OFF!T8 - AVERAGE(T$62:T$63)</f>
        <v>2.4499999999999886</v>
      </c>
      <c r="U8" s="6" t="str">
        <f>IF(eth_OFF!U8, (eth_ON!U8+500-eth_ON!U$64) - (eth_OFF!U8+500-eth_OFF!U$64) - AVERAGE($B$62:$AK$63), "")</f>
        <v/>
      </c>
      <c r="V8" s="6" t="str">
        <f>IF(eth_OFF!V8, (eth_ON!V8+500-eth_ON!V$64) - (eth_OFF!V8+500-eth_OFF!V$64) - AVERAGE(V$62:V$63), "")</f>
        <v/>
      </c>
      <c r="W8" s="6" t="str">
        <f>IF(eth_OFF!W8, (eth_ON!W8+500-eth_ON!W$64) - (eth_OFF!W8+500-eth_OFF!W$64) - AVERAGE(W$62:W$63), "")</f>
        <v/>
      </c>
      <c r="X8" s="6" t="str">
        <f>IF(eth_OFF!X8, (eth_ON!X8+500-eth_ON!X$64) - (eth_OFF!X8+500-eth_OFF!X$64) - AVERAGE(X$62:X$63), "")</f>
        <v/>
      </c>
      <c r="Y8" s="6" t="str">
        <f>IF(eth_OFF!Y8, (eth_ON!Y8+500-eth_ON!Y$64) - (eth_OFF!Y8+500-eth_OFF!Y$64) - AVERAGE(Y$62:Y$63), "")</f>
        <v/>
      </c>
      <c r="Z8" s="6" t="str">
        <f>IF(eth_OFF!Z8, (eth_ON!Z8+500-eth_ON!Z$64) - (eth_OFF!Z8+500-eth_OFF!Z$64) - AVERAGE(Z$62:Z$63), "")</f>
        <v/>
      </c>
      <c r="AA8" s="6" t="str">
        <f>IF(eth_OFF!AA8, (eth_ON!AA8+500-eth_ON!AA$64) - (eth_OFF!AA8+500-eth_OFF!AA$64) - AVERAGE(AA$62:AA$63), "")</f>
        <v/>
      </c>
      <c r="AB8" s="6" t="str">
        <f>IF(eth_OFF!AB8, (eth_ON!AB8+500-eth_ON!AB$64) - (eth_OFF!AB8+500-eth_OFF!AB$64) - AVERAGE(AB$62:AB$63), "")</f>
        <v/>
      </c>
      <c r="AC8" s="6" t="str">
        <f>IF(eth_OFF!AC8, (eth_ON!AC8+500-eth_ON!AC$64) - (eth_OFF!AC8+500-eth_OFF!AC$64) - AVERAGE(AC$62:AC$63), "")</f>
        <v/>
      </c>
      <c r="AD8" s="6" t="str">
        <f>IF(eth_OFF!AD8, (eth_ON!AD8+500-eth_ON!AD$64) - (eth_OFF!AD8+500-eth_OFF!AD$64) - AVERAGE(AD$62:AD$63), "")</f>
        <v/>
      </c>
      <c r="AE8" s="6" t="str">
        <f>IF(eth_OFF!AE8, (eth_ON!AE8+500-eth_ON!AE$64) - (eth_OFF!AE8+500-eth_OFF!AE$64) - AVERAGE(AE$62:AE$63), "")</f>
        <v/>
      </c>
      <c r="AF8" s="6" t="str">
        <f>IF(eth_OFF!AF8, (eth_ON!AF8+500-eth_ON!AF$64) - (eth_OFF!AF8+500-eth_OFF!AF$64) - AVERAGE(AF$62:AF$63), "")</f>
        <v/>
      </c>
      <c r="AG8" s="7" t="str">
        <f>IF(eth_OFF!AG8, (eth_ON!AG8+500-eth_ON!AG$64) - (eth_OFF!AG8+500-eth_OFF!AG$64) - AVERAGE(AG$62:AG$63), "")</f>
        <v/>
      </c>
      <c r="AH8" s="7" t="str">
        <f>IF(eth_OFF!AH8, (eth_ON!AH8+500-eth_ON!AH$64) - (eth_OFF!AH8+500-eth_OFF!AH$64) - AVERAGE(AH$62:AH$63), "")</f>
        <v/>
      </c>
      <c r="AI8" s="7" t="str">
        <f>IF(eth_OFF!AI8, (eth_ON!AI8+500-eth_ON!AI$64) - (eth_OFF!AI8+500-eth_OFF!AI$64) - AVERAGE(AI$62:AI$63), "")</f>
        <v/>
      </c>
      <c r="AJ8" s="7" t="str">
        <f>IF(eth_OFF!AJ8, (eth_ON!AJ8+500-eth_ON!AJ$64) - (eth_OFF!AJ8+500-eth_OFF!AJ$64) - AVERAGE(AJ$62:AJ$63), "")</f>
        <v/>
      </c>
      <c r="AK8" s="15" t="str">
        <f>IF(eth_OFF!AK8, (eth_ON!AK8+500-eth_ON!AK$64) - (eth_OFF!AK8+500-eth_OFF!AK$64) - AVERAGE(AK$62:AK$63), "")</f>
        <v/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5">
      <c r="A9" s="1">
        <v>8</v>
      </c>
      <c r="B9" s="36">
        <f>eth_ON!B9 - eth_OFF!B9 - AVERAGE(B$62:B$63)</f>
        <v>1.8999999999999773</v>
      </c>
      <c r="C9" s="36">
        <f>eth_ON!C9 - eth_OFF!C9 - AVERAGE(C$62:C$63)</f>
        <v>2.6500000000000341</v>
      </c>
      <c r="D9" s="36">
        <f>eth_ON!D9 - eth_OFF!D9 - AVERAGE(D$62:D$63)</f>
        <v>3.6999999999999886</v>
      </c>
      <c r="E9" s="36">
        <f>eth_ON!E9 - eth_OFF!E9 - AVERAGE(E$62:E$63)</f>
        <v>3.1499999999999488</v>
      </c>
      <c r="F9" s="36">
        <f>eth_ON!F9 - eth_OFF!F9 - AVERAGE(F$62:F$63)</f>
        <v>3.2999999999999829</v>
      </c>
      <c r="G9" s="36">
        <f>eth_ON!G9 - eth_OFF!G9 - AVERAGE(G$62:G$63)</f>
        <v>1.9000000000000057</v>
      </c>
      <c r="H9" s="36">
        <f>eth_ON!H9 - eth_OFF!H9 - AVERAGE(H$62:H$63)</f>
        <v>3.7500000000000284</v>
      </c>
      <c r="I9" s="36">
        <f>eth_ON!I9 - eth_OFF!I9 - AVERAGE(I$62:I$63)</f>
        <v>3.5000000000000568</v>
      </c>
      <c r="J9" s="36">
        <f>eth_ON!J9 - eth_OFF!J9 - AVERAGE(J$62:J$63)</f>
        <v>3.1999999999999602</v>
      </c>
      <c r="K9" s="36">
        <f>eth_ON!K9 - eth_OFF!K9 - AVERAGE(K$62:K$63)</f>
        <v>4.4499999999999886</v>
      </c>
      <c r="L9" s="36">
        <f>eth_ON!L9 - eth_OFF!L9 - AVERAGE(L$62:L$63)</f>
        <v>4.7999999999999545</v>
      </c>
      <c r="M9" s="36">
        <f>eth_ON!M9 - eth_OFF!M9 - AVERAGE(M$62:M$63)</f>
        <v>5.4499999999999602</v>
      </c>
      <c r="N9" s="36">
        <f>eth_ON!N9 - eth_OFF!N9 - AVERAGE(N$62:N$63)</f>
        <v>4.5499999999999545</v>
      </c>
      <c r="O9" s="36">
        <f>eth_ON!O9 - eth_OFF!O9 - AVERAGE(O$62:O$63)</f>
        <v>3.9000000000000625</v>
      </c>
      <c r="P9" s="36">
        <f>eth_ON!P9 - eth_OFF!P9 - AVERAGE(P$62:P$63)</f>
        <v>2.3999999999999488</v>
      </c>
      <c r="Q9" s="36">
        <f>eth_ON!Q9 - eth_OFF!Q9 - AVERAGE(Q$62:Q$63)</f>
        <v>2.9499999999999886</v>
      </c>
      <c r="R9" s="36">
        <f>eth_ON!R9 - eth_OFF!R9 - AVERAGE(R$62:R$63)</f>
        <v>3.3500000000000227</v>
      </c>
      <c r="S9" s="36">
        <f>eth_ON!S9 - eth_OFF!S9 - AVERAGE(S$62:S$63)</f>
        <v>2.3500000000000227</v>
      </c>
      <c r="T9" s="36">
        <f>eth_ON!T9 - eth_OFF!T9 - AVERAGE(T$62:T$63)</f>
        <v>2.3499999999999659</v>
      </c>
      <c r="U9" s="6" t="str">
        <f>IF(eth_OFF!U9, (eth_ON!U9+500-eth_ON!U$64) - (eth_OFF!U9+500-eth_OFF!U$64) - AVERAGE($B$62:$AK$63), "")</f>
        <v/>
      </c>
      <c r="V9" s="6" t="str">
        <f>IF(eth_OFF!V9, (eth_ON!V9+500-eth_ON!V$64) - (eth_OFF!V9+500-eth_OFF!V$64) - AVERAGE(V$62:V$63), "")</f>
        <v/>
      </c>
      <c r="W9" s="6" t="str">
        <f>IF(eth_OFF!W9, (eth_ON!W9+500-eth_ON!W$64) - (eth_OFF!W9+500-eth_OFF!W$64) - AVERAGE(W$62:W$63), "")</f>
        <v/>
      </c>
      <c r="X9" s="6" t="str">
        <f>IF(eth_OFF!X9, (eth_ON!X9+500-eth_ON!X$64) - (eth_OFF!X9+500-eth_OFF!X$64) - AVERAGE(X$62:X$63), "")</f>
        <v/>
      </c>
      <c r="Y9" s="6" t="str">
        <f>IF(eth_OFF!Y9, (eth_ON!Y9+500-eth_ON!Y$64) - (eth_OFF!Y9+500-eth_OFF!Y$64) - AVERAGE(Y$62:Y$63), "")</f>
        <v/>
      </c>
      <c r="Z9" s="6" t="str">
        <f>IF(eth_OFF!Z9, (eth_ON!Z9+500-eth_ON!Z$64) - (eth_OFF!Z9+500-eth_OFF!Z$64) - AVERAGE(Z$62:Z$63), "")</f>
        <v/>
      </c>
      <c r="AA9" s="6" t="str">
        <f>IF(eth_OFF!AA9, (eth_ON!AA9+500-eth_ON!AA$64) - (eth_OFF!AA9+500-eth_OFF!AA$64) - AVERAGE(AA$62:AA$63), "")</f>
        <v/>
      </c>
      <c r="AB9" s="6" t="str">
        <f>IF(eth_OFF!AB9, (eth_ON!AB9+500-eth_ON!AB$64) - (eth_OFF!AB9+500-eth_OFF!AB$64) - AVERAGE(AB$62:AB$63), "")</f>
        <v/>
      </c>
      <c r="AC9" s="6" t="str">
        <f>IF(eth_OFF!AC9, (eth_ON!AC9+500-eth_ON!AC$64) - (eth_OFF!AC9+500-eth_OFF!AC$64) - AVERAGE(AC$62:AC$63), "")</f>
        <v/>
      </c>
      <c r="AD9" s="6" t="str">
        <f>IF(eth_OFF!AD9, (eth_ON!AD9+500-eth_ON!AD$64) - (eth_OFF!AD9+500-eth_OFF!AD$64) - AVERAGE(AD$62:AD$63), "")</f>
        <v/>
      </c>
      <c r="AE9" s="6" t="str">
        <f>IF(eth_OFF!AE9, (eth_ON!AE9+500-eth_ON!AE$64) - (eth_OFF!AE9+500-eth_OFF!AE$64) - AVERAGE(AE$62:AE$63), "")</f>
        <v/>
      </c>
      <c r="AF9" s="6" t="str">
        <f>IF(eth_OFF!AF9, (eth_ON!AF9+500-eth_ON!AF$64) - (eth_OFF!AF9+500-eth_OFF!AF$64) - AVERAGE(AF$62:AF$63), "")</f>
        <v/>
      </c>
      <c r="AG9" s="7" t="str">
        <f>IF(eth_OFF!AG9, (eth_ON!AG9+500-eth_ON!AG$64) - (eth_OFF!AG9+500-eth_OFF!AG$64) - AVERAGE(AG$62:AG$63), "")</f>
        <v/>
      </c>
      <c r="AH9" s="7" t="str">
        <f>IF(eth_OFF!AH9, (eth_ON!AH9+500-eth_ON!AH$64) - (eth_OFF!AH9+500-eth_OFF!AH$64) - AVERAGE(AH$62:AH$63), "")</f>
        <v/>
      </c>
      <c r="AI9" s="7" t="str">
        <f>IF(eth_OFF!AI9, (eth_ON!AI9+500-eth_ON!AI$64) - (eth_OFF!AI9+500-eth_OFF!AI$64) - AVERAGE(AI$62:AI$63), "")</f>
        <v/>
      </c>
      <c r="AJ9" s="7" t="str">
        <f>IF(eth_OFF!AJ9, (eth_ON!AJ9+500-eth_ON!AJ$64) - (eth_OFF!AJ9+500-eth_OFF!AJ$64) - AVERAGE(AJ$62:AJ$63), "")</f>
        <v/>
      </c>
      <c r="AK9" s="15" t="str">
        <f>IF(eth_OFF!AK9, (eth_ON!AK9+500-eth_ON!AK$64) - (eth_OFF!AK9+500-eth_OFF!AK$64) - AVERAGE(AK$62:AK$63), "")</f>
        <v/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5">
      <c r="A10" s="1">
        <v>9</v>
      </c>
      <c r="B10" s="36">
        <f>eth_ON!B10 - eth_OFF!B10 - AVERAGE(B$62:B$63)</f>
        <v>0.19999999999993179</v>
      </c>
      <c r="C10" s="36">
        <f>eth_ON!C10 - eth_OFF!C10 - AVERAGE(C$62:C$63)</f>
        <v>-5.0000000000011369E-2</v>
      </c>
      <c r="D10" s="36">
        <f>eth_ON!D10 - eth_OFF!D10 - AVERAGE(D$62:D$63)</f>
        <v>0.10000000000002274</v>
      </c>
      <c r="E10" s="36">
        <f>eth_ON!E10 - eth_OFF!E10 - AVERAGE(E$62:E$63)</f>
        <v>-5.000000000003979E-2</v>
      </c>
      <c r="F10" s="36">
        <f>eth_ON!F10 - eth_OFF!F10 - AVERAGE(F$62:F$63)</f>
        <v>0.60000000000005116</v>
      </c>
      <c r="G10" s="36">
        <f>eth_ON!G10 - eth_OFF!G10 - AVERAGE(G$62:G$63)</f>
        <v>0.30000000000003979</v>
      </c>
      <c r="H10" s="36">
        <f>eth_ON!H10 - eth_OFF!H10 - AVERAGE(H$62:H$63)</f>
        <v>5.000000000003979E-2</v>
      </c>
      <c r="I10" s="36">
        <f>eth_ON!I10 - eth_OFF!I10 - AVERAGE(I$62:I$63)</f>
        <v>0.20000000000004547</v>
      </c>
      <c r="J10" s="36">
        <f>eth_ON!J10 - eth_OFF!J10 - AVERAGE(J$62:J$63)</f>
        <v>0.19999999999996021</v>
      </c>
      <c r="K10" s="36">
        <f>eth_ON!K10 - eth_OFF!K10 - AVERAGE(K$62:K$63)</f>
        <v>0.15000000000003411</v>
      </c>
      <c r="L10" s="36">
        <f>eth_ON!L10 - eth_OFF!L10 - AVERAGE(L$62:L$63)</f>
        <v>0.39999999999997726</v>
      </c>
      <c r="M10" s="36">
        <f>eth_ON!M10 - eth_OFF!M10 - AVERAGE(M$62:M$63)</f>
        <v>-0.25000000000002842</v>
      </c>
      <c r="N10" s="36">
        <f>eth_ON!N10 - eth_OFF!N10 - AVERAGE(N$62:N$63)</f>
        <v>0.24999999999994316</v>
      </c>
      <c r="O10" s="36">
        <f>eth_ON!O10 - eth_OFF!O10 - AVERAGE(O$62:O$63)</f>
        <v>-2.8421709430404007E-14</v>
      </c>
      <c r="P10" s="36">
        <f>eth_ON!P10 - eth_OFF!P10 - AVERAGE(P$62:P$63)</f>
        <v>0.29999999999998295</v>
      </c>
      <c r="Q10" s="36">
        <f>eth_ON!Q10 - eth_OFF!Q10 - AVERAGE(Q$62:Q$63)</f>
        <v>5.0000000000011369E-2</v>
      </c>
      <c r="R10" s="36">
        <f>eth_ON!R10 - eth_OFF!R10 - AVERAGE(R$62:R$63)</f>
        <v>-5.0000000000011369E-2</v>
      </c>
      <c r="S10" s="36">
        <f>eth_ON!S10 - eth_OFF!S10 - AVERAGE(S$62:S$63)</f>
        <v>5.0000000000011369E-2</v>
      </c>
      <c r="T10" s="36">
        <f>eth_ON!T10 - eth_OFF!T10 - AVERAGE(T$62:T$63)</f>
        <v>0.34999999999996589</v>
      </c>
      <c r="U10" s="6" t="str">
        <f>IF(eth_OFF!U10, (eth_ON!U10+500-eth_ON!U$64) - (eth_OFF!U10+500-eth_OFF!U$64) - AVERAGE($B$62:$AK$63), "")</f>
        <v/>
      </c>
      <c r="V10" s="6" t="str">
        <f>IF(eth_OFF!V10, (eth_ON!V10+500-eth_ON!V$64) - (eth_OFF!V10+500-eth_OFF!V$64) - AVERAGE(V$62:V$63), "")</f>
        <v/>
      </c>
      <c r="W10" s="6" t="str">
        <f>IF(eth_OFF!W10, (eth_ON!W10+500-eth_ON!W$64) - (eth_OFF!W10+500-eth_OFF!W$64) - AVERAGE(W$62:W$63), "")</f>
        <v/>
      </c>
      <c r="X10" s="6" t="str">
        <f>IF(eth_OFF!X10, (eth_ON!X10+500-eth_ON!X$64) - (eth_OFF!X10+500-eth_OFF!X$64) - AVERAGE(X$62:X$63), "")</f>
        <v/>
      </c>
      <c r="Y10" s="6" t="str">
        <f>IF(eth_OFF!Y10, (eth_ON!Y10+500-eth_ON!Y$64) - (eth_OFF!Y10+500-eth_OFF!Y$64) - AVERAGE(Y$62:Y$63), "")</f>
        <v/>
      </c>
      <c r="Z10" s="6" t="str">
        <f>IF(eth_OFF!Z10, (eth_ON!Z10+500-eth_ON!Z$64) - (eth_OFF!Z10+500-eth_OFF!Z$64) - AVERAGE(Z$62:Z$63), "")</f>
        <v/>
      </c>
      <c r="AA10" s="6" t="str">
        <f>IF(eth_OFF!AA10, (eth_ON!AA10+500-eth_ON!AA$64) - (eth_OFF!AA10+500-eth_OFF!AA$64) - AVERAGE(AA$62:AA$63), "")</f>
        <v/>
      </c>
      <c r="AB10" s="6" t="str">
        <f>IF(eth_OFF!AB10, (eth_ON!AB10+500-eth_ON!AB$64) - (eth_OFF!AB10+500-eth_OFF!AB$64) - AVERAGE(AB$62:AB$63), "")</f>
        <v/>
      </c>
      <c r="AC10" s="6" t="str">
        <f>IF(eth_OFF!AC10, (eth_ON!AC10+500-eth_ON!AC$64) - (eth_OFF!AC10+500-eth_OFF!AC$64) - AVERAGE(AC$62:AC$63), "")</f>
        <v/>
      </c>
      <c r="AD10" s="6" t="str">
        <f>IF(eth_OFF!AD10, (eth_ON!AD10+500-eth_ON!AD$64) - (eth_OFF!AD10+500-eth_OFF!AD$64) - AVERAGE(AD$62:AD$63), "")</f>
        <v/>
      </c>
      <c r="AE10" s="6" t="str">
        <f>IF(eth_OFF!AE10, (eth_ON!AE10+500-eth_ON!AE$64) - (eth_OFF!AE10+500-eth_OFF!AE$64) - AVERAGE(AE$62:AE$63), "")</f>
        <v/>
      </c>
      <c r="AF10" s="6" t="str">
        <f>IF(eth_OFF!AF10, (eth_ON!AF10+500-eth_ON!AF$64) - (eth_OFF!AF10+500-eth_OFF!AF$64) - AVERAGE(AF$62:AF$63), "")</f>
        <v/>
      </c>
      <c r="AG10" s="7" t="str">
        <f>IF(eth_OFF!AG10, (eth_ON!AG10+500-eth_ON!AG$64) - (eth_OFF!AG10+500-eth_OFF!AG$64) - AVERAGE(AG$62:AG$63), "")</f>
        <v/>
      </c>
      <c r="AH10" s="7" t="str">
        <f>IF(eth_OFF!AH10, (eth_ON!AH10+500-eth_ON!AH$64) - (eth_OFF!AH10+500-eth_OFF!AH$64) - AVERAGE(AH$62:AH$63), "")</f>
        <v/>
      </c>
      <c r="AI10" s="7" t="str">
        <f>IF(eth_OFF!AI10, (eth_ON!AI10+500-eth_ON!AI$64) - (eth_OFF!AI10+500-eth_OFF!AI$64) - AVERAGE(AI$62:AI$63), "")</f>
        <v/>
      </c>
      <c r="AJ10" s="7" t="str">
        <f>IF(eth_OFF!AJ10, (eth_ON!AJ10+500-eth_ON!AJ$64) - (eth_OFF!AJ10+500-eth_OFF!AJ$64) - AVERAGE(AJ$62:AJ$63), "")</f>
        <v/>
      </c>
      <c r="AK10" s="15" t="str">
        <f>IF(eth_OFF!AK10, (eth_ON!AK10+500-eth_ON!AK$64) - (eth_OFF!AK10+500-eth_OFF!AK$64) - AVERAGE(AK$62:AK$63), "")</f>
        <v/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1:65">
      <c r="A11" s="1">
        <v>10</v>
      </c>
      <c r="B11" s="36">
        <f>eth_ON!B11 - eth_OFF!B11 - AVERAGE(B$62:B$63)</f>
        <v>-5.6843418860808015E-14</v>
      </c>
      <c r="C11" s="36">
        <f>eth_ON!C11 - eth_OFF!C11 - AVERAGE(C$62:C$63)</f>
        <v>-5.0000000000011369E-2</v>
      </c>
      <c r="D11" s="36">
        <f>eth_ON!D11 - eth_OFF!D11 - AVERAGE(D$62:D$63)</f>
        <v>0.5</v>
      </c>
      <c r="E11" s="36">
        <f>eth_ON!E11 - eth_OFF!E11 - AVERAGE(E$62:E$63)</f>
        <v>0.45000000000001705</v>
      </c>
      <c r="F11" s="36">
        <f>eth_ON!F11 - eth_OFF!F11 - AVERAGE(F$62:F$63)</f>
        <v>9.9999999999994316E-2</v>
      </c>
      <c r="G11" s="36">
        <f>eth_ON!G11 - eth_OFF!G11 - AVERAGE(G$62:G$63)</f>
        <v>0.20000000000001705</v>
      </c>
      <c r="H11" s="36">
        <f>eth_ON!H11 - eth_OFF!H11 - AVERAGE(H$62:H$63)</f>
        <v>0.35000000000005116</v>
      </c>
      <c r="I11" s="36">
        <f>eth_ON!I11 - eth_OFF!I11 - AVERAGE(I$62:I$63)</f>
        <v>0.50000000000005684</v>
      </c>
      <c r="J11" s="36">
        <f>eth_ON!J11 - eth_OFF!J11 - AVERAGE(J$62:J$63)</f>
        <v>0.20000000000001705</v>
      </c>
      <c r="K11" s="36">
        <f>eth_ON!K11 - eth_OFF!K11 - AVERAGE(K$62:K$63)</f>
        <v>0.15000000000003411</v>
      </c>
      <c r="L11" s="36">
        <f>eth_ON!L11 - eth_OFF!L11 - AVERAGE(L$62:L$63)</f>
        <v>0.29999999999995453</v>
      </c>
      <c r="M11" s="36">
        <f>eth_ON!M11 - eth_OFF!M11 - AVERAGE(M$62:M$63)</f>
        <v>-0.34999999999999432</v>
      </c>
      <c r="N11" s="36">
        <f>eth_ON!N11 - eth_OFF!N11 - AVERAGE(N$62:N$63)</f>
        <v>0.34999999999996589</v>
      </c>
      <c r="O11" s="36">
        <f>eth_ON!O11 - eth_OFF!O11 - AVERAGE(O$62:O$63)</f>
        <v>-2.8421709430404007E-14</v>
      </c>
      <c r="P11" s="36">
        <f>eth_ON!P11 - eth_OFF!P11 - AVERAGE(P$62:P$63)</f>
        <v>0.59999999999999432</v>
      </c>
      <c r="Q11" s="36">
        <f>eth_ON!Q11 - eth_OFF!Q11 - AVERAGE(Q$62:Q$63)</f>
        <v>0.14999999999997726</v>
      </c>
      <c r="R11" s="36">
        <f>eth_ON!R11 - eth_OFF!R11 - AVERAGE(R$62:R$63)</f>
        <v>4.9999999999954525E-2</v>
      </c>
      <c r="S11" s="36">
        <f>eth_ON!S11 - eth_OFF!S11 - AVERAGE(S$62:S$63)</f>
        <v>0.14999999999997726</v>
      </c>
      <c r="T11" s="36">
        <f>eth_ON!T11 - eth_OFF!T11 - AVERAGE(T$62:T$63)</f>
        <v>0.55000000000001137</v>
      </c>
      <c r="U11" s="6" t="str">
        <f>IF(eth_OFF!U11, (eth_ON!U11+500-eth_ON!U$64) - (eth_OFF!U11+500-eth_OFF!U$64) - AVERAGE($B$62:$AK$63), "")</f>
        <v/>
      </c>
      <c r="V11" s="6" t="str">
        <f>IF(eth_OFF!V11, (eth_ON!V11+500-eth_ON!V$64) - (eth_OFF!V11+500-eth_OFF!V$64) - AVERAGE(V$62:V$63), "")</f>
        <v/>
      </c>
      <c r="W11" s="6" t="str">
        <f>IF(eth_OFF!W11, (eth_ON!W11+500-eth_ON!W$64) - (eth_OFF!W11+500-eth_OFF!W$64) - AVERAGE(W$62:W$63), "")</f>
        <v/>
      </c>
      <c r="X11" s="6" t="str">
        <f>IF(eth_OFF!X11, (eth_ON!X11+500-eth_ON!X$64) - (eth_OFF!X11+500-eth_OFF!X$64) - AVERAGE(X$62:X$63), "")</f>
        <v/>
      </c>
      <c r="Y11" s="6" t="str">
        <f>IF(eth_OFF!Y11, (eth_ON!Y11+500-eth_ON!Y$64) - (eth_OFF!Y11+500-eth_OFF!Y$64) - AVERAGE(Y$62:Y$63), "")</f>
        <v/>
      </c>
      <c r="Z11" s="6" t="str">
        <f>IF(eth_OFF!Z11, (eth_ON!Z11+500-eth_ON!Z$64) - (eth_OFF!Z11+500-eth_OFF!Z$64) - AVERAGE(Z$62:Z$63), "")</f>
        <v/>
      </c>
      <c r="AA11" s="6" t="str">
        <f>IF(eth_OFF!AA11, (eth_ON!AA11+500-eth_ON!AA$64) - (eth_OFF!AA11+500-eth_OFF!AA$64) - AVERAGE(AA$62:AA$63), "")</f>
        <v/>
      </c>
      <c r="AB11" s="6" t="str">
        <f>IF(eth_OFF!AB11, (eth_ON!AB11+500-eth_ON!AB$64) - (eth_OFF!AB11+500-eth_OFF!AB$64) - AVERAGE(AB$62:AB$63), "")</f>
        <v/>
      </c>
      <c r="AC11" s="6" t="str">
        <f>IF(eth_OFF!AC11, (eth_ON!AC11+500-eth_ON!AC$64) - (eth_OFF!AC11+500-eth_OFF!AC$64) - AVERAGE(AC$62:AC$63), "")</f>
        <v/>
      </c>
      <c r="AD11" s="6" t="str">
        <f>IF(eth_OFF!AD11, (eth_ON!AD11+500-eth_ON!AD$64) - (eth_OFF!AD11+500-eth_OFF!AD$64) - AVERAGE(AD$62:AD$63), "")</f>
        <v/>
      </c>
      <c r="AE11" s="6" t="str">
        <f>IF(eth_OFF!AE11, (eth_ON!AE11+500-eth_ON!AE$64) - (eth_OFF!AE11+500-eth_OFF!AE$64) - AVERAGE(AE$62:AE$63), "")</f>
        <v/>
      </c>
      <c r="AF11" s="6" t="str">
        <f>IF(eth_OFF!AF11, (eth_ON!AF11+500-eth_ON!AF$64) - (eth_OFF!AF11+500-eth_OFF!AF$64) - AVERAGE(AF$62:AF$63), "")</f>
        <v/>
      </c>
      <c r="AG11" s="7" t="str">
        <f>IF(eth_OFF!AG11, (eth_ON!AG11+500-eth_ON!AG$64) - (eth_OFF!AG11+500-eth_OFF!AG$64) - AVERAGE(AG$62:AG$63), "")</f>
        <v/>
      </c>
      <c r="AH11" s="7" t="str">
        <f>IF(eth_OFF!AH11, (eth_ON!AH11+500-eth_ON!AH$64) - (eth_OFF!AH11+500-eth_OFF!AH$64) - AVERAGE(AH$62:AH$63), "")</f>
        <v/>
      </c>
      <c r="AI11" s="7" t="str">
        <f>IF(eth_OFF!AI11, (eth_ON!AI11+500-eth_ON!AI$64) - (eth_OFF!AI11+500-eth_OFF!AI$64) - AVERAGE(AI$62:AI$63), "")</f>
        <v/>
      </c>
      <c r="AJ11" s="7" t="str">
        <f>IF(eth_OFF!AJ11, (eth_ON!AJ11+500-eth_ON!AJ$64) - (eth_OFF!AJ11+500-eth_OFF!AJ$64) - AVERAGE(AJ$62:AJ$63), "")</f>
        <v/>
      </c>
      <c r="AK11" s="15" t="str">
        <f>IF(eth_OFF!AK11, (eth_ON!AK11+500-eth_ON!AK$64) - (eth_OFF!AK11+500-eth_OFF!AK$64) - AVERAGE(AK$62:AK$63), "")</f>
        <v/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1:65">
      <c r="A12" s="1">
        <v>11</v>
      </c>
      <c r="B12" s="36">
        <f>eth_ON!B12 - eth_OFF!B12 - AVERAGE(B$62:B$63)</f>
        <v>2.7999999999999545</v>
      </c>
      <c r="C12" s="36">
        <f>eth_ON!C12 - eth_OFF!C12 - AVERAGE(C$62:C$63)</f>
        <v>2.5500000000000114</v>
      </c>
      <c r="D12" s="36">
        <f>eth_ON!D12 - eth_OFF!D12 - AVERAGE(D$62:D$63)</f>
        <v>2.9000000000000341</v>
      </c>
      <c r="E12" s="36">
        <f>eth_ON!E12 - eth_OFF!E12 - AVERAGE(E$62:E$63)</f>
        <v>2.2499999999999716</v>
      </c>
      <c r="F12" s="36">
        <f>eth_ON!F12 - eth_OFF!F12 - AVERAGE(F$62:F$63)</f>
        <v>1.8000000000000398</v>
      </c>
      <c r="G12" s="36">
        <f>eth_ON!G12 - eth_OFF!G12 - AVERAGE(G$62:G$63)</f>
        <v>2.7000000000000171</v>
      </c>
      <c r="H12" s="36">
        <f>eth_ON!H12 - eth_OFF!H12 - AVERAGE(H$62:H$63)</f>
        <v>2.0500000000000398</v>
      </c>
      <c r="I12" s="36">
        <f>eth_ON!I12 - eth_OFF!I12 - AVERAGE(I$62:I$63)</f>
        <v>2.6000000000000796</v>
      </c>
      <c r="J12" s="36">
        <f>eth_ON!J12 - eth_OFF!J12 - AVERAGE(J$62:J$63)</f>
        <v>0.99999999999997158</v>
      </c>
      <c r="K12" s="36">
        <f>eth_ON!K12 - eth_OFF!K12 - AVERAGE(K$62:K$63)</f>
        <v>0.25000000000005684</v>
      </c>
      <c r="L12" s="36">
        <f>eth_ON!L12 - eth_OFF!L12 - AVERAGE(L$62:L$63)</f>
        <v>2.3000000000000114</v>
      </c>
      <c r="M12" s="36">
        <f>eth_ON!M12 - eth_OFF!M12 - AVERAGE(M$62:M$63)</f>
        <v>0.34999999999999432</v>
      </c>
      <c r="N12" s="36">
        <f>eth_ON!N12 - eth_OFF!N12 - AVERAGE(N$62:N$63)</f>
        <v>1.5499999999999545</v>
      </c>
      <c r="O12" s="36">
        <f>eth_ON!O12 - eth_OFF!O12 - AVERAGE(O$62:O$63)</f>
        <v>1.1000000000000512</v>
      </c>
      <c r="P12" s="36">
        <f>eth_ON!P12 - eth_OFF!P12 - AVERAGE(P$62:P$63)</f>
        <v>1.9000000000000057</v>
      </c>
      <c r="Q12" s="36">
        <f>eth_ON!Q12 - eth_OFF!Q12 - AVERAGE(Q$62:Q$63)</f>
        <v>0.55000000000001137</v>
      </c>
      <c r="R12" s="36">
        <f>eth_ON!R12 - eth_OFF!R12 - AVERAGE(R$62:R$63)</f>
        <v>0.44999999999998863</v>
      </c>
      <c r="S12" s="36">
        <f>eth_ON!S12 - eth_OFF!S12 - AVERAGE(S$62:S$63)</f>
        <v>1.0500000000000114</v>
      </c>
      <c r="T12" s="36">
        <f>eth_ON!T12 - eth_OFF!T12 - AVERAGE(T$62:T$63)</f>
        <v>0.44999999999998863</v>
      </c>
      <c r="U12" s="6" t="str">
        <f>IF(eth_OFF!U12, (eth_ON!U12+500-eth_ON!U$64) - (eth_OFF!U12+500-eth_OFF!U$64) - AVERAGE($B$62:$AK$63), "")</f>
        <v/>
      </c>
      <c r="V12" s="6" t="str">
        <f>IF(eth_OFF!V12, (eth_ON!V12+500-eth_ON!V$64) - (eth_OFF!V12+500-eth_OFF!V$64) - AVERAGE(V$62:V$63), "")</f>
        <v/>
      </c>
      <c r="W12" s="6" t="str">
        <f>IF(eth_OFF!W12, (eth_ON!W12+500-eth_ON!W$64) - (eth_OFF!W12+500-eth_OFF!W$64) - AVERAGE(W$62:W$63), "")</f>
        <v/>
      </c>
      <c r="X12" s="6" t="str">
        <f>IF(eth_OFF!X12, (eth_ON!X12+500-eth_ON!X$64) - (eth_OFF!X12+500-eth_OFF!X$64) - AVERAGE(X$62:X$63), "")</f>
        <v/>
      </c>
      <c r="Y12" s="6" t="str">
        <f>IF(eth_OFF!Y12, (eth_ON!Y12+500-eth_ON!Y$64) - (eth_OFF!Y12+500-eth_OFF!Y$64) - AVERAGE(Y$62:Y$63), "")</f>
        <v/>
      </c>
      <c r="Z12" s="6" t="str">
        <f>IF(eth_OFF!Z12, (eth_ON!Z12+500-eth_ON!Z$64) - (eth_OFF!Z12+500-eth_OFF!Z$64) - AVERAGE(Z$62:Z$63), "")</f>
        <v/>
      </c>
      <c r="AA12" s="6" t="str">
        <f>IF(eth_OFF!AA12, (eth_ON!AA12+500-eth_ON!AA$64) - (eth_OFF!AA12+500-eth_OFF!AA$64) - AVERAGE(AA$62:AA$63), "")</f>
        <v/>
      </c>
      <c r="AB12" s="6" t="str">
        <f>IF(eth_OFF!AB12, (eth_ON!AB12+500-eth_ON!AB$64) - (eth_OFF!AB12+500-eth_OFF!AB$64) - AVERAGE(AB$62:AB$63), "")</f>
        <v/>
      </c>
      <c r="AC12" s="6" t="str">
        <f>IF(eth_OFF!AC12, (eth_ON!AC12+500-eth_ON!AC$64) - (eth_OFF!AC12+500-eth_OFF!AC$64) - AVERAGE(AC$62:AC$63), "")</f>
        <v/>
      </c>
      <c r="AD12" s="6" t="str">
        <f>IF(eth_OFF!AD12, (eth_ON!AD12+500-eth_ON!AD$64) - (eth_OFF!AD12+500-eth_OFF!AD$64) - AVERAGE(AD$62:AD$63), "")</f>
        <v/>
      </c>
      <c r="AE12" s="6" t="str">
        <f>IF(eth_OFF!AE12, (eth_ON!AE12+500-eth_ON!AE$64) - (eth_OFF!AE12+500-eth_OFF!AE$64) - AVERAGE(AE$62:AE$63), "")</f>
        <v/>
      </c>
      <c r="AF12" s="6" t="str">
        <f>IF(eth_OFF!AF12, (eth_ON!AF12+500-eth_ON!AF$64) - (eth_OFF!AF12+500-eth_OFF!AF$64) - AVERAGE(AF$62:AF$63), "")</f>
        <v/>
      </c>
      <c r="AG12" s="7" t="str">
        <f>IF(eth_OFF!AG12, (eth_ON!AG12+500-eth_ON!AG$64) - (eth_OFF!AG12+500-eth_OFF!AG$64) - AVERAGE(AG$62:AG$63), "")</f>
        <v/>
      </c>
      <c r="AH12" s="7" t="str">
        <f>IF(eth_OFF!AH12, (eth_ON!AH12+500-eth_ON!AH$64) - (eth_OFF!AH12+500-eth_OFF!AH$64) - AVERAGE(AH$62:AH$63), "")</f>
        <v/>
      </c>
      <c r="AI12" s="7" t="str">
        <f>IF(eth_OFF!AI12, (eth_ON!AI12+500-eth_ON!AI$64) - (eth_OFF!AI12+500-eth_OFF!AI$64) - AVERAGE(AI$62:AI$63), "")</f>
        <v/>
      </c>
      <c r="AJ12" s="7" t="str">
        <f>IF(eth_OFF!AJ12, (eth_ON!AJ12+500-eth_ON!AJ$64) - (eth_OFF!AJ12+500-eth_OFF!AJ$64) - AVERAGE(AJ$62:AJ$63), "")</f>
        <v/>
      </c>
      <c r="AK12" s="15" t="str">
        <f>IF(eth_OFF!AK12, (eth_ON!AK12+500-eth_ON!AK$64) - (eth_OFF!AK12+500-eth_OFF!AK$64) - AVERAGE(AK$62:AK$63), "")</f>
        <v/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1:65">
      <c r="A13" s="1">
        <v>12</v>
      </c>
      <c r="B13" s="36">
        <f>eth_ON!B13 - eth_OFF!B13 - AVERAGE(B$62:B$63)</f>
        <v>3.9999999999999432</v>
      </c>
      <c r="C13" s="36">
        <f>eth_ON!C13 - eth_OFF!C13 - AVERAGE(C$62:C$63)</f>
        <v>3.9499999999999886</v>
      </c>
      <c r="D13" s="36">
        <f>eth_ON!D13 - eth_OFF!D13 - AVERAGE(D$62:D$63)</f>
        <v>4.6000000000000227</v>
      </c>
      <c r="E13" s="36">
        <f>eth_ON!E13 - eth_OFF!E13 - AVERAGE(E$62:E$63)</f>
        <v>3.3499999999999943</v>
      </c>
      <c r="F13" s="36">
        <f>eth_ON!F13 - eth_OFF!F13 - AVERAGE(F$62:F$63)</f>
        <v>5.2000000000000171</v>
      </c>
      <c r="G13" s="36">
        <f>eth_ON!G13 - eth_OFF!G13 - AVERAGE(G$62:G$63)</f>
        <v>1.9000000000000057</v>
      </c>
      <c r="H13" s="36">
        <f>eth_ON!H13 - eth_OFF!H13 - AVERAGE(H$62:H$63)</f>
        <v>1.7500000000000284</v>
      </c>
      <c r="I13" s="36">
        <f>eth_ON!I13 - eth_OFF!I13 - AVERAGE(I$62:I$63)</f>
        <v>2.3000000000000682</v>
      </c>
      <c r="J13" s="36">
        <f>eth_ON!J13 - eth_OFF!J13 - AVERAGE(J$62:J$63)</f>
        <v>1.7999999999999829</v>
      </c>
      <c r="K13" s="36">
        <f>eth_ON!K13 - eth_OFF!K13 - AVERAGE(K$62:K$63)</f>
        <v>2.0500000000000114</v>
      </c>
      <c r="L13" s="36">
        <f>eth_ON!L13 - eth_OFF!L13 - AVERAGE(L$62:L$63)</f>
        <v>1.5</v>
      </c>
      <c r="M13" s="36">
        <f>eth_ON!M13 - eth_OFF!M13 - AVERAGE(M$62:M$63)</f>
        <v>1.6499999999999488</v>
      </c>
      <c r="N13" s="36">
        <f>eth_ON!N13 - eth_OFF!N13 - AVERAGE(N$62:N$63)</f>
        <v>2.3499999999999659</v>
      </c>
      <c r="O13" s="36">
        <f>eth_ON!O13 - eth_OFF!O13 - AVERAGE(O$62:O$63)</f>
        <v>1.4000000000000057</v>
      </c>
      <c r="P13" s="36">
        <f>eth_ON!P13 - eth_OFF!P13 - AVERAGE(P$62:P$63)</f>
        <v>1.8999999999999488</v>
      </c>
      <c r="Q13" s="36">
        <f>eth_ON!Q13 - eth_OFF!Q13 - AVERAGE(Q$62:Q$63)</f>
        <v>0.95000000000004547</v>
      </c>
      <c r="R13" s="36">
        <f>eth_ON!R13 - eth_OFF!R13 - AVERAGE(R$62:R$63)</f>
        <v>0.35000000000002274</v>
      </c>
      <c r="S13" s="36">
        <f>eth_ON!S13 - eth_OFF!S13 - AVERAGE(S$62:S$63)</f>
        <v>0.35000000000002274</v>
      </c>
      <c r="T13" s="36">
        <f>eth_ON!T13 - eth_OFF!T13 - AVERAGE(T$62:T$63)</f>
        <v>1.25</v>
      </c>
      <c r="U13" s="6" t="str">
        <f>IF(eth_OFF!U13, (eth_ON!U13+500-eth_ON!U$64) - (eth_OFF!U13+500-eth_OFF!U$64) - AVERAGE($B$62:$AK$63), "")</f>
        <v/>
      </c>
      <c r="V13" s="6" t="str">
        <f>IF(eth_OFF!V13, (eth_ON!V13+500-eth_ON!V$64) - (eth_OFF!V13+500-eth_OFF!V$64) - AVERAGE(V$62:V$63), "")</f>
        <v/>
      </c>
      <c r="W13" s="6" t="str">
        <f>IF(eth_OFF!W13, (eth_ON!W13+500-eth_ON!W$64) - (eth_OFF!W13+500-eth_OFF!W$64) - AVERAGE(W$62:W$63), "")</f>
        <v/>
      </c>
      <c r="X13" s="6" t="str">
        <f>IF(eth_OFF!X13, (eth_ON!X13+500-eth_ON!X$64) - (eth_OFF!X13+500-eth_OFF!X$64) - AVERAGE(X$62:X$63), "")</f>
        <v/>
      </c>
      <c r="Y13" s="6" t="str">
        <f>IF(eth_OFF!Y13, (eth_ON!Y13+500-eth_ON!Y$64) - (eth_OFF!Y13+500-eth_OFF!Y$64) - AVERAGE(Y$62:Y$63), "")</f>
        <v/>
      </c>
      <c r="Z13" s="6" t="str">
        <f>IF(eth_OFF!Z13, (eth_ON!Z13+500-eth_ON!Z$64) - (eth_OFF!Z13+500-eth_OFF!Z$64) - AVERAGE(Z$62:Z$63), "")</f>
        <v/>
      </c>
      <c r="AA13" s="6" t="str">
        <f>IF(eth_OFF!AA13, (eth_ON!AA13+500-eth_ON!AA$64) - (eth_OFF!AA13+500-eth_OFF!AA$64) - AVERAGE(AA$62:AA$63), "")</f>
        <v/>
      </c>
      <c r="AB13" s="6" t="str">
        <f>IF(eth_OFF!AB13, (eth_ON!AB13+500-eth_ON!AB$64) - (eth_OFF!AB13+500-eth_OFF!AB$64) - AVERAGE(AB$62:AB$63), "")</f>
        <v/>
      </c>
      <c r="AC13" s="6" t="str">
        <f>IF(eth_OFF!AC13, (eth_ON!AC13+500-eth_ON!AC$64) - (eth_OFF!AC13+500-eth_OFF!AC$64) - AVERAGE(AC$62:AC$63), "")</f>
        <v/>
      </c>
      <c r="AD13" s="6" t="str">
        <f>IF(eth_OFF!AD13, (eth_ON!AD13+500-eth_ON!AD$64) - (eth_OFF!AD13+500-eth_OFF!AD$64) - AVERAGE(AD$62:AD$63), "")</f>
        <v/>
      </c>
      <c r="AE13" s="6" t="str">
        <f>IF(eth_OFF!AE13, (eth_ON!AE13+500-eth_ON!AE$64) - (eth_OFF!AE13+500-eth_OFF!AE$64) - AVERAGE(AE$62:AE$63), "")</f>
        <v/>
      </c>
      <c r="AF13" s="6" t="str">
        <f>IF(eth_OFF!AF13, (eth_ON!AF13+500-eth_ON!AF$64) - (eth_OFF!AF13+500-eth_OFF!AF$64) - AVERAGE(AF$62:AF$63), "")</f>
        <v/>
      </c>
      <c r="AG13" s="7" t="str">
        <f>IF(eth_OFF!AG13, (eth_ON!AG13+500-eth_ON!AG$64) - (eth_OFF!AG13+500-eth_OFF!AG$64) - AVERAGE(AG$62:AG$63), "")</f>
        <v/>
      </c>
      <c r="AH13" s="7" t="str">
        <f>IF(eth_OFF!AH13, (eth_ON!AH13+500-eth_ON!AH$64) - (eth_OFF!AH13+500-eth_OFF!AH$64) - AVERAGE(AH$62:AH$63), "")</f>
        <v/>
      </c>
      <c r="AI13" s="7" t="str">
        <f>IF(eth_OFF!AI13, (eth_ON!AI13+500-eth_ON!AI$64) - (eth_OFF!AI13+500-eth_OFF!AI$64) - AVERAGE(AI$62:AI$63), "")</f>
        <v/>
      </c>
      <c r="AJ13" s="7" t="str">
        <f>IF(eth_OFF!AJ13, (eth_ON!AJ13+500-eth_ON!AJ$64) - (eth_OFF!AJ13+500-eth_OFF!AJ$64) - AVERAGE(AJ$62:AJ$63), "")</f>
        <v/>
      </c>
      <c r="AK13" s="15" t="str">
        <f>IF(eth_OFF!AK13, (eth_ON!AK13+500-eth_ON!AK$64) - (eth_OFF!AK13+500-eth_OFF!AK$64) - AVERAGE(AK$62:AK$63), "")</f>
        <v/>
      </c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5">
      <c r="A14" s="1">
        <v>13</v>
      </c>
      <c r="B14" s="36">
        <f>eth_ON!B14 - eth_OFF!B14 - AVERAGE(B$62:B$63)</f>
        <v>4.3999999999999773</v>
      </c>
      <c r="C14" s="36">
        <f>eth_ON!C14 - eth_OFF!C14 - AVERAGE(C$62:C$63)</f>
        <v>3.9500000000000455</v>
      </c>
      <c r="D14" s="36">
        <f>eth_ON!D14 - eth_OFF!D14 - AVERAGE(D$62:D$63)</f>
        <v>4.1000000000000227</v>
      </c>
      <c r="E14" s="36">
        <f>eth_ON!E14 - eth_OFF!E14 - AVERAGE(E$62:E$63)</f>
        <v>3.3499999999999943</v>
      </c>
      <c r="F14" s="36">
        <f>eth_ON!F14 - eth_OFF!F14 - AVERAGE(F$62:F$63)</f>
        <v>2.6999999999999602</v>
      </c>
      <c r="G14" s="36">
        <f>eth_ON!G14 - eth_OFF!G14 - AVERAGE(G$62:G$63)</f>
        <v>5.2000000000000171</v>
      </c>
      <c r="H14" s="36">
        <f>eth_ON!H14 - eth_OFF!H14 - AVERAGE(H$62:H$63)</f>
        <v>4.2500000000000284</v>
      </c>
      <c r="I14" s="36">
        <f>eth_ON!I14 - eth_OFF!I14 - AVERAGE(I$62:I$63)</f>
        <v>5.7000000000000455</v>
      </c>
      <c r="J14" s="36">
        <f>eth_ON!J14 - eth_OFF!J14 - AVERAGE(J$62:J$63)</f>
        <v>2.5999999999999943</v>
      </c>
      <c r="K14" s="36">
        <f>eth_ON!K14 - eth_OFF!K14 - AVERAGE(K$62:K$63)</f>
        <v>5.4499999999999886</v>
      </c>
      <c r="L14" s="36">
        <f>eth_ON!L14 - eth_OFF!L14 - AVERAGE(L$62:L$63)</f>
        <v>4.4999999999999432</v>
      </c>
      <c r="M14" s="36">
        <f>eth_ON!M14 - eth_OFF!M14 - AVERAGE(M$62:M$63)</f>
        <v>2.8499999999999943</v>
      </c>
      <c r="N14" s="36">
        <f>eth_ON!N14 - eth_OFF!N14 - AVERAGE(N$62:N$63)</f>
        <v>5.1499999999999773</v>
      </c>
      <c r="O14" s="36">
        <f>eth_ON!O14 - eth_OFF!O14 - AVERAGE(O$62:O$63)</f>
        <v>4.7000000000000171</v>
      </c>
      <c r="P14" s="36">
        <f>eth_ON!P14 - eth_OFF!P14 - AVERAGE(P$62:P$63)</f>
        <v>4.9000000000000057</v>
      </c>
      <c r="Q14" s="36">
        <f>eth_ON!Q14 - eth_OFF!Q14 - AVERAGE(Q$62:Q$63)</f>
        <v>2.0499999999999545</v>
      </c>
      <c r="R14" s="36">
        <f>eth_ON!R14 - eth_OFF!R14 - AVERAGE(R$62:R$63)</f>
        <v>0.34999999999996589</v>
      </c>
      <c r="S14" s="36">
        <f>eth_ON!S14 - eth_OFF!S14 - AVERAGE(S$62:S$63)</f>
        <v>1.75</v>
      </c>
      <c r="T14" s="36">
        <f>eth_ON!T14 - eth_OFF!T14 - AVERAGE(T$62:T$63)</f>
        <v>1.9499999999999886</v>
      </c>
      <c r="U14" s="6" t="str">
        <f>IF(eth_OFF!U14, (eth_ON!U14+500-eth_ON!U$64) - (eth_OFF!U14+500-eth_OFF!U$64) - AVERAGE($B$62:$AK$63), "")</f>
        <v/>
      </c>
      <c r="V14" s="6" t="str">
        <f>IF(eth_OFF!V14, (eth_ON!V14+500-eth_ON!V$64) - (eth_OFF!V14+500-eth_OFF!V$64) - AVERAGE(V$62:V$63), "")</f>
        <v/>
      </c>
      <c r="W14" s="6" t="str">
        <f>IF(eth_OFF!W14, (eth_ON!W14+500-eth_ON!W$64) - (eth_OFF!W14+500-eth_OFF!W$64) - AVERAGE(W$62:W$63), "")</f>
        <v/>
      </c>
      <c r="X14" s="6" t="str">
        <f>IF(eth_OFF!X14, (eth_ON!X14+500-eth_ON!X$64) - (eth_OFF!X14+500-eth_OFF!X$64) - AVERAGE(X$62:X$63), "")</f>
        <v/>
      </c>
      <c r="Y14" s="6" t="str">
        <f>IF(eth_OFF!Y14, (eth_ON!Y14+500-eth_ON!Y$64) - (eth_OFF!Y14+500-eth_OFF!Y$64) - AVERAGE(Y$62:Y$63), "")</f>
        <v/>
      </c>
      <c r="Z14" s="6" t="str">
        <f>IF(eth_OFF!Z14, (eth_ON!Z14+500-eth_ON!Z$64) - (eth_OFF!Z14+500-eth_OFF!Z$64) - AVERAGE(Z$62:Z$63), "")</f>
        <v/>
      </c>
      <c r="AA14" s="6" t="str">
        <f>IF(eth_OFF!AA14, (eth_ON!AA14+500-eth_ON!AA$64) - (eth_OFF!AA14+500-eth_OFF!AA$64) - AVERAGE(AA$62:AA$63), "")</f>
        <v/>
      </c>
      <c r="AB14" s="6" t="str">
        <f>IF(eth_OFF!AB14, (eth_ON!AB14+500-eth_ON!AB$64) - (eth_OFF!AB14+500-eth_OFF!AB$64) - AVERAGE(AB$62:AB$63), "")</f>
        <v/>
      </c>
      <c r="AC14" s="6" t="str">
        <f>IF(eth_OFF!AC14, (eth_ON!AC14+500-eth_ON!AC$64) - (eth_OFF!AC14+500-eth_OFF!AC$64) - AVERAGE(AC$62:AC$63), "")</f>
        <v/>
      </c>
      <c r="AD14" s="6" t="str">
        <f>IF(eth_OFF!AD14, (eth_ON!AD14+500-eth_ON!AD$64) - (eth_OFF!AD14+500-eth_OFF!AD$64) - AVERAGE(AD$62:AD$63), "")</f>
        <v/>
      </c>
      <c r="AE14" s="6" t="str">
        <f>IF(eth_OFF!AE14, (eth_ON!AE14+500-eth_ON!AE$64) - (eth_OFF!AE14+500-eth_OFF!AE$64) - AVERAGE(AE$62:AE$63), "")</f>
        <v/>
      </c>
      <c r="AF14" s="6" t="str">
        <f>IF(eth_OFF!AF14, (eth_ON!AF14+500-eth_ON!AF$64) - (eth_OFF!AF14+500-eth_OFF!AF$64) - AVERAGE(AF$62:AF$63), "")</f>
        <v/>
      </c>
      <c r="AG14" s="7" t="str">
        <f>IF(eth_OFF!AG14, (eth_ON!AG14+500-eth_ON!AG$64) - (eth_OFF!AG14+500-eth_OFF!AG$64) - AVERAGE(AG$62:AG$63), "")</f>
        <v/>
      </c>
      <c r="AH14" s="7" t="str">
        <f>IF(eth_OFF!AH14, (eth_ON!AH14+500-eth_ON!AH$64) - (eth_OFF!AH14+500-eth_OFF!AH$64) - AVERAGE(AH$62:AH$63), "")</f>
        <v/>
      </c>
      <c r="AI14" s="7" t="str">
        <f>IF(eth_OFF!AI14, (eth_ON!AI14+500-eth_ON!AI$64) - (eth_OFF!AI14+500-eth_OFF!AI$64) - AVERAGE(AI$62:AI$63), "")</f>
        <v/>
      </c>
      <c r="AJ14" s="7" t="str">
        <f>IF(eth_OFF!AJ14, (eth_ON!AJ14+500-eth_ON!AJ$64) - (eth_OFF!AJ14+500-eth_OFF!AJ$64) - AVERAGE(AJ$62:AJ$63), "")</f>
        <v/>
      </c>
      <c r="AK14" s="15" t="str">
        <f>IF(eth_OFF!AK14, (eth_ON!AK14+500-eth_ON!AK$64) - (eth_OFF!AK14+500-eth_OFF!AK$64) - AVERAGE(AK$62:AK$63), "")</f>
        <v/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1:65">
      <c r="A15" s="1">
        <v>14</v>
      </c>
      <c r="B15" s="36">
        <f>eth_ON!B15 - eth_OFF!B15 - AVERAGE(B$62:B$63)</f>
        <v>2.2999999999999545</v>
      </c>
      <c r="C15" s="36">
        <f>eth_ON!C15 - eth_OFF!C15 - AVERAGE(C$62:C$63)</f>
        <v>2.3499999999999659</v>
      </c>
      <c r="D15" s="36">
        <f>eth_ON!D15 - eth_OFF!D15 - AVERAGE(D$62:D$63)</f>
        <v>2.2000000000000455</v>
      </c>
      <c r="E15" s="36">
        <f>eth_ON!E15 - eth_OFF!E15 - AVERAGE(E$62:E$63)</f>
        <v>1.7500000000000284</v>
      </c>
      <c r="F15" s="36">
        <f>eth_ON!F15 - eth_OFF!F15 - AVERAGE(F$62:F$63)</f>
        <v>1.9000000000000057</v>
      </c>
      <c r="G15" s="36">
        <f>eth_ON!G15 - eth_OFF!G15 - AVERAGE(G$62:G$63)</f>
        <v>1.7000000000000171</v>
      </c>
      <c r="H15" s="36">
        <f>eth_ON!H15 - eth_OFF!H15 - AVERAGE(H$62:H$63)</f>
        <v>2.0500000000000398</v>
      </c>
      <c r="I15" s="36">
        <f>eth_ON!I15 - eth_OFF!I15 - AVERAGE(I$62:I$63)</f>
        <v>2.0000000000000568</v>
      </c>
      <c r="J15" s="36">
        <f>eth_ON!J15 - eth_OFF!J15 - AVERAGE(J$62:J$63)</f>
        <v>2.1999999999999602</v>
      </c>
      <c r="K15" s="36">
        <f>eth_ON!K15 - eth_OFF!K15 - AVERAGE(K$62:K$63)</f>
        <v>1.8500000000000227</v>
      </c>
      <c r="L15" s="36">
        <f>eth_ON!L15 - eth_OFF!L15 - AVERAGE(L$62:L$63)</f>
        <v>2.7999999999999545</v>
      </c>
      <c r="M15" s="36">
        <f>eth_ON!M15 - eth_OFF!M15 - AVERAGE(M$62:M$63)</f>
        <v>1.6499999999999488</v>
      </c>
      <c r="N15" s="36">
        <f>eth_ON!N15 - eth_OFF!N15 - AVERAGE(N$62:N$63)</f>
        <v>2.7499999999999432</v>
      </c>
      <c r="O15" s="36">
        <f>eth_ON!O15 - eth_OFF!O15 - AVERAGE(O$62:O$63)</f>
        <v>1.2000000000000171</v>
      </c>
      <c r="P15" s="36">
        <f>eth_ON!P15 - eth_OFF!P15 - AVERAGE(P$62:P$63)</f>
        <v>1.7999999999999829</v>
      </c>
      <c r="Q15" s="36">
        <f>eth_ON!Q15 - eth_OFF!Q15 - AVERAGE(Q$62:Q$63)</f>
        <v>0.75</v>
      </c>
      <c r="R15" s="36">
        <f>eth_ON!R15 - eth_OFF!R15 - AVERAGE(R$62:R$63)</f>
        <v>0.34999999999996589</v>
      </c>
      <c r="S15" s="36">
        <f>eth_ON!S15 - eth_OFF!S15 - AVERAGE(S$62:S$63)</f>
        <v>0.55000000000001137</v>
      </c>
      <c r="T15" s="36">
        <f>eth_ON!T15 - eth_OFF!T15 - AVERAGE(T$62:T$63)</f>
        <v>0.44999999999998863</v>
      </c>
      <c r="U15" s="6" t="str">
        <f>IF(eth_OFF!U15, (eth_ON!U15+500-eth_ON!U$64) - (eth_OFF!U15+500-eth_OFF!U$64) - AVERAGE($B$62:$AK$63), "")</f>
        <v/>
      </c>
      <c r="V15" s="6" t="str">
        <f>IF(eth_OFF!V15, (eth_ON!V15+500-eth_ON!V$64) - (eth_OFF!V15+500-eth_OFF!V$64) - AVERAGE(V$62:V$63), "")</f>
        <v/>
      </c>
      <c r="W15" s="6" t="str">
        <f>IF(eth_OFF!W15, (eth_ON!W15+500-eth_ON!W$64) - (eth_OFF!W15+500-eth_OFF!W$64) - AVERAGE(W$62:W$63), "")</f>
        <v/>
      </c>
      <c r="X15" s="6" t="str">
        <f>IF(eth_OFF!X15, (eth_ON!X15+500-eth_ON!X$64) - (eth_OFF!X15+500-eth_OFF!X$64) - AVERAGE(X$62:X$63), "")</f>
        <v/>
      </c>
      <c r="Y15" s="6" t="str">
        <f>IF(eth_OFF!Y15, (eth_ON!Y15+500-eth_ON!Y$64) - (eth_OFF!Y15+500-eth_OFF!Y$64) - AVERAGE(Y$62:Y$63), "")</f>
        <v/>
      </c>
      <c r="Z15" s="6" t="str">
        <f>IF(eth_OFF!Z15, (eth_ON!Z15+500-eth_ON!Z$64) - (eth_OFF!Z15+500-eth_OFF!Z$64) - AVERAGE(Z$62:Z$63), "")</f>
        <v/>
      </c>
      <c r="AA15" s="6" t="str">
        <f>IF(eth_OFF!AA15, (eth_ON!AA15+500-eth_ON!AA$64) - (eth_OFF!AA15+500-eth_OFF!AA$64) - AVERAGE(AA$62:AA$63), "")</f>
        <v/>
      </c>
      <c r="AB15" s="6" t="str">
        <f>IF(eth_OFF!AB15, (eth_ON!AB15+500-eth_ON!AB$64) - (eth_OFF!AB15+500-eth_OFF!AB$64) - AVERAGE(AB$62:AB$63), "")</f>
        <v/>
      </c>
      <c r="AC15" s="6" t="str">
        <f>IF(eth_OFF!AC15, (eth_ON!AC15+500-eth_ON!AC$64) - (eth_OFF!AC15+500-eth_OFF!AC$64) - AVERAGE(AC$62:AC$63), "")</f>
        <v/>
      </c>
      <c r="AD15" s="6" t="str">
        <f>IF(eth_OFF!AD15, (eth_ON!AD15+500-eth_ON!AD$64) - (eth_OFF!AD15+500-eth_OFF!AD$64) - AVERAGE(AD$62:AD$63), "")</f>
        <v/>
      </c>
      <c r="AE15" s="6" t="str">
        <f>IF(eth_OFF!AE15, (eth_ON!AE15+500-eth_ON!AE$64) - (eth_OFF!AE15+500-eth_OFF!AE$64) - AVERAGE(AE$62:AE$63), "")</f>
        <v/>
      </c>
      <c r="AF15" s="6" t="str">
        <f>IF(eth_OFF!AF15, (eth_ON!AF15+500-eth_ON!AF$64) - (eth_OFF!AF15+500-eth_OFF!AF$64) - AVERAGE(AF$62:AF$63), "")</f>
        <v/>
      </c>
      <c r="AG15" s="7" t="str">
        <f>IF(eth_OFF!AG15, (eth_ON!AG15+500-eth_ON!AG$64) - (eth_OFF!AG15+500-eth_OFF!AG$64) - AVERAGE(AG$62:AG$63), "")</f>
        <v/>
      </c>
      <c r="AH15" s="7" t="str">
        <f>IF(eth_OFF!AH15, (eth_ON!AH15+500-eth_ON!AH$64) - (eth_OFF!AH15+500-eth_OFF!AH$64) - AVERAGE(AH$62:AH$63), "")</f>
        <v/>
      </c>
      <c r="AI15" s="7" t="str">
        <f>IF(eth_OFF!AI15, (eth_ON!AI15+500-eth_ON!AI$64) - (eth_OFF!AI15+500-eth_OFF!AI$64) - AVERAGE(AI$62:AI$63), "")</f>
        <v/>
      </c>
      <c r="AJ15" s="7" t="str">
        <f>IF(eth_OFF!AJ15, (eth_ON!AJ15+500-eth_ON!AJ$64) - (eth_OFF!AJ15+500-eth_OFF!AJ$64) - AVERAGE(AJ$62:AJ$63), "")</f>
        <v/>
      </c>
      <c r="AK15" s="15" t="str">
        <f>IF(eth_OFF!AK15, (eth_ON!AK15+500-eth_ON!AK$64) - (eth_OFF!AK15+500-eth_OFF!AK$64) - AVERAGE(AK$62:AK$63), "")</f>
        <v/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5">
      <c r="A16" s="1">
        <v>15</v>
      </c>
      <c r="B16" s="36">
        <f>eth_ON!B16 - eth_OFF!B16 - AVERAGE(B$62:B$63)</f>
        <v>0.89999999999992042</v>
      </c>
      <c r="C16" s="36">
        <f>eth_ON!C16 - eth_OFF!C16 - AVERAGE(C$62:C$63)</f>
        <v>0.64999999999997726</v>
      </c>
      <c r="D16" s="36">
        <f>eth_ON!D16 - eth_OFF!D16 - AVERAGE(D$62:D$63)</f>
        <v>1.3000000000000114</v>
      </c>
      <c r="E16" s="36">
        <f>eth_ON!E16 - eth_OFF!E16 - AVERAGE(E$62:E$63)</f>
        <v>0.74999999999997158</v>
      </c>
      <c r="F16" s="36">
        <f>eth_ON!F16 - eth_OFF!F16 - AVERAGE(F$62:F$63)</f>
        <v>0.79999999999998295</v>
      </c>
      <c r="G16" s="36">
        <f>eth_ON!G16 - eth_OFF!G16 - AVERAGE(G$62:G$63)</f>
        <v>2.0000000000000284</v>
      </c>
      <c r="H16" s="36">
        <f>eth_ON!H16 - eth_OFF!H16 - AVERAGE(H$62:H$63)</f>
        <v>1.5500000000000398</v>
      </c>
      <c r="I16" s="36">
        <f>eth_ON!I16 - eth_OFF!I16 - AVERAGE(I$62:I$63)</f>
        <v>0.90000000000003411</v>
      </c>
      <c r="J16" s="36">
        <f>eth_ON!J16 - eth_OFF!J16 - AVERAGE(J$62:J$63)</f>
        <v>-0.10000000000005116</v>
      </c>
      <c r="K16" s="36">
        <f>eth_ON!K16 - eth_OFF!K16 - AVERAGE(K$62:K$63)</f>
        <v>0.55000000000001137</v>
      </c>
      <c r="L16" s="36">
        <f>eth_ON!L16 - eth_OFF!L16 - AVERAGE(L$62:L$63)</f>
        <v>1.8999999999999773</v>
      </c>
      <c r="M16" s="36">
        <f>eth_ON!M16 - eth_OFF!M16 - AVERAGE(M$62:M$63)</f>
        <v>-0.34999999999999432</v>
      </c>
      <c r="N16" s="36">
        <f>eth_ON!N16 - eth_OFF!N16 - AVERAGE(N$62:N$63)</f>
        <v>0.25</v>
      </c>
      <c r="O16" s="36">
        <f>eth_ON!O16 - eth_OFF!O16 - AVERAGE(O$62:O$63)</f>
        <v>-9.9999999999994316E-2</v>
      </c>
      <c r="P16" s="36">
        <f>eth_ON!P16 - eth_OFF!P16 - AVERAGE(P$62:P$63)</f>
        <v>0.19999999999996021</v>
      </c>
      <c r="Q16" s="36">
        <f>eth_ON!Q16 - eth_OFF!Q16 - AVERAGE(Q$62:Q$63)</f>
        <v>-5.0000000000011369E-2</v>
      </c>
      <c r="R16" s="36">
        <f>eth_ON!R16 - eth_OFF!R16 - AVERAGE(R$62:R$63)</f>
        <v>-0.25</v>
      </c>
      <c r="S16" s="36">
        <f>eth_ON!S16 - eth_OFF!S16 - AVERAGE(S$62:S$63)</f>
        <v>0.15000000000003411</v>
      </c>
      <c r="T16" s="36">
        <f>eth_ON!T16 - eth_OFF!T16 - AVERAGE(T$62:T$63)</f>
        <v>0.44999999999998863</v>
      </c>
      <c r="U16" s="6" t="str">
        <f>IF(eth_OFF!U16, (eth_ON!U16+500-eth_ON!U$64) - (eth_OFF!U16+500-eth_OFF!U$64) - AVERAGE($B$62:$AK$63), "")</f>
        <v/>
      </c>
      <c r="V16" s="6" t="str">
        <f>IF(eth_OFF!V16, (eth_ON!V16+500-eth_ON!V$64) - (eth_OFF!V16+500-eth_OFF!V$64) - AVERAGE(V$62:V$63), "")</f>
        <v/>
      </c>
      <c r="W16" s="6" t="str">
        <f>IF(eth_OFF!W16, (eth_ON!W16+500-eth_ON!W$64) - (eth_OFF!W16+500-eth_OFF!W$64) - AVERAGE(W$62:W$63), "")</f>
        <v/>
      </c>
      <c r="X16" s="6" t="str">
        <f>IF(eth_OFF!X16, (eth_ON!X16+500-eth_ON!X$64) - (eth_OFF!X16+500-eth_OFF!X$64) - AVERAGE(X$62:X$63), "")</f>
        <v/>
      </c>
      <c r="Y16" s="6" t="str">
        <f>IF(eth_OFF!Y16, (eth_ON!Y16+500-eth_ON!Y$64) - (eth_OFF!Y16+500-eth_OFF!Y$64) - AVERAGE(Y$62:Y$63), "")</f>
        <v/>
      </c>
      <c r="Z16" s="6" t="str">
        <f>IF(eth_OFF!Z16, (eth_ON!Z16+500-eth_ON!Z$64) - (eth_OFF!Z16+500-eth_OFF!Z$64) - AVERAGE(Z$62:Z$63), "")</f>
        <v/>
      </c>
      <c r="AA16" s="6" t="str">
        <f>IF(eth_OFF!AA16, (eth_ON!AA16+500-eth_ON!AA$64) - (eth_OFF!AA16+500-eth_OFF!AA$64) - AVERAGE(AA$62:AA$63), "")</f>
        <v/>
      </c>
      <c r="AB16" s="6" t="str">
        <f>IF(eth_OFF!AB16, (eth_ON!AB16+500-eth_ON!AB$64) - (eth_OFF!AB16+500-eth_OFF!AB$64) - AVERAGE(AB$62:AB$63), "")</f>
        <v/>
      </c>
      <c r="AC16" s="6" t="str">
        <f>IF(eth_OFF!AC16, (eth_ON!AC16+500-eth_ON!AC$64) - (eth_OFF!AC16+500-eth_OFF!AC$64) - AVERAGE(AC$62:AC$63), "")</f>
        <v/>
      </c>
      <c r="AD16" s="6" t="str">
        <f>IF(eth_OFF!AD16, (eth_ON!AD16+500-eth_ON!AD$64) - (eth_OFF!AD16+500-eth_OFF!AD$64) - AVERAGE(AD$62:AD$63), "")</f>
        <v/>
      </c>
      <c r="AE16" s="6" t="str">
        <f>IF(eth_OFF!AE16, (eth_ON!AE16+500-eth_ON!AE$64) - (eth_OFF!AE16+500-eth_OFF!AE$64) - AVERAGE(AE$62:AE$63), "")</f>
        <v/>
      </c>
      <c r="AF16" s="6" t="str">
        <f>IF(eth_OFF!AF16, (eth_ON!AF16+500-eth_ON!AF$64) - (eth_OFF!AF16+500-eth_OFF!AF$64) - AVERAGE(AF$62:AF$63), "")</f>
        <v/>
      </c>
      <c r="AG16" s="7" t="str">
        <f>IF(eth_OFF!AG16, (eth_ON!AG16+500-eth_ON!AG$64) - (eth_OFF!AG16+500-eth_OFF!AG$64) - AVERAGE(AG$62:AG$63), "")</f>
        <v/>
      </c>
      <c r="AH16" s="7" t="str">
        <f>IF(eth_OFF!AH16, (eth_ON!AH16+500-eth_ON!AH$64) - (eth_OFF!AH16+500-eth_OFF!AH$64) - AVERAGE(AH$62:AH$63), "")</f>
        <v/>
      </c>
      <c r="AI16" s="7" t="str">
        <f>IF(eth_OFF!AI16, (eth_ON!AI16+500-eth_ON!AI$64) - (eth_OFF!AI16+500-eth_OFF!AI$64) - AVERAGE(AI$62:AI$63), "")</f>
        <v/>
      </c>
      <c r="AJ16" s="7" t="str">
        <f>IF(eth_OFF!AJ16, (eth_ON!AJ16+500-eth_ON!AJ$64) - (eth_OFF!AJ16+500-eth_OFF!AJ$64) - AVERAGE(AJ$62:AJ$63), "")</f>
        <v/>
      </c>
      <c r="AK16" s="15" t="str">
        <f>IF(eth_OFF!AK16, (eth_ON!AK16+500-eth_ON!AK$64) - (eth_OFF!AK16+500-eth_OFF!AK$64) - AVERAGE(AK$62:AK$63), "")</f>
        <v/>
      </c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1:65">
      <c r="A17" s="1">
        <v>16</v>
      </c>
      <c r="B17" s="36">
        <f>eth_ON!B17 - eth_OFF!B17 - AVERAGE(B$62:B$63)</f>
        <v>0.89999999999997726</v>
      </c>
      <c r="C17" s="36">
        <f>eth_ON!C17 - eth_OFF!C17 - AVERAGE(C$62:C$63)</f>
        <v>1.25</v>
      </c>
      <c r="D17" s="36">
        <f>eth_ON!D17 - eth_OFF!D17 - AVERAGE(D$62:D$63)</f>
        <v>2.4000000000000341</v>
      </c>
      <c r="E17" s="36">
        <f>eth_ON!E17 - eth_OFF!E17 - AVERAGE(E$62:E$63)</f>
        <v>1.3499999999999943</v>
      </c>
      <c r="F17" s="36">
        <f>eth_ON!F17 - eth_OFF!F17 - AVERAGE(F$62:F$63)</f>
        <v>2.0999999999999943</v>
      </c>
      <c r="G17" s="36">
        <f>eth_ON!G17 - eth_OFF!G17 - AVERAGE(G$62:G$63)</f>
        <v>2.0000000000000284</v>
      </c>
      <c r="H17" s="36">
        <f>eth_ON!H17 - eth_OFF!H17 - AVERAGE(H$62:H$63)</f>
        <v>2.3499999999999943</v>
      </c>
      <c r="I17" s="36">
        <f>eth_ON!I17 - eth_OFF!I17 - AVERAGE(I$62:I$63)</f>
        <v>3.0000000000000568</v>
      </c>
      <c r="J17" s="36">
        <f>eth_ON!J17 - eth_OFF!J17 - AVERAGE(J$62:J$63)</f>
        <v>0.79999999999998295</v>
      </c>
      <c r="K17" s="36">
        <f>eth_ON!K17 - eth_OFF!K17 - AVERAGE(K$62:K$63)</f>
        <v>2.0500000000000114</v>
      </c>
      <c r="L17" s="36">
        <f>eth_ON!L17 - eth_OFF!L17 - AVERAGE(L$62:L$63)</f>
        <v>2.3999999999999773</v>
      </c>
      <c r="M17" s="36">
        <f>eth_ON!M17 - eth_OFF!M17 - AVERAGE(M$62:M$63)</f>
        <v>-0.15000000000000568</v>
      </c>
      <c r="N17" s="36">
        <f>eth_ON!N17 - eth_OFF!N17 - AVERAGE(N$62:N$63)</f>
        <v>0.14999999999997726</v>
      </c>
      <c r="O17" s="36">
        <f>eth_ON!O17 - eth_OFF!O17 - AVERAGE(O$62:O$63)</f>
        <v>0.70000000000001705</v>
      </c>
      <c r="P17" s="36">
        <f>eth_ON!P17 - eth_OFF!P17 - AVERAGE(P$62:P$63)</f>
        <v>1.7999999999999829</v>
      </c>
      <c r="Q17" s="36">
        <f>eth_ON!Q17 - eth_OFF!Q17 - AVERAGE(Q$62:Q$63)</f>
        <v>5.0000000000011369E-2</v>
      </c>
      <c r="R17" s="36">
        <f>eth_ON!R17 - eth_OFF!R17 - AVERAGE(R$62:R$63)</f>
        <v>-5.0000000000011369E-2</v>
      </c>
      <c r="S17" s="36">
        <f>eth_ON!S17 - eth_OFF!S17 - AVERAGE(S$62:S$63)</f>
        <v>-4.9999999999954525E-2</v>
      </c>
      <c r="T17" s="36">
        <f>eth_ON!T17 - eth_OFF!T17 - AVERAGE(T$62:T$63)</f>
        <v>0.14999999999997726</v>
      </c>
      <c r="U17" s="6" t="str">
        <f>IF(eth_OFF!U17, (eth_ON!U17+500-eth_ON!U$64) - (eth_OFF!U17+500-eth_OFF!U$64) - AVERAGE($B$62:$AK$63), "")</f>
        <v/>
      </c>
      <c r="V17" s="6" t="str">
        <f>IF(eth_OFF!V17, (eth_ON!V17+500-eth_ON!V$64) - (eth_OFF!V17+500-eth_OFF!V$64) - AVERAGE(V$62:V$63), "")</f>
        <v/>
      </c>
      <c r="W17" s="6" t="str">
        <f>IF(eth_OFF!W17, (eth_ON!W17+500-eth_ON!W$64) - (eth_OFF!W17+500-eth_OFF!W$64) - AVERAGE(W$62:W$63), "")</f>
        <v/>
      </c>
      <c r="X17" s="6" t="str">
        <f>IF(eth_OFF!X17, (eth_ON!X17+500-eth_ON!X$64) - (eth_OFF!X17+500-eth_OFF!X$64) - AVERAGE(X$62:X$63), "")</f>
        <v/>
      </c>
      <c r="Y17" s="6" t="str">
        <f>IF(eth_OFF!Y17, (eth_ON!Y17+500-eth_ON!Y$64) - (eth_OFF!Y17+500-eth_OFF!Y$64) - AVERAGE(Y$62:Y$63), "")</f>
        <v/>
      </c>
      <c r="Z17" s="6" t="str">
        <f>IF(eth_OFF!Z17, (eth_ON!Z17+500-eth_ON!Z$64) - (eth_OFF!Z17+500-eth_OFF!Z$64) - AVERAGE(Z$62:Z$63), "")</f>
        <v/>
      </c>
      <c r="AA17" s="6" t="str">
        <f>IF(eth_OFF!AA17, (eth_ON!AA17+500-eth_ON!AA$64) - (eth_OFF!AA17+500-eth_OFF!AA$64) - AVERAGE(AA$62:AA$63), "")</f>
        <v/>
      </c>
      <c r="AB17" s="6" t="str">
        <f>IF(eth_OFF!AB17, (eth_ON!AB17+500-eth_ON!AB$64) - (eth_OFF!AB17+500-eth_OFF!AB$64) - AVERAGE(AB$62:AB$63), "")</f>
        <v/>
      </c>
      <c r="AC17" s="6" t="str">
        <f>IF(eth_OFF!AC17, (eth_ON!AC17+500-eth_ON!AC$64) - (eth_OFF!AC17+500-eth_OFF!AC$64) - AVERAGE(AC$62:AC$63), "")</f>
        <v/>
      </c>
      <c r="AD17" s="6" t="str">
        <f>IF(eth_OFF!AD17, (eth_ON!AD17+500-eth_ON!AD$64) - (eth_OFF!AD17+500-eth_OFF!AD$64) - AVERAGE(AD$62:AD$63), "")</f>
        <v/>
      </c>
      <c r="AE17" s="6" t="str">
        <f>IF(eth_OFF!AE17, (eth_ON!AE17+500-eth_ON!AE$64) - (eth_OFF!AE17+500-eth_OFF!AE$64) - AVERAGE(AE$62:AE$63), "")</f>
        <v/>
      </c>
      <c r="AF17" s="6" t="str">
        <f>IF(eth_OFF!AF17, (eth_ON!AF17+500-eth_ON!AF$64) - (eth_OFF!AF17+500-eth_OFF!AF$64) - AVERAGE(AF$62:AF$63), "")</f>
        <v/>
      </c>
      <c r="AG17" s="7" t="str">
        <f>IF(eth_OFF!AG17, (eth_ON!AG17+500-eth_ON!AG$64) - (eth_OFF!AG17+500-eth_OFF!AG$64) - AVERAGE(AG$62:AG$63), "")</f>
        <v/>
      </c>
      <c r="AH17" s="7" t="str">
        <f>IF(eth_OFF!AH17, (eth_ON!AH17+500-eth_ON!AH$64) - (eth_OFF!AH17+500-eth_OFF!AH$64) - AVERAGE(AH$62:AH$63), "")</f>
        <v/>
      </c>
      <c r="AI17" s="7" t="str">
        <f>IF(eth_OFF!AI17, (eth_ON!AI17+500-eth_ON!AI$64) - (eth_OFF!AI17+500-eth_OFF!AI$64) - AVERAGE(AI$62:AI$63), "")</f>
        <v/>
      </c>
      <c r="AJ17" s="7" t="str">
        <f>IF(eth_OFF!AJ17, (eth_ON!AJ17+500-eth_ON!AJ$64) - (eth_OFF!AJ17+500-eth_OFF!AJ$64) - AVERAGE(AJ$62:AJ$63), "")</f>
        <v/>
      </c>
      <c r="AK17" s="15" t="str">
        <f>IF(eth_OFF!AK17, (eth_ON!AK17+500-eth_ON!AK$64) - (eth_OFF!AK17+500-eth_OFF!AK$64) - AVERAGE(AK$62:AK$63), "")</f>
        <v/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spans="1:65">
      <c r="A18" s="1">
        <v>17</v>
      </c>
      <c r="B18" s="36">
        <f>eth_ON!B18 - eth_OFF!B18 - AVERAGE(B$62:B$63)</f>
        <v>4.1999999999999886</v>
      </c>
      <c r="C18" s="36">
        <f>eth_ON!C18 - eth_OFF!C18 - AVERAGE(C$62:C$63)</f>
        <v>5.75</v>
      </c>
      <c r="D18" s="36">
        <f>eth_ON!D18 - eth_OFF!D18 - AVERAGE(D$62:D$63)</f>
        <v>4.6000000000000227</v>
      </c>
      <c r="E18" s="36">
        <f>eth_ON!E18 - eth_OFF!E18 - AVERAGE(E$62:E$63)</f>
        <v>3.8499999999999943</v>
      </c>
      <c r="F18" s="36">
        <f>eth_ON!F18 - eth_OFF!F18 - AVERAGE(F$62:F$63)</f>
        <v>3.3000000000000398</v>
      </c>
      <c r="G18" s="36">
        <f>eth_ON!G18 - eth_OFF!G18 - AVERAGE(G$62:G$63)</f>
        <v>4.2000000000000171</v>
      </c>
      <c r="H18" s="36">
        <f>eth_ON!H18 - eth_OFF!H18 - AVERAGE(H$62:H$63)</f>
        <v>4.3499999999999943</v>
      </c>
      <c r="I18" s="36">
        <f>eth_ON!I18 - eth_OFF!I18 - AVERAGE(I$62:I$63)</f>
        <v>4.9000000000000341</v>
      </c>
      <c r="J18" s="36">
        <f>eth_ON!J18 - eth_OFF!J18 - AVERAGE(J$62:J$63)</f>
        <v>2.7999999999999829</v>
      </c>
      <c r="K18" s="36">
        <f>eth_ON!K18 - eth_OFF!K18 - AVERAGE(K$62:K$63)</f>
        <v>4.0500000000000682</v>
      </c>
      <c r="L18" s="36">
        <f>eth_ON!L18 - eth_OFF!L18 - AVERAGE(L$62:L$63)</f>
        <v>7.3999999999999773</v>
      </c>
      <c r="M18" s="36">
        <f>eth_ON!M18 - eth_OFF!M18 - AVERAGE(M$62:M$63)</f>
        <v>4.0499999999999829</v>
      </c>
      <c r="N18" s="36">
        <f>eth_ON!N18 - eth_OFF!N18 - AVERAGE(N$62:N$63)</f>
        <v>4.25</v>
      </c>
      <c r="O18" s="36">
        <f>eth_ON!O18 - eth_OFF!O18 - AVERAGE(O$62:O$63)</f>
        <v>2.5999999999999943</v>
      </c>
      <c r="P18" s="36">
        <f>eth_ON!P18 - eth_OFF!P18 - AVERAGE(P$62:P$63)</f>
        <v>2.7999999999999829</v>
      </c>
      <c r="Q18" s="36">
        <f>eth_ON!Q18 - eth_OFF!Q18 - AVERAGE(Q$62:Q$63)</f>
        <v>3.4499999999999886</v>
      </c>
      <c r="R18" s="36">
        <f>eth_ON!R18 - eth_OFF!R18 - AVERAGE(R$62:R$63)</f>
        <v>1.9499999999999886</v>
      </c>
      <c r="S18" s="36">
        <f>eth_ON!S18 - eth_OFF!S18 - AVERAGE(S$62:S$63)</f>
        <v>3.3500000000000227</v>
      </c>
      <c r="T18" s="36">
        <f>eth_ON!T18 - eth_OFF!T18 - AVERAGE(T$62:T$63)</f>
        <v>3.3499999999999659</v>
      </c>
      <c r="U18" s="6" t="str">
        <f>IF(eth_OFF!U18, (eth_ON!U18+500-eth_ON!U$64) - (eth_OFF!U18+500-eth_OFF!U$64) - AVERAGE($B$62:$AK$63), "")</f>
        <v/>
      </c>
      <c r="V18" s="6" t="str">
        <f>IF(eth_OFF!V18, (eth_ON!V18+500-eth_ON!V$64) - (eth_OFF!V18+500-eth_OFF!V$64) - AVERAGE(V$62:V$63), "")</f>
        <v/>
      </c>
      <c r="W18" s="6" t="str">
        <f>IF(eth_OFF!W18, (eth_ON!W18+500-eth_ON!W$64) - (eth_OFF!W18+500-eth_OFF!W$64) - AVERAGE(W$62:W$63), "")</f>
        <v/>
      </c>
      <c r="X18" s="6" t="str">
        <f>IF(eth_OFF!X18, (eth_ON!X18+500-eth_ON!X$64) - (eth_OFF!X18+500-eth_OFF!X$64) - AVERAGE(X$62:X$63), "")</f>
        <v/>
      </c>
      <c r="Y18" s="6" t="str">
        <f>IF(eth_OFF!Y18, (eth_ON!Y18+500-eth_ON!Y$64) - (eth_OFF!Y18+500-eth_OFF!Y$64) - AVERAGE(Y$62:Y$63), "")</f>
        <v/>
      </c>
      <c r="Z18" s="6" t="str">
        <f>IF(eth_OFF!Z18, (eth_ON!Z18+500-eth_ON!Z$64) - (eth_OFF!Z18+500-eth_OFF!Z$64) - AVERAGE(Z$62:Z$63), "")</f>
        <v/>
      </c>
      <c r="AA18" s="6" t="str">
        <f>IF(eth_OFF!AA18, (eth_ON!AA18+500-eth_ON!AA$64) - (eth_OFF!AA18+500-eth_OFF!AA$64) - AVERAGE(AA$62:AA$63), "")</f>
        <v/>
      </c>
      <c r="AB18" s="6" t="str">
        <f>IF(eth_OFF!AB18, (eth_ON!AB18+500-eth_ON!AB$64) - (eth_OFF!AB18+500-eth_OFF!AB$64) - AVERAGE(AB$62:AB$63), "")</f>
        <v/>
      </c>
      <c r="AC18" s="6" t="str">
        <f>IF(eth_OFF!AC18, (eth_ON!AC18+500-eth_ON!AC$64) - (eth_OFF!AC18+500-eth_OFF!AC$64) - AVERAGE(AC$62:AC$63), "")</f>
        <v/>
      </c>
      <c r="AD18" s="6" t="str">
        <f>IF(eth_OFF!AD18, (eth_ON!AD18+500-eth_ON!AD$64) - (eth_OFF!AD18+500-eth_OFF!AD$64) - AVERAGE(AD$62:AD$63), "")</f>
        <v/>
      </c>
      <c r="AE18" s="6" t="str">
        <f>IF(eth_OFF!AE18, (eth_ON!AE18+500-eth_ON!AE$64) - (eth_OFF!AE18+500-eth_OFF!AE$64) - AVERAGE(AE$62:AE$63), "")</f>
        <v/>
      </c>
      <c r="AF18" s="6" t="str">
        <f>IF(eth_OFF!AF18, (eth_ON!AF18+500-eth_ON!AF$64) - (eth_OFF!AF18+500-eth_OFF!AF$64) - AVERAGE(AF$62:AF$63), "")</f>
        <v/>
      </c>
      <c r="AG18" s="7" t="str">
        <f>IF(eth_OFF!AG18, (eth_ON!AG18+500-eth_ON!AG$64) - (eth_OFF!AG18+500-eth_OFF!AG$64) - AVERAGE(AG$62:AG$63), "")</f>
        <v/>
      </c>
      <c r="AH18" s="7" t="str">
        <f>IF(eth_OFF!AH18, (eth_ON!AH18+500-eth_ON!AH$64) - (eth_OFF!AH18+500-eth_OFF!AH$64) - AVERAGE(AH$62:AH$63), "")</f>
        <v/>
      </c>
      <c r="AI18" s="7" t="str">
        <f>IF(eth_OFF!AI18, (eth_ON!AI18+500-eth_ON!AI$64) - (eth_OFF!AI18+500-eth_OFF!AI$64) - AVERAGE(AI$62:AI$63), "")</f>
        <v/>
      </c>
      <c r="AJ18" s="7" t="str">
        <f>IF(eth_OFF!AJ18, (eth_ON!AJ18+500-eth_ON!AJ$64) - (eth_OFF!AJ18+500-eth_OFF!AJ$64) - AVERAGE(AJ$62:AJ$63), "")</f>
        <v/>
      </c>
      <c r="AK18" s="15" t="str">
        <f>IF(eth_OFF!AK18, (eth_ON!AK18+500-eth_ON!AK$64) - (eth_OFF!AK18+500-eth_OFF!AK$64) - AVERAGE(AK$62:AK$63), "")</f>
        <v/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1:65">
      <c r="A19" s="1">
        <v>18</v>
      </c>
      <c r="B19" s="36">
        <f>eth_ON!B19 - eth_OFF!B19 - AVERAGE(B$62:B$63)</f>
        <v>3.1999999999999886</v>
      </c>
      <c r="C19" s="36">
        <f>eth_ON!C19 - eth_OFF!C19 - AVERAGE(C$62:C$63)</f>
        <v>3.0500000000000114</v>
      </c>
      <c r="D19" s="36">
        <f>eth_ON!D19 - eth_OFF!D19 - AVERAGE(D$62:D$63)</f>
        <v>3.2000000000000455</v>
      </c>
      <c r="E19" s="36">
        <f>eth_ON!E19 - eth_OFF!E19 - AVERAGE(E$62:E$63)</f>
        <v>4.4499999999999602</v>
      </c>
      <c r="F19" s="36">
        <f>eth_ON!F19 - eth_OFF!F19 - AVERAGE(F$62:F$63)</f>
        <v>2.4999999999999716</v>
      </c>
      <c r="G19" s="36">
        <f>eth_ON!G19 - eth_OFF!G19 - AVERAGE(G$62:G$63)</f>
        <v>1.2000000000000171</v>
      </c>
      <c r="H19" s="36">
        <f>eth_ON!H19 - eth_OFF!H19 - AVERAGE(H$62:H$63)</f>
        <v>1.9500000000000171</v>
      </c>
      <c r="I19" s="36">
        <f>eth_ON!I19 - eth_OFF!I19 - AVERAGE(I$62:I$63)</f>
        <v>2.4000000000000341</v>
      </c>
      <c r="J19" s="36">
        <f>eth_ON!J19 - eth_OFF!J19 - AVERAGE(J$62:J$63)</f>
        <v>3.2000000000000171</v>
      </c>
      <c r="K19" s="36">
        <f>eth_ON!K19 - eth_OFF!K19 - AVERAGE(K$62:K$63)</f>
        <v>3.0500000000000114</v>
      </c>
      <c r="L19" s="36">
        <f>eth_ON!L19 - eth_OFF!L19 - AVERAGE(L$62:L$63)</f>
        <v>2.9999999999999432</v>
      </c>
      <c r="M19" s="36">
        <f>eth_ON!M19 - eth_OFF!M19 - AVERAGE(M$62:M$63)</f>
        <v>3.5499999999999829</v>
      </c>
      <c r="N19" s="36">
        <f>eth_ON!N19 - eth_OFF!N19 - AVERAGE(N$62:N$63)</f>
        <v>4.75</v>
      </c>
      <c r="O19" s="36">
        <f>eth_ON!O19 - eth_OFF!O19 - AVERAGE(O$62:O$63)</f>
        <v>2.9999999999999716</v>
      </c>
      <c r="P19" s="36">
        <f>eth_ON!P19 - eth_OFF!P19 - AVERAGE(P$62:P$63)</f>
        <v>2.7999999999999261</v>
      </c>
      <c r="Q19" s="36">
        <f>eth_ON!Q19 - eth_OFF!Q19 - AVERAGE(Q$62:Q$63)</f>
        <v>0.75</v>
      </c>
      <c r="R19" s="36">
        <f>eth_ON!R19 - eth_OFF!R19 - AVERAGE(R$62:R$63)</f>
        <v>1.8499999999999659</v>
      </c>
      <c r="S19" s="36">
        <f>eth_ON!S19 - eth_OFF!S19 - AVERAGE(S$62:S$63)</f>
        <v>1.75</v>
      </c>
      <c r="T19" s="36">
        <f>eth_ON!T19 - eth_OFF!T19 - AVERAGE(T$62:T$63)</f>
        <v>2.6499999999999773</v>
      </c>
      <c r="U19" s="6" t="str">
        <f>IF(eth_OFF!U19, (eth_ON!U19+500-eth_ON!U$64) - (eth_OFF!U19+500-eth_OFF!U$64) - AVERAGE($B$62:$AK$63), "")</f>
        <v/>
      </c>
      <c r="V19" s="6" t="str">
        <f>IF(eth_OFF!V19, (eth_ON!V19+500-eth_ON!V$64) - (eth_OFF!V19+500-eth_OFF!V$64) - AVERAGE(V$62:V$63), "")</f>
        <v/>
      </c>
      <c r="W19" s="6" t="str">
        <f>IF(eth_OFF!W19, (eth_ON!W19+500-eth_ON!W$64) - (eth_OFF!W19+500-eth_OFF!W$64) - AVERAGE(W$62:W$63), "")</f>
        <v/>
      </c>
      <c r="X19" s="6" t="str">
        <f>IF(eth_OFF!X19, (eth_ON!X19+500-eth_ON!X$64) - (eth_OFF!X19+500-eth_OFF!X$64) - AVERAGE(X$62:X$63), "")</f>
        <v/>
      </c>
      <c r="Y19" s="6" t="str">
        <f>IF(eth_OFF!Y19, (eth_ON!Y19+500-eth_ON!Y$64) - (eth_OFF!Y19+500-eth_OFF!Y$64) - AVERAGE(Y$62:Y$63), "")</f>
        <v/>
      </c>
      <c r="Z19" s="6" t="str">
        <f>IF(eth_OFF!Z19, (eth_ON!Z19+500-eth_ON!Z$64) - (eth_OFF!Z19+500-eth_OFF!Z$64) - AVERAGE(Z$62:Z$63), "")</f>
        <v/>
      </c>
      <c r="AA19" s="6" t="str">
        <f>IF(eth_OFF!AA19, (eth_ON!AA19+500-eth_ON!AA$64) - (eth_OFF!AA19+500-eth_OFF!AA$64) - AVERAGE(AA$62:AA$63), "")</f>
        <v/>
      </c>
      <c r="AB19" s="6" t="str">
        <f>IF(eth_OFF!AB19, (eth_ON!AB19+500-eth_ON!AB$64) - (eth_OFF!AB19+500-eth_OFF!AB$64) - AVERAGE(AB$62:AB$63), "")</f>
        <v/>
      </c>
      <c r="AC19" s="6" t="str">
        <f>IF(eth_OFF!AC19, (eth_ON!AC19+500-eth_ON!AC$64) - (eth_OFF!AC19+500-eth_OFF!AC$64) - AVERAGE(AC$62:AC$63), "")</f>
        <v/>
      </c>
      <c r="AD19" s="6" t="str">
        <f>IF(eth_OFF!AD19, (eth_ON!AD19+500-eth_ON!AD$64) - (eth_OFF!AD19+500-eth_OFF!AD$64) - AVERAGE(AD$62:AD$63), "")</f>
        <v/>
      </c>
      <c r="AE19" s="6" t="str">
        <f>IF(eth_OFF!AE19, (eth_ON!AE19+500-eth_ON!AE$64) - (eth_OFF!AE19+500-eth_OFF!AE$64) - AVERAGE(AE$62:AE$63), "")</f>
        <v/>
      </c>
      <c r="AF19" s="6" t="str">
        <f>IF(eth_OFF!AF19, (eth_ON!AF19+500-eth_ON!AF$64) - (eth_OFF!AF19+500-eth_OFF!AF$64) - AVERAGE(AF$62:AF$63), "")</f>
        <v/>
      </c>
      <c r="AG19" s="7" t="str">
        <f>IF(eth_OFF!AG19, (eth_ON!AG19+500-eth_ON!AG$64) - (eth_OFF!AG19+500-eth_OFF!AG$64) - AVERAGE(AG$62:AG$63), "")</f>
        <v/>
      </c>
      <c r="AH19" s="7" t="str">
        <f>IF(eth_OFF!AH19, (eth_ON!AH19+500-eth_ON!AH$64) - (eth_OFF!AH19+500-eth_OFF!AH$64) - AVERAGE(AH$62:AH$63), "")</f>
        <v/>
      </c>
      <c r="AI19" s="7" t="str">
        <f>IF(eth_OFF!AI19, (eth_ON!AI19+500-eth_ON!AI$64) - (eth_OFF!AI19+500-eth_OFF!AI$64) - AVERAGE(AI$62:AI$63), "")</f>
        <v/>
      </c>
      <c r="AJ19" s="7" t="str">
        <f>IF(eth_OFF!AJ19, (eth_ON!AJ19+500-eth_ON!AJ$64) - (eth_OFF!AJ19+500-eth_OFF!AJ$64) - AVERAGE(AJ$62:AJ$63), "")</f>
        <v/>
      </c>
      <c r="AK19" s="15" t="str">
        <f>IF(eth_OFF!AK19, (eth_ON!AK19+500-eth_ON!AK$64) - (eth_OFF!AK19+500-eth_OFF!AK$64) - AVERAGE(AK$62:AK$63), "")</f>
        <v/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1:65">
      <c r="A20" s="1">
        <v>19</v>
      </c>
      <c r="B20" s="36">
        <f>eth_ON!B20 - eth_OFF!B20 - AVERAGE(B$62:B$63)</f>
        <v>1.6999999999999318</v>
      </c>
      <c r="C20" s="36">
        <f>eth_ON!C20 - eth_OFF!C20 - AVERAGE(C$62:C$63)</f>
        <v>1.0500000000000114</v>
      </c>
      <c r="D20" s="36">
        <f>eth_ON!D20 - eth_OFF!D20 - AVERAGE(D$62:D$63)</f>
        <v>0.40000000000003411</v>
      </c>
      <c r="E20" s="36">
        <f>eth_ON!E20 - eth_OFF!E20 - AVERAGE(E$62:E$63)</f>
        <v>0.94999999999996021</v>
      </c>
      <c r="F20" s="36">
        <f>eth_ON!F20 - eth_OFF!F20 - AVERAGE(F$62:F$63)</f>
        <v>0.40000000000000568</v>
      </c>
      <c r="G20" s="36">
        <f>eth_ON!G20 - eth_OFF!G20 - AVERAGE(G$62:G$63)</f>
        <v>0.60000000000005116</v>
      </c>
      <c r="H20" s="36">
        <f>eth_ON!H20 - eth_OFF!H20 - AVERAGE(H$62:H$63)</f>
        <v>0.54999999999998295</v>
      </c>
      <c r="I20" s="36">
        <f>eth_ON!I20 - eth_OFF!I20 - AVERAGE(I$62:I$63)</f>
        <v>0.30000000000006821</v>
      </c>
      <c r="J20" s="36">
        <f>eth_ON!J20 - eth_OFF!J20 - AVERAGE(J$62:J$63)</f>
        <v>0.79999999999998295</v>
      </c>
      <c r="K20" s="36">
        <f>eth_ON!K20 - eth_OFF!K20 - AVERAGE(K$62:K$63)</f>
        <v>0.45000000000004547</v>
      </c>
      <c r="L20" s="36">
        <f>eth_ON!L20 - eth_OFF!L20 - AVERAGE(L$62:L$63)</f>
        <v>1.2999999999999545</v>
      </c>
      <c r="M20" s="36">
        <f>eth_ON!M20 - eth_OFF!M20 - AVERAGE(M$62:M$63)</f>
        <v>4.9999999999982947E-2</v>
      </c>
      <c r="N20" s="36">
        <f>eth_ON!N20 - eth_OFF!N20 - AVERAGE(N$62:N$63)</f>
        <v>0.44999999999998863</v>
      </c>
      <c r="O20" s="36">
        <f>eth_ON!O20 - eth_OFF!O20 - AVERAGE(O$62:O$63)</f>
        <v>-2.8421709430404007E-14</v>
      </c>
      <c r="P20" s="36">
        <f>eth_ON!P20 - eth_OFF!P20 - AVERAGE(P$62:P$63)</f>
        <v>0.29999999999998295</v>
      </c>
      <c r="Q20" s="36">
        <f>eth_ON!Q20 - eth_OFF!Q20 - AVERAGE(Q$62:Q$63)</f>
        <v>5.0000000000011369E-2</v>
      </c>
      <c r="R20" s="36">
        <f>eth_ON!R20 - eth_OFF!R20 - AVERAGE(R$62:R$63)</f>
        <v>-5.0000000000011369E-2</v>
      </c>
      <c r="S20" s="36">
        <f>eth_ON!S20 - eth_OFF!S20 - AVERAGE(S$62:S$63)</f>
        <v>0.15000000000003411</v>
      </c>
      <c r="T20" s="36">
        <f>eth_ON!T20 - eth_OFF!T20 - AVERAGE(T$62:T$63)</f>
        <v>0.14999999999997726</v>
      </c>
      <c r="U20" s="6" t="str">
        <f>IF(eth_OFF!U20, (eth_ON!U20+500-eth_ON!U$64) - (eth_OFF!U20+500-eth_OFF!U$64) - AVERAGE($B$62:$AK$63), "")</f>
        <v/>
      </c>
      <c r="V20" s="6" t="str">
        <f>IF(eth_OFF!V20, (eth_ON!V20+500-eth_ON!V$64) - (eth_OFF!V20+500-eth_OFF!V$64) - AVERAGE(V$62:V$63), "")</f>
        <v/>
      </c>
      <c r="W20" s="6" t="str">
        <f>IF(eth_OFF!W20, (eth_ON!W20+500-eth_ON!W$64) - (eth_OFF!W20+500-eth_OFF!W$64) - AVERAGE(W$62:W$63), "")</f>
        <v/>
      </c>
      <c r="X20" s="6" t="str">
        <f>IF(eth_OFF!X20, (eth_ON!X20+500-eth_ON!X$64) - (eth_OFF!X20+500-eth_OFF!X$64) - AVERAGE(X$62:X$63), "")</f>
        <v/>
      </c>
      <c r="Y20" s="6" t="str">
        <f>IF(eth_OFF!Y20, (eth_ON!Y20+500-eth_ON!Y$64) - (eth_OFF!Y20+500-eth_OFF!Y$64) - AVERAGE(Y$62:Y$63), "")</f>
        <v/>
      </c>
      <c r="Z20" s="6" t="str">
        <f>IF(eth_OFF!Z20, (eth_ON!Z20+500-eth_ON!Z$64) - (eth_OFF!Z20+500-eth_OFF!Z$64) - AVERAGE(Z$62:Z$63), "")</f>
        <v/>
      </c>
      <c r="AA20" s="6" t="str">
        <f>IF(eth_OFF!AA20, (eth_ON!AA20+500-eth_ON!AA$64) - (eth_OFF!AA20+500-eth_OFF!AA$64) - AVERAGE(AA$62:AA$63), "")</f>
        <v/>
      </c>
      <c r="AB20" s="6" t="str">
        <f>IF(eth_OFF!AB20, (eth_ON!AB20+500-eth_ON!AB$64) - (eth_OFF!AB20+500-eth_OFF!AB$64) - AVERAGE(AB$62:AB$63), "")</f>
        <v/>
      </c>
      <c r="AC20" s="6" t="str">
        <f>IF(eth_OFF!AC20, (eth_ON!AC20+500-eth_ON!AC$64) - (eth_OFF!AC20+500-eth_OFF!AC$64) - AVERAGE(AC$62:AC$63), "")</f>
        <v/>
      </c>
      <c r="AD20" s="6" t="str">
        <f>IF(eth_OFF!AD20, (eth_ON!AD20+500-eth_ON!AD$64) - (eth_OFF!AD20+500-eth_OFF!AD$64) - AVERAGE(AD$62:AD$63), "")</f>
        <v/>
      </c>
      <c r="AE20" s="6" t="str">
        <f>IF(eth_OFF!AE20, (eth_ON!AE20+500-eth_ON!AE$64) - (eth_OFF!AE20+500-eth_OFF!AE$64) - AVERAGE(AE$62:AE$63), "")</f>
        <v/>
      </c>
      <c r="AF20" s="6" t="str">
        <f>IF(eth_OFF!AF20, (eth_ON!AF20+500-eth_ON!AF$64) - (eth_OFF!AF20+500-eth_OFF!AF$64) - AVERAGE(AF$62:AF$63), "")</f>
        <v/>
      </c>
      <c r="AG20" s="7" t="str">
        <f>IF(eth_OFF!AG20, (eth_ON!AG20+500-eth_ON!AG$64) - (eth_OFF!AG20+500-eth_OFF!AG$64) - AVERAGE(AG$62:AG$63), "")</f>
        <v/>
      </c>
      <c r="AH20" s="7" t="str">
        <f>IF(eth_OFF!AH20, (eth_ON!AH20+500-eth_ON!AH$64) - (eth_OFF!AH20+500-eth_OFF!AH$64) - AVERAGE(AH$62:AH$63), "")</f>
        <v/>
      </c>
      <c r="AI20" s="7" t="str">
        <f>IF(eth_OFF!AI20, (eth_ON!AI20+500-eth_ON!AI$64) - (eth_OFF!AI20+500-eth_OFF!AI$64) - AVERAGE(AI$62:AI$63), "")</f>
        <v/>
      </c>
      <c r="AJ20" s="7" t="str">
        <f>IF(eth_OFF!AJ20, (eth_ON!AJ20+500-eth_ON!AJ$64) - (eth_OFF!AJ20+500-eth_OFF!AJ$64) - AVERAGE(AJ$62:AJ$63), "")</f>
        <v/>
      </c>
      <c r="AK20" s="15" t="str">
        <f>IF(eth_OFF!AK20, (eth_ON!AK20+500-eth_ON!AK$64) - (eth_OFF!AK20+500-eth_OFF!AK$64) - AVERAGE(AK$62:AK$63), "")</f>
        <v/>
      </c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1:65">
      <c r="A21" s="1">
        <v>20</v>
      </c>
      <c r="B21" s="36">
        <f>eth_ON!B21 - eth_OFF!B21 - AVERAGE(B$62:B$63)</f>
        <v>9.9999999999965894E-2</v>
      </c>
      <c r="C21" s="36">
        <f>eth_ON!C21 - eth_OFF!C21 - AVERAGE(C$62:C$63)</f>
        <v>0.25</v>
      </c>
      <c r="D21" s="36">
        <f>eth_ON!D21 - eth_OFF!D21 - AVERAGE(D$62:D$63)</f>
        <v>0.30000000000001137</v>
      </c>
      <c r="E21" s="36">
        <f>eth_ON!E21 - eth_OFF!E21 - AVERAGE(E$62:E$63)</f>
        <v>0.45000000000001705</v>
      </c>
      <c r="F21" s="36">
        <f>eth_ON!F21 - eth_OFF!F21 - AVERAGE(F$62:F$63)</f>
        <v>0.29999999999998295</v>
      </c>
      <c r="G21" s="36">
        <f>eth_ON!G21 - eth_OFF!G21 - AVERAGE(G$62:G$63)</f>
        <v>0.20000000000001705</v>
      </c>
      <c r="H21" s="36">
        <f>eth_ON!H21 - eth_OFF!H21 - AVERAGE(H$62:H$63)</f>
        <v>-4.9999999999982947E-2</v>
      </c>
      <c r="I21" s="36">
        <f>eth_ON!I21 - eth_OFF!I21 - AVERAGE(I$62:I$63)</f>
        <v>0.20000000000004547</v>
      </c>
      <c r="J21" s="36">
        <f>eth_ON!J21 - eth_OFF!J21 - AVERAGE(J$62:J$63)</f>
        <v>9.9999999999994316E-2</v>
      </c>
      <c r="K21" s="36">
        <f>eth_ON!K21 - eth_OFF!K21 - AVERAGE(K$62:K$63)</f>
        <v>0.25</v>
      </c>
      <c r="L21" s="36">
        <f>eth_ON!L21 - eth_OFF!L21 - AVERAGE(L$62:L$63)</f>
        <v>0.39999999999997726</v>
      </c>
      <c r="M21" s="36">
        <f>eth_ON!M21 - eth_OFF!M21 - AVERAGE(M$62:M$63)</f>
        <v>-0.45000000000001705</v>
      </c>
      <c r="N21" s="36">
        <f>eth_ON!N21 - eth_OFF!N21 - AVERAGE(N$62:N$63)</f>
        <v>0.34999999999996589</v>
      </c>
      <c r="O21" s="36">
        <f>eth_ON!O21 - eth_OFF!O21 - AVERAGE(O$62:O$63)</f>
        <v>-9.9999999999994316E-2</v>
      </c>
      <c r="P21" s="36">
        <f>eth_ON!P21 - eth_OFF!P21 - AVERAGE(P$62:P$63)</f>
        <v>0.29999999999998295</v>
      </c>
      <c r="Q21" s="36">
        <f>eth_ON!Q21 - eth_OFF!Q21 - AVERAGE(Q$62:Q$63)</f>
        <v>4.9999999999954525E-2</v>
      </c>
      <c r="R21" s="36">
        <f>eth_ON!R21 - eth_OFF!R21 - AVERAGE(R$62:R$63)</f>
        <v>0.25</v>
      </c>
      <c r="S21" s="36">
        <f>eth_ON!S21 - eth_OFF!S21 - AVERAGE(S$62:S$63)</f>
        <v>5.0000000000068212E-2</v>
      </c>
      <c r="T21" s="36">
        <f>eth_ON!T21 - eth_OFF!T21 - AVERAGE(T$62:T$63)</f>
        <v>0.34999999999996589</v>
      </c>
      <c r="U21" s="6" t="str">
        <f>IF(eth_OFF!U21, (eth_ON!U21+500-eth_ON!U$64) - (eth_OFF!U21+500-eth_OFF!U$64) - AVERAGE($B$62:$AK$63), "")</f>
        <v/>
      </c>
      <c r="V21" s="6" t="str">
        <f>IF(eth_OFF!V21, (eth_ON!V21+500-eth_ON!V$64) - (eth_OFF!V21+500-eth_OFF!V$64) - AVERAGE(V$62:V$63), "")</f>
        <v/>
      </c>
      <c r="W21" s="6" t="str">
        <f>IF(eth_OFF!W21, (eth_ON!W21+500-eth_ON!W$64) - (eth_OFF!W21+500-eth_OFF!W$64) - AVERAGE(W$62:W$63), "")</f>
        <v/>
      </c>
      <c r="X21" s="6" t="str">
        <f>IF(eth_OFF!X21, (eth_ON!X21+500-eth_ON!X$64) - (eth_OFF!X21+500-eth_OFF!X$64) - AVERAGE(X$62:X$63), "")</f>
        <v/>
      </c>
      <c r="Y21" s="6" t="str">
        <f>IF(eth_OFF!Y21, (eth_ON!Y21+500-eth_ON!Y$64) - (eth_OFF!Y21+500-eth_OFF!Y$64) - AVERAGE(Y$62:Y$63), "")</f>
        <v/>
      </c>
      <c r="Z21" s="6" t="str">
        <f>IF(eth_OFF!Z21, (eth_ON!Z21+500-eth_ON!Z$64) - (eth_OFF!Z21+500-eth_OFF!Z$64) - AVERAGE(Z$62:Z$63), "")</f>
        <v/>
      </c>
      <c r="AA21" s="6" t="str">
        <f>IF(eth_OFF!AA21, (eth_ON!AA21+500-eth_ON!AA$64) - (eth_OFF!AA21+500-eth_OFF!AA$64) - AVERAGE(AA$62:AA$63), "")</f>
        <v/>
      </c>
      <c r="AB21" s="6" t="str">
        <f>IF(eth_OFF!AB21, (eth_ON!AB21+500-eth_ON!AB$64) - (eth_OFF!AB21+500-eth_OFF!AB$64) - AVERAGE(AB$62:AB$63), "")</f>
        <v/>
      </c>
      <c r="AC21" s="6" t="str">
        <f>IF(eth_OFF!AC21, (eth_ON!AC21+500-eth_ON!AC$64) - (eth_OFF!AC21+500-eth_OFF!AC$64) - AVERAGE(AC$62:AC$63), "")</f>
        <v/>
      </c>
      <c r="AD21" s="6" t="str">
        <f>IF(eth_OFF!AD21, (eth_ON!AD21+500-eth_ON!AD$64) - (eth_OFF!AD21+500-eth_OFF!AD$64) - AVERAGE(AD$62:AD$63), "")</f>
        <v/>
      </c>
      <c r="AE21" s="6" t="str">
        <f>IF(eth_OFF!AE21, (eth_ON!AE21+500-eth_ON!AE$64) - (eth_OFF!AE21+500-eth_OFF!AE$64) - AVERAGE(AE$62:AE$63), "")</f>
        <v/>
      </c>
      <c r="AF21" s="6" t="str">
        <f>IF(eth_OFF!AF21, (eth_ON!AF21+500-eth_ON!AF$64) - (eth_OFF!AF21+500-eth_OFF!AF$64) - AVERAGE(AF$62:AF$63), "")</f>
        <v/>
      </c>
      <c r="AG21" s="7" t="str">
        <f>IF(eth_OFF!AG21, (eth_ON!AG21+500-eth_ON!AG$64) - (eth_OFF!AG21+500-eth_OFF!AG$64) - AVERAGE(AG$62:AG$63), "")</f>
        <v/>
      </c>
      <c r="AH21" s="7" t="str">
        <f>IF(eth_OFF!AH21, (eth_ON!AH21+500-eth_ON!AH$64) - (eth_OFF!AH21+500-eth_OFF!AH$64) - AVERAGE(AH$62:AH$63), "")</f>
        <v/>
      </c>
      <c r="AI21" s="7" t="str">
        <f>IF(eth_OFF!AI21, (eth_ON!AI21+500-eth_ON!AI$64) - (eth_OFF!AI21+500-eth_OFF!AI$64) - AVERAGE(AI$62:AI$63), "")</f>
        <v/>
      </c>
      <c r="AJ21" s="7" t="str">
        <f>IF(eth_OFF!AJ21, (eth_ON!AJ21+500-eth_ON!AJ$64) - (eth_OFF!AJ21+500-eth_OFF!AJ$64) - AVERAGE(AJ$62:AJ$63), "")</f>
        <v/>
      </c>
      <c r="AK21" s="15" t="str">
        <f>IF(eth_OFF!AK21, (eth_ON!AK21+500-eth_ON!AK$64) - (eth_OFF!AK21+500-eth_OFF!AK$64) - AVERAGE(AK$62:AK$63), "")</f>
        <v/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1:65">
      <c r="A22" s="1">
        <v>21</v>
      </c>
      <c r="B22" s="36">
        <f>eth_ON!B22 - eth_OFF!B22 - AVERAGE(B$62:B$63)</f>
        <v>1.6999999999999886</v>
      </c>
      <c r="C22" s="36">
        <f>eth_ON!C22 - eth_OFF!C22 - AVERAGE(C$62:C$63)</f>
        <v>1.8499999999999659</v>
      </c>
      <c r="D22" s="36">
        <f>eth_ON!D22 - eth_OFF!D22 - AVERAGE(D$62:D$63)</f>
        <v>2.3000000000000114</v>
      </c>
      <c r="E22" s="36">
        <f>eth_ON!E22 - eth_OFF!E22 - AVERAGE(E$62:E$63)</f>
        <v>2.5499999999999829</v>
      </c>
      <c r="F22" s="36">
        <f>eth_ON!F22 - eth_OFF!F22 - AVERAGE(F$62:F$63)</f>
        <v>1.9000000000000057</v>
      </c>
      <c r="G22" s="36">
        <f>eth_ON!G22 - eth_OFF!G22 - AVERAGE(G$62:G$63)</f>
        <v>2.1000000000000512</v>
      </c>
      <c r="H22" s="36">
        <f>eth_ON!H22 - eth_OFF!H22 - AVERAGE(H$62:H$63)</f>
        <v>0.95000000000001705</v>
      </c>
      <c r="I22" s="36">
        <f>eth_ON!I22 - eth_OFF!I22 - AVERAGE(I$62:I$63)</f>
        <v>1.6000000000000796</v>
      </c>
      <c r="J22" s="36">
        <f>eth_ON!J22 - eth_OFF!J22 - AVERAGE(J$62:J$63)</f>
        <v>1.2999999999999829</v>
      </c>
      <c r="K22" s="36">
        <f>eth_ON!K22 - eth_OFF!K22 - AVERAGE(K$62:K$63)</f>
        <v>1.6500000000000341</v>
      </c>
      <c r="L22" s="36">
        <f>eth_ON!L22 - eth_OFF!L22 - AVERAGE(L$62:L$63)</f>
        <v>2.2999999999999545</v>
      </c>
      <c r="M22" s="36">
        <f>eth_ON!M22 - eth_OFF!M22 - AVERAGE(M$62:M$63)</f>
        <v>1.4500000000000171</v>
      </c>
      <c r="N22" s="36">
        <f>eth_ON!N22 - eth_OFF!N22 - AVERAGE(N$62:N$63)</f>
        <v>2.4499999999999886</v>
      </c>
      <c r="O22" s="36">
        <f>eth_ON!O22 - eth_OFF!O22 - AVERAGE(O$62:O$63)</f>
        <v>1.8000000000000398</v>
      </c>
      <c r="P22" s="36">
        <f>eth_ON!P22 - eth_OFF!P22 - AVERAGE(P$62:P$63)</f>
        <v>1.3999999999999488</v>
      </c>
      <c r="Q22" s="36">
        <f>eth_ON!Q22 - eth_OFF!Q22 - AVERAGE(Q$62:Q$63)</f>
        <v>0.85000000000002274</v>
      </c>
      <c r="R22" s="36">
        <f>eth_ON!R22 - eth_OFF!R22 - AVERAGE(R$62:R$63)</f>
        <v>0.35000000000002274</v>
      </c>
      <c r="S22" s="36">
        <f>eth_ON!S22 - eth_OFF!S22 - AVERAGE(S$62:S$63)</f>
        <v>0.65000000000003411</v>
      </c>
      <c r="T22" s="36">
        <f>eth_ON!T22 - eth_OFF!T22 - AVERAGE(T$62:T$63)</f>
        <v>1.4499999999999886</v>
      </c>
      <c r="U22" s="6" t="str">
        <f>IF(eth_OFF!U22, (eth_ON!U22+500-eth_ON!U$64) - (eth_OFF!U22+500-eth_OFF!U$64) - AVERAGE($B$62:$AK$63), "")</f>
        <v/>
      </c>
      <c r="V22" s="6" t="str">
        <f>IF(eth_OFF!V22, (eth_ON!V22+500-eth_ON!V$64) - (eth_OFF!V22+500-eth_OFF!V$64) - AVERAGE(V$62:V$63), "")</f>
        <v/>
      </c>
      <c r="W22" s="6" t="str">
        <f>IF(eth_OFF!W22, (eth_ON!W22+500-eth_ON!W$64) - (eth_OFF!W22+500-eth_OFF!W$64) - AVERAGE(W$62:W$63), "")</f>
        <v/>
      </c>
      <c r="X22" s="6" t="str">
        <f>IF(eth_OFF!X22, (eth_ON!X22+500-eth_ON!X$64) - (eth_OFF!X22+500-eth_OFF!X$64) - AVERAGE(X$62:X$63), "")</f>
        <v/>
      </c>
      <c r="Y22" s="6" t="str">
        <f>IF(eth_OFF!Y22, (eth_ON!Y22+500-eth_ON!Y$64) - (eth_OFF!Y22+500-eth_OFF!Y$64) - AVERAGE(Y$62:Y$63), "")</f>
        <v/>
      </c>
      <c r="Z22" s="6" t="str">
        <f>IF(eth_OFF!Z22, (eth_ON!Z22+500-eth_ON!Z$64) - (eth_OFF!Z22+500-eth_OFF!Z$64) - AVERAGE(Z$62:Z$63), "")</f>
        <v/>
      </c>
      <c r="AA22" s="6" t="str">
        <f>IF(eth_OFF!AA22, (eth_ON!AA22+500-eth_ON!AA$64) - (eth_OFF!AA22+500-eth_OFF!AA$64) - AVERAGE(AA$62:AA$63), "")</f>
        <v/>
      </c>
      <c r="AB22" s="6" t="str">
        <f>IF(eth_OFF!AB22, (eth_ON!AB22+500-eth_ON!AB$64) - (eth_OFF!AB22+500-eth_OFF!AB$64) - AVERAGE(AB$62:AB$63), "")</f>
        <v/>
      </c>
      <c r="AC22" s="6" t="str">
        <f>IF(eth_OFF!AC22, (eth_ON!AC22+500-eth_ON!AC$64) - (eth_OFF!AC22+500-eth_OFF!AC$64) - AVERAGE(AC$62:AC$63), "")</f>
        <v/>
      </c>
      <c r="AD22" s="6" t="str">
        <f>IF(eth_OFF!AD22, (eth_ON!AD22+500-eth_ON!AD$64) - (eth_OFF!AD22+500-eth_OFF!AD$64) - AVERAGE(AD$62:AD$63), "")</f>
        <v/>
      </c>
      <c r="AE22" s="6" t="str">
        <f>IF(eth_OFF!AE22, (eth_ON!AE22+500-eth_ON!AE$64) - (eth_OFF!AE22+500-eth_OFF!AE$64) - AVERAGE(AE$62:AE$63), "")</f>
        <v/>
      </c>
      <c r="AF22" s="6" t="str">
        <f>IF(eth_OFF!AF22, (eth_ON!AF22+500-eth_ON!AF$64) - (eth_OFF!AF22+500-eth_OFF!AF$64) - AVERAGE(AF$62:AF$63), "")</f>
        <v/>
      </c>
      <c r="AG22" s="7" t="str">
        <f>IF(eth_OFF!AG22, (eth_ON!AG22+500-eth_ON!AG$64) - (eth_OFF!AG22+500-eth_OFF!AG$64) - AVERAGE(AG$62:AG$63), "")</f>
        <v/>
      </c>
      <c r="AH22" s="7" t="str">
        <f>IF(eth_OFF!AH22, (eth_ON!AH22+500-eth_ON!AH$64) - (eth_OFF!AH22+500-eth_OFF!AH$64) - AVERAGE(AH$62:AH$63), "")</f>
        <v/>
      </c>
      <c r="AI22" s="7" t="str">
        <f>IF(eth_OFF!AI22, (eth_ON!AI22+500-eth_ON!AI$64) - (eth_OFF!AI22+500-eth_OFF!AI$64) - AVERAGE(AI$62:AI$63), "")</f>
        <v/>
      </c>
      <c r="AJ22" s="7" t="str">
        <f>IF(eth_OFF!AJ22, (eth_ON!AJ22+500-eth_ON!AJ$64) - (eth_OFF!AJ22+500-eth_OFF!AJ$64) - AVERAGE(AJ$62:AJ$63), "")</f>
        <v/>
      </c>
      <c r="AK22" s="15" t="str">
        <f>IF(eth_OFF!AK22, (eth_ON!AK22+500-eth_ON!AK$64) - (eth_OFF!AK22+500-eth_OFF!AK$64) - AVERAGE(AK$62:AK$63), "")</f>
        <v/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>
      <c r="A23" s="1">
        <v>22</v>
      </c>
      <c r="B23" s="36">
        <f>eth_ON!B23 - eth_OFF!B23 - AVERAGE(B$62:B$63)</f>
        <v>2.2999999999999545</v>
      </c>
      <c r="C23" s="36">
        <f>eth_ON!C23 - eth_OFF!C23 - AVERAGE(C$62:C$63)</f>
        <v>3.5500000000000114</v>
      </c>
      <c r="D23" s="36">
        <f>eth_ON!D23 - eth_OFF!D23 - AVERAGE(D$62:D$63)</f>
        <v>2.5000000000000568</v>
      </c>
      <c r="E23" s="36">
        <f>eth_ON!E23 - eth_OFF!E23 - AVERAGE(E$62:E$63)</f>
        <v>2.5499999999999829</v>
      </c>
      <c r="F23" s="36">
        <f>eth_ON!F23 - eth_OFF!F23 - AVERAGE(F$62:F$63)</f>
        <v>3.4999999999999716</v>
      </c>
      <c r="G23" s="36">
        <f>eth_ON!G23 - eth_OFF!G23 - AVERAGE(G$62:G$63)</f>
        <v>2.3000000000000398</v>
      </c>
      <c r="H23" s="36">
        <f>eth_ON!H23 - eth_OFF!H23 - AVERAGE(H$62:H$63)</f>
        <v>2.9500000000000171</v>
      </c>
      <c r="I23" s="36">
        <f>eth_ON!I23 - eth_OFF!I23 - AVERAGE(I$62:I$63)</f>
        <v>5.0000000000000568</v>
      </c>
      <c r="J23" s="36">
        <f>eth_ON!J23 - eth_OFF!J23 - AVERAGE(J$62:J$63)</f>
        <v>2.5000000000000284</v>
      </c>
      <c r="K23" s="36">
        <f>eth_ON!K23 - eth_OFF!K23 - AVERAGE(K$62:K$63)</f>
        <v>2.4499999999999886</v>
      </c>
      <c r="L23" s="36">
        <f>eth_ON!L23 - eth_OFF!L23 - AVERAGE(L$62:L$63)</f>
        <v>3.3999999999999773</v>
      </c>
      <c r="M23" s="36">
        <f>eth_ON!M23 - eth_OFF!M23 - AVERAGE(M$62:M$63)</f>
        <v>1.8499999999999943</v>
      </c>
      <c r="N23" s="36">
        <f>eth_ON!N23 - eth_OFF!N23 - AVERAGE(N$62:N$63)</f>
        <v>2.8499999999999659</v>
      </c>
      <c r="O23" s="36">
        <f>eth_ON!O23 - eth_OFF!O23 - AVERAGE(O$62:O$63)</f>
        <v>2.4000000000000057</v>
      </c>
      <c r="P23" s="36">
        <f>eth_ON!P23 - eth_OFF!P23 - AVERAGE(P$62:P$63)</f>
        <v>2.7999999999999829</v>
      </c>
      <c r="Q23" s="36">
        <f>eth_ON!Q23 - eth_OFF!Q23 - AVERAGE(Q$62:Q$63)</f>
        <v>0.75</v>
      </c>
      <c r="R23" s="36">
        <f>eth_ON!R23 - eth_OFF!R23 - AVERAGE(R$62:R$63)</f>
        <v>0.35000000000002274</v>
      </c>
      <c r="S23" s="36">
        <f>eth_ON!S23 - eth_OFF!S23 - AVERAGE(S$62:S$63)</f>
        <v>1.3500000000000227</v>
      </c>
      <c r="T23" s="36">
        <f>eth_ON!T23 - eth_OFF!T23 - AVERAGE(T$62:T$63)</f>
        <v>1.3500000000000227</v>
      </c>
      <c r="U23" s="6" t="str">
        <f>IF(eth_OFF!U23, (eth_ON!U23+500-eth_ON!U$64) - (eth_OFF!U23+500-eth_OFF!U$64) - AVERAGE($B$62:$AK$63), "")</f>
        <v/>
      </c>
      <c r="V23" s="6" t="str">
        <f>IF(eth_OFF!V23, (eth_ON!V23+500-eth_ON!V$64) - (eth_OFF!V23+500-eth_OFF!V$64) - AVERAGE(V$62:V$63), "")</f>
        <v/>
      </c>
      <c r="W23" s="6" t="str">
        <f>IF(eth_OFF!W23, (eth_ON!W23+500-eth_ON!W$64) - (eth_OFF!W23+500-eth_OFF!W$64) - AVERAGE(W$62:W$63), "")</f>
        <v/>
      </c>
      <c r="X23" s="6" t="str">
        <f>IF(eth_OFF!X23, (eth_ON!X23+500-eth_ON!X$64) - (eth_OFF!X23+500-eth_OFF!X$64) - AVERAGE(X$62:X$63), "")</f>
        <v/>
      </c>
      <c r="Y23" s="6" t="str">
        <f>IF(eth_OFF!Y23, (eth_ON!Y23+500-eth_ON!Y$64) - (eth_OFF!Y23+500-eth_OFF!Y$64) - AVERAGE(Y$62:Y$63), "")</f>
        <v/>
      </c>
      <c r="Z23" s="6" t="str">
        <f>IF(eth_OFF!Z23, (eth_ON!Z23+500-eth_ON!Z$64) - (eth_OFF!Z23+500-eth_OFF!Z$64) - AVERAGE(Z$62:Z$63), "")</f>
        <v/>
      </c>
      <c r="AA23" s="6" t="str">
        <f>IF(eth_OFF!AA23, (eth_ON!AA23+500-eth_ON!AA$64) - (eth_OFF!AA23+500-eth_OFF!AA$64) - AVERAGE(AA$62:AA$63), "")</f>
        <v/>
      </c>
      <c r="AB23" s="6" t="str">
        <f>IF(eth_OFF!AB23, (eth_ON!AB23+500-eth_ON!AB$64) - (eth_OFF!AB23+500-eth_OFF!AB$64) - AVERAGE(AB$62:AB$63), "")</f>
        <v/>
      </c>
      <c r="AC23" s="6" t="str">
        <f>IF(eth_OFF!AC23, (eth_ON!AC23+500-eth_ON!AC$64) - (eth_OFF!AC23+500-eth_OFF!AC$64) - AVERAGE(AC$62:AC$63), "")</f>
        <v/>
      </c>
      <c r="AD23" s="6" t="str">
        <f>IF(eth_OFF!AD23, (eth_ON!AD23+500-eth_ON!AD$64) - (eth_OFF!AD23+500-eth_OFF!AD$64) - AVERAGE(AD$62:AD$63), "")</f>
        <v/>
      </c>
      <c r="AE23" s="6" t="str">
        <f>IF(eth_OFF!AE23, (eth_ON!AE23+500-eth_ON!AE$64) - (eth_OFF!AE23+500-eth_OFF!AE$64) - AVERAGE(AE$62:AE$63), "")</f>
        <v/>
      </c>
      <c r="AF23" s="6" t="str">
        <f>IF(eth_OFF!AF23, (eth_ON!AF23+500-eth_ON!AF$64) - (eth_OFF!AF23+500-eth_OFF!AF$64) - AVERAGE(AF$62:AF$63), "")</f>
        <v/>
      </c>
      <c r="AG23" s="7" t="str">
        <f>IF(eth_OFF!AG23, (eth_ON!AG23+500-eth_ON!AG$64) - (eth_OFF!AG23+500-eth_OFF!AG$64) - AVERAGE(AG$62:AG$63), "")</f>
        <v/>
      </c>
      <c r="AH23" s="7" t="str">
        <f>IF(eth_OFF!AH23, (eth_ON!AH23+500-eth_ON!AH$64) - (eth_OFF!AH23+500-eth_OFF!AH$64) - AVERAGE(AH$62:AH$63), "")</f>
        <v/>
      </c>
      <c r="AI23" s="7" t="str">
        <f>IF(eth_OFF!AI23, (eth_ON!AI23+500-eth_ON!AI$64) - (eth_OFF!AI23+500-eth_OFF!AI$64) - AVERAGE(AI$62:AI$63), "")</f>
        <v/>
      </c>
      <c r="AJ23" s="7" t="str">
        <f>IF(eth_OFF!AJ23, (eth_ON!AJ23+500-eth_ON!AJ$64) - (eth_OFF!AJ23+500-eth_OFF!AJ$64) - AVERAGE(AJ$62:AJ$63), "")</f>
        <v/>
      </c>
      <c r="AK23" s="15" t="str">
        <f>IF(eth_OFF!AK23, (eth_ON!AK23+500-eth_ON!AK$64) - (eth_OFF!AK23+500-eth_OFF!AK$64) - AVERAGE(AK$62:AK$63), "")</f>
        <v/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>
      <c r="A24" s="1">
        <v>23</v>
      </c>
      <c r="B24" s="36">
        <f>eth_ON!B24 - eth_OFF!B24 - AVERAGE(B$62:B$63)</f>
        <v>2.6999999999999318</v>
      </c>
      <c r="C24" s="36">
        <f>eth_ON!C24 - eth_OFF!C24 - AVERAGE(C$62:C$63)</f>
        <v>2.25</v>
      </c>
      <c r="D24" s="36">
        <f>eth_ON!D24 - eth_OFF!D24 - AVERAGE(D$62:D$63)</f>
        <v>2</v>
      </c>
      <c r="E24" s="36">
        <f>eth_ON!E24 - eth_OFF!E24 - AVERAGE(E$62:E$63)</f>
        <v>2.4499999999999602</v>
      </c>
      <c r="F24" s="36">
        <f>eth_ON!F24 - eth_OFF!F24 - AVERAGE(F$62:F$63)</f>
        <v>2.7999999999999829</v>
      </c>
      <c r="G24" s="36">
        <f>eth_ON!G24 - eth_OFF!G24 - AVERAGE(G$62:G$63)</f>
        <v>1.9000000000000625</v>
      </c>
      <c r="H24" s="36">
        <f>eth_ON!H24 - eth_OFF!H24 - AVERAGE(H$62:H$63)</f>
        <v>2.0500000000000398</v>
      </c>
      <c r="I24" s="36">
        <f>eth_ON!I24 - eth_OFF!I24 - AVERAGE(I$62:I$63)</f>
        <v>3.9000000000000341</v>
      </c>
      <c r="J24" s="36">
        <f>eth_ON!J24 - eth_OFF!J24 - AVERAGE(J$62:J$63)</f>
        <v>1.0999999999999943</v>
      </c>
      <c r="K24" s="36">
        <f>eth_ON!K24 - eth_OFF!K24 - AVERAGE(K$62:K$63)</f>
        <v>2.5500000000000114</v>
      </c>
      <c r="L24" s="36">
        <f>eth_ON!L24 - eth_OFF!L24 - AVERAGE(L$62:L$63)</f>
        <v>2.1999999999999318</v>
      </c>
      <c r="M24" s="36">
        <f>eth_ON!M24 - eth_OFF!M24 - AVERAGE(M$62:M$63)</f>
        <v>1.9499999999999602</v>
      </c>
      <c r="N24" s="36">
        <f>eth_ON!N24 - eth_OFF!N24 - AVERAGE(N$62:N$63)</f>
        <v>0.34999999999996589</v>
      </c>
      <c r="O24" s="36">
        <f>eth_ON!O24 - eth_OFF!O24 - AVERAGE(O$62:O$63)</f>
        <v>1.3000000000000398</v>
      </c>
      <c r="P24" s="36">
        <f>eth_ON!P24 - eth_OFF!P24 - AVERAGE(P$62:P$63)</f>
        <v>2.6999999999999602</v>
      </c>
      <c r="Q24" s="36">
        <f>eth_ON!Q24 - eth_OFF!Q24 - AVERAGE(Q$62:Q$63)</f>
        <v>0.85000000000002274</v>
      </c>
      <c r="R24" s="36">
        <f>eth_ON!R24 - eth_OFF!R24 - AVERAGE(R$62:R$63)</f>
        <v>1.0500000000000114</v>
      </c>
      <c r="S24" s="36">
        <f>eth_ON!S24 - eth_OFF!S24 - AVERAGE(S$62:S$63)</f>
        <v>0.94999999999998863</v>
      </c>
      <c r="T24" s="36">
        <f>eth_ON!T24 - eth_OFF!T24 - AVERAGE(T$62:T$63)</f>
        <v>2.75</v>
      </c>
      <c r="U24" s="6" t="str">
        <f>IF(eth_OFF!U24, (eth_ON!U24+500-eth_ON!U$64) - (eth_OFF!U24+500-eth_OFF!U$64) - AVERAGE($B$62:$AK$63), "")</f>
        <v/>
      </c>
      <c r="V24" s="6" t="str">
        <f>IF(eth_OFF!V24, (eth_ON!V24+500-eth_ON!V$64) - (eth_OFF!V24+500-eth_OFF!V$64) - AVERAGE(V$62:V$63), "")</f>
        <v/>
      </c>
      <c r="W24" s="6" t="str">
        <f>IF(eth_OFF!W24, (eth_ON!W24+500-eth_ON!W$64) - (eth_OFF!W24+500-eth_OFF!W$64) - AVERAGE(W$62:W$63), "")</f>
        <v/>
      </c>
      <c r="X24" s="6" t="str">
        <f>IF(eth_OFF!X24, (eth_ON!X24+500-eth_ON!X$64) - (eth_OFF!X24+500-eth_OFF!X$64) - AVERAGE(X$62:X$63), "")</f>
        <v/>
      </c>
      <c r="Y24" s="6" t="str">
        <f>IF(eth_OFF!Y24, (eth_ON!Y24+500-eth_ON!Y$64) - (eth_OFF!Y24+500-eth_OFF!Y$64) - AVERAGE(Y$62:Y$63), "")</f>
        <v/>
      </c>
      <c r="Z24" s="6" t="str">
        <f>IF(eth_OFF!Z24, (eth_ON!Z24+500-eth_ON!Z$64) - (eth_OFF!Z24+500-eth_OFF!Z$64) - AVERAGE(Z$62:Z$63), "")</f>
        <v/>
      </c>
      <c r="AA24" s="6" t="str">
        <f>IF(eth_OFF!AA24, (eth_ON!AA24+500-eth_ON!AA$64) - (eth_OFF!AA24+500-eth_OFF!AA$64) - AVERAGE(AA$62:AA$63), "")</f>
        <v/>
      </c>
      <c r="AB24" s="6" t="str">
        <f>IF(eth_OFF!AB24, (eth_ON!AB24+500-eth_ON!AB$64) - (eth_OFF!AB24+500-eth_OFF!AB$64) - AVERAGE(AB$62:AB$63), "")</f>
        <v/>
      </c>
      <c r="AC24" s="6" t="str">
        <f>IF(eth_OFF!AC24, (eth_ON!AC24+500-eth_ON!AC$64) - (eth_OFF!AC24+500-eth_OFF!AC$64) - AVERAGE(AC$62:AC$63), "")</f>
        <v/>
      </c>
      <c r="AD24" s="6" t="str">
        <f>IF(eth_OFF!AD24, (eth_ON!AD24+500-eth_ON!AD$64) - (eth_OFF!AD24+500-eth_OFF!AD$64) - AVERAGE(AD$62:AD$63), "")</f>
        <v/>
      </c>
      <c r="AE24" s="6" t="str">
        <f>IF(eth_OFF!AE24, (eth_ON!AE24+500-eth_ON!AE$64) - (eth_OFF!AE24+500-eth_OFF!AE$64) - AVERAGE(AE$62:AE$63), "")</f>
        <v/>
      </c>
      <c r="AF24" s="6" t="str">
        <f>IF(eth_OFF!AF24, (eth_ON!AF24+500-eth_ON!AF$64) - (eth_OFF!AF24+500-eth_OFF!AF$64) - AVERAGE(AF$62:AF$63), "")</f>
        <v/>
      </c>
      <c r="AG24" s="7" t="str">
        <f>IF(eth_OFF!AG24, (eth_ON!AG24+500-eth_ON!AG$64) - (eth_OFF!AG24+500-eth_OFF!AG$64) - AVERAGE(AG$62:AG$63), "")</f>
        <v/>
      </c>
      <c r="AH24" s="7" t="str">
        <f>IF(eth_OFF!AH24, (eth_ON!AH24+500-eth_ON!AH$64) - (eth_OFF!AH24+500-eth_OFF!AH$64) - AVERAGE(AH$62:AH$63), "")</f>
        <v/>
      </c>
      <c r="AI24" s="7" t="str">
        <f>IF(eth_OFF!AI24, (eth_ON!AI24+500-eth_ON!AI$64) - (eth_OFF!AI24+500-eth_OFF!AI$64) - AVERAGE(AI$62:AI$63), "")</f>
        <v/>
      </c>
      <c r="AJ24" s="7" t="str">
        <f>IF(eth_OFF!AJ24, (eth_ON!AJ24+500-eth_ON!AJ$64) - (eth_OFF!AJ24+500-eth_OFF!AJ$64) - AVERAGE(AJ$62:AJ$63), "")</f>
        <v/>
      </c>
      <c r="AK24" s="15" t="str">
        <f>IF(eth_OFF!AK24, (eth_ON!AK24+500-eth_ON!AK$64) - (eth_OFF!AK24+500-eth_OFF!AK$64) - AVERAGE(AK$62:AK$63), "")</f>
        <v/>
      </c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>
      <c r="A25" s="1">
        <v>24</v>
      </c>
      <c r="B25" s="36">
        <f>eth_ON!B25 - eth_OFF!B25 - AVERAGE(B$62:B$63)</f>
        <v>4.2999999999999545</v>
      </c>
      <c r="C25" s="36">
        <f>eth_ON!C25 - eth_OFF!C25 - AVERAGE(C$62:C$63)</f>
        <v>3.6499999999999773</v>
      </c>
      <c r="D25" s="36">
        <f>eth_ON!D25 - eth_OFF!D25 - AVERAGE(D$62:D$63)</f>
        <v>4.1000000000000227</v>
      </c>
      <c r="E25" s="36">
        <f>eth_ON!E25 - eth_OFF!E25 - AVERAGE(E$62:E$63)</f>
        <v>4.1500000000000057</v>
      </c>
      <c r="F25" s="36">
        <f>eth_ON!F25 - eth_OFF!F25 - AVERAGE(F$62:F$63)</f>
        <v>3.0000000000000284</v>
      </c>
      <c r="G25" s="36">
        <f>eth_ON!G25 - eth_OFF!G25 - AVERAGE(G$62:G$63)</f>
        <v>4.4000000000000625</v>
      </c>
      <c r="H25" s="36">
        <f>eth_ON!H25 - eth_OFF!H25 - AVERAGE(H$62:H$63)</f>
        <v>4.1500000000000057</v>
      </c>
      <c r="I25" s="36">
        <f>eth_ON!I25 - eth_OFF!I25 - AVERAGE(I$62:I$63)</f>
        <v>3.5000000000000568</v>
      </c>
      <c r="J25" s="36">
        <f>eth_ON!J25 - eth_OFF!J25 - AVERAGE(J$62:J$63)</f>
        <v>4.5999999999999943</v>
      </c>
      <c r="K25" s="36">
        <f>eth_ON!K25 - eth_OFF!K25 - AVERAGE(K$62:K$63)</f>
        <v>4.0500000000000114</v>
      </c>
      <c r="L25" s="36">
        <f>eth_ON!L25 - eth_OFF!L25 - AVERAGE(L$62:L$63)</f>
        <v>4.8999999999999773</v>
      </c>
      <c r="M25" s="36">
        <f>eth_ON!M25 - eth_OFF!M25 - AVERAGE(M$62:M$63)</f>
        <v>2.8499999999999943</v>
      </c>
      <c r="N25" s="36">
        <f>eth_ON!N25 - eth_OFF!N25 - AVERAGE(N$62:N$63)</f>
        <v>4.9499999999999886</v>
      </c>
      <c r="O25" s="36">
        <f>eth_ON!O25 - eth_OFF!O25 - AVERAGE(O$62:O$63)</f>
        <v>3.9000000000000057</v>
      </c>
      <c r="P25" s="36">
        <f>eth_ON!P25 - eth_OFF!P25 - AVERAGE(P$62:P$63)</f>
        <v>4.4999999999999716</v>
      </c>
      <c r="Q25" s="36">
        <f>eth_ON!Q25 - eth_OFF!Q25 - AVERAGE(Q$62:Q$63)</f>
        <v>1.8499999999999659</v>
      </c>
      <c r="R25" s="36">
        <f>eth_ON!R25 - eth_OFF!R25 - AVERAGE(R$62:R$63)</f>
        <v>1.8500000000000227</v>
      </c>
      <c r="S25" s="36">
        <f>eth_ON!S25 - eth_OFF!S25 - AVERAGE(S$62:S$63)</f>
        <v>2.5500000000000114</v>
      </c>
      <c r="T25" s="36">
        <f>eth_ON!T25 - eth_OFF!T25 - AVERAGE(T$62:T$63)</f>
        <v>3.75</v>
      </c>
      <c r="U25" s="6" t="str">
        <f>IF(eth_OFF!U25, (eth_ON!U25+500-eth_ON!U$64) - (eth_OFF!U25+500-eth_OFF!U$64) - AVERAGE($B$62:$AK$63), "")</f>
        <v/>
      </c>
      <c r="V25" s="6" t="str">
        <f>IF(eth_OFF!V25, (eth_ON!V25+500-eth_ON!V$64) - (eth_OFF!V25+500-eth_OFF!V$64) - AVERAGE(V$62:V$63), "")</f>
        <v/>
      </c>
      <c r="W25" s="6" t="str">
        <f>IF(eth_OFF!W25, (eth_ON!W25+500-eth_ON!W$64) - (eth_OFF!W25+500-eth_OFF!W$64) - AVERAGE(W$62:W$63), "")</f>
        <v/>
      </c>
      <c r="X25" s="6" t="str">
        <f>IF(eth_OFF!X25, (eth_ON!X25+500-eth_ON!X$64) - (eth_OFF!X25+500-eth_OFF!X$64) - AVERAGE(X$62:X$63), "")</f>
        <v/>
      </c>
      <c r="Y25" s="6" t="str">
        <f>IF(eth_OFF!Y25, (eth_ON!Y25+500-eth_ON!Y$64) - (eth_OFF!Y25+500-eth_OFF!Y$64) - AVERAGE(Y$62:Y$63), "")</f>
        <v/>
      </c>
      <c r="Z25" s="6" t="str">
        <f>IF(eth_OFF!Z25, (eth_ON!Z25+500-eth_ON!Z$64) - (eth_OFF!Z25+500-eth_OFF!Z$64) - AVERAGE(Z$62:Z$63), "")</f>
        <v/>
      </c>
      <c r="AA25" s="6" t="str">
        <f>IF(eth_OFF!AA25, (eth_ON!AA25+500-eth_ON!AA$64) - (eth_OFF!AA25+500-eth_OFF!AA$64) - AVERAGE(AA$62:AA$63), "")</f>
        <v/>
      </c>
      <c r="AB25" s="6" t="str">
        <f>IF(eth_OFF!AB25, (eth_ON!AB25+500-eth_ON!AB$64) - (eth_OFF!AB25+500-eth_OFF!AB$64) - AVERAGE(AB$62:AB$63), "")</f>
        <v/>
      </c>
      <c r="AC25" s="6" t="str">
        <f>IF(eth_OFF!AC25, (eth_ON!AC25+500-eth_ON!AC$64) - (eth_OFF!AC25+500-eth_OFF!AC$64) - AVERAGE(AC$62:AC$63), "")</f>
        <v/>
      </c>
      <c r="AD25" s="6" t="str">
        <f>IF(eth_OFF!AD25, (eth_ON!AD25+500-eth_ON!AD$64) - (eth_OFF!AD25+500-eth_OFF!AD$64) - AVERAGE(AD$62:AD$63), "")</f>
        <v/>
      </c>
      <c r="AE25" s="6" t="str">
        <f>IF(eth_OFF!AE25, (eth_ON!AE25+500-eth_ON!AE$64) - (eth_OFF!AE25+500-eth_OFF!AE$64) - AVERAGE(AE$62:AE$63), "")</f>
        <v/>
      </c>
      <c r="AF25" s="6" t="str">
        <f>IF(eth_OFF!AF25, (eth_ON!AF25+500-eth_ON!AF$64) - (eth_OFF!AF25+500-eth_OFF!AF$64) - AVERAGE(AF$62:AF$63), "")</f>
        <v/>
      </c>
      <c r="AG25" s="7" t="str">
        <f>IF(eth_OFF!AG25, (eth_ON!AG25+500-eth_ON!AG$64) - (eth_OFF!AG25+500-eth_OFF!AG$64) - AVERAGE(AG$62:AG$63), "")</f>
        <v/>
      </c>
      <c r="AH25" s="7" t="str">
        <f>IF(eth_OFF!AH25, (eth_ON!AH25+500-eth_ON!AH$64) - (eth_OFF!AH25+500-eth_OFF!AH$64) - AVERAGE(AH$62:AH$63), "")</f>
        <v/>
      </c>
      <c r="AI25" s="7" t="str">
        <f>IF(eth_OFF!AI25, (eth_ON!AI25+500-eth_ON!AI$64) - (eth_OFF!AI25+500-eth_OFF!AI$64) - AVERAGE(AI$62:AI$63), "")</f>
        <v/>
      </c>
      <c r="AJ25" s="7" t="str">
        <f>IF(eth_OFF!AJ25, (eth_ON!AJ25+500-eth_ON!AJ$64) - (eth_OFF!AJ25+500-eth_OFF!AJ$64) - AVERAGE(AJ$62:AJ$63), "")</f>
        <v/>
      </c>
      <c r="AK25" s="15" t="str">
        <f>IF(eth_OFF!AK25, (eth_ON!AK25+500-eth_ON!AK$64) - (eth_OFF!AK25+500-eth_OFF!AK$64) - AVERAGE(AK$62:AK$63), "")</f>
        <v/>
      </c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>
      <c r="A26" s="1">
        <v>25</v>
      </c>
      <c r="B26" s="36">
        <f>eth_ON!B26 - eth_OFF!B26 - AVERAGE(B$62:B$63)</f>
        <v>4.0999999999999659</v>
      </c>
      <c r="C26" s="36">
        <f>eth_ON!C26 - eth_OFF!C26 - AVERAGE(C$62:C$63)</f>
        <v>4.6500000000000341</v>
      </c>
      <c r="D26" s="36">
        <f>eth_ON!D26 - eth_OFF!D26 - AVERAGE(D$62:D$63)</f>
        <v>4.5</v>
      </c>
      <c r="E26" s="36">
        <f>eth_ON!E26 - eth_OFF!E26 - AVERAGE(E$62:E$63)</f>
        <v>3.5499999999999829</v>
      </c>
      <c r="F26" s="36">
        <f>eth_ON!F26 - eth_OFF!F26 - AVERAGE(F$62:F$63)</f>
        <v>4.3000000000000398</v>
      </c>
      <c r="G26" s="36">
        <f>eth_ON!G26 - eth_OFF!G26 - AVERAGE(G$62:G$63)</f>
        <v>3.0000000000000284</v>
      </c>
      <c r="H26" s="36">
        <f>eth_ON!H26 - eth_OFF!H26 - AVERAGE(H$62:H$63)</f>
        <v>4.0499999999999829</v>
      </c>
      <c r="I26" s="36">
        <f>eth_ON!I26 - eth_OFF!I26 - AVERAGE(I$62:I$63)</f>
        <v>6.4000000000000341</v>
      </c>
      <c r="J26" s="36">
        <f>eth_ON!J26 - eth_OFF!J26 - AVERAGE(J$62:J$63)</f>
        <v>4.9000000000000057</v>
      </c>
      <c r="K26" s="36">
        <f>eth_ON!K26 - eth_OFF!K26 - AVERAGE(K$62:K$63)</f>
        <v>3.0500000000000114</v>
      </c>
      <c r="L26" s="36">
        <f>eth_ON!L26 - eth_OFF!L26 - AVERAGE(L$62:L$63)</f>
        <v>4.3000000000000114</v>
      </c>
      <c r="M26" s="36">
        <f>eth_ON!M26 - eth_OFF!M26 - AVERAGE(M$62:M$63)</f>
        <v>3.5499999999999829</v>
      </c>
      <c r="N26" s="36">
        <f>eth_ON!N26 - eth_OFF!N26 - AVERAGE(N$62:N$63)</f>
        <v>6.1499999999999773</v>
      </c>
      <c r="O26" s="36">
        <f>eth_ON!O26 - eth_OFF!O26 - AVERAGE(O$62:O$63)</f>
        <v>2.8000000000000398</v>
      </c>
      <c r="P26" s="36">
        <f>eth_ON!P26 - eth_OFF!P26 - AVERAGE(P$62:P$63)</f>
        <v>2.7999999999999829</v>
      </c>
      <c r="Q26" s="36">
        <f>eth_ON!Q26 - eth_OFF!Q26 - AVERAGE(Q$62:Q$63)</f>
        <v>2.4500000000000455</v>
      </c>
      <c r="R26" s="36">
        <f>eth_ON!R26 - eth_OFF!R26 - AVERAGE(R$62:R$63)</f>
        <v>1.4499999999999886</v>
      </c>
      <c r="S26" s="36">
        <f>eth_ON!S26 - eth_OFF!S26 - AVERAGE(S$62:S$63)</f>
        <v>2.0500000000000114</v>
      </c>
      <c r="T26" s="36">
        <f>eth_ON!T26 - eth_OFF!T26 - AVERAGE(T$62:T$63)</f>
        <v>1.9499999999999886</v>
      </c>
      <c r="U26" s="6" t="str">
        <f>IF(eth_OFF!U26, (eth_ON!U26+500-eth_ON!U$64) - (eth_OFF!U26+500-eth_OFF!U$64) - AVERAGE($B$62:$AK$63), "")</f>
        <v/>
      </c>
      <c r="V26" s="6" t="str">
        <f>IF(eth_OFF!V26, (eth_ON!V26+500-eth_ON!V$64) - (eth_OFF!V26+500-eth_OFF!V$64) - AVERAGE(V$62:V$63), "")</f>
        <v/>
      </c>
      <c r="W26" s="6" t="str">
        <f>IF(eth_OFF!W26, (eth_ON!W26+500-eth_ON!W$64) - (eth_OFF!W26+500-eth_OFF!W$64) - AVERAGE(W$62:W$63), "")</f>
        <v/>
      </c>
      <c r="X26" s="6" t="str">
        <f>IF(eth_OFF!X26, (eth_ON!X26+500-eth_ON!X$64) - (eth_OFF!X26+500-eth_OFF!X$64) - AVERAGE(X$62:X$63), "")</f>
        <v/>
      </c>
      <c r="Y26" s="6" t="str">
        <f>IF(eth_OFF!Y26, (eth_ON!Y26+500-eth_ON!Y$64) - (eth_OFF!Y26+500-eth_OFF!Y$64) - AVERAGE(Y$62:Y$63), "")</f>
        <v/>
      </c>
      <c r="Z26" s="6" t="str">
        <f>IF(eth_OFF!Z26, (eth_ON!Z26+500-eth_ON!Z$64) - (eth_OFF!Z26+500-eth_OFF!Z$64) - AVERAGE(Z$62:Z$63), "")</f>
        <v/>
      </c>
      <c r="AA26" s="6" t="str">
        <f>IF(eth_OFF!AA26, (eth_ON!AA26+500-eth_ON!AA$64) - (eth_OFF!AA26+500-eth_OFF!AA$64) - AVERAGE(AA$62:AA$63), "")</f>
        <v/>
      </c>
      <c r="AB26" s="6" t="str">
        <f>IF(eth_OFF!AB26, (eth_ON!AB26+500-eth_ON!AB$64) - (eth_OFF!AB26+500-eth_OFF!AB$64) - AVERAGE(AB$62:AB$63), "")</f>
        <v/>
      </c>
      <c r="AC26" s="6" t="str">
        <f>IF(eth_OFF!AC26, (eth_ON!AC26+500-eth_ON!AC$64) - (eth_OFF!AC26+500-eth_OFF!AC$64) - AVERAGE(AC$62:AC$63), "")</f>
        <v/>
      </c>
      <c r="AD26" s="6" t="str">
        <f>IF(eth_OFF!AD26, (eth_ON!AD26+500-eth_ON!AD$64) - (eth_OFF!AD26+500-eth_OFF!AD$64) - AVERAGE(AD$62:AD$63), "")</f>
        <v/>
      </c>
      <c r="AE26" s="6" t="str">
        <f>IF(eth_OFF!AE26, (eth_ON!AE26+500-eth_ON!AE$64) - (eth_OFF!AE26+500-eth_OFF!AE$64) - AVERAGE(AE$62:AE$63), "")</f>
        <v/>
      </c>
      <c r="AF26" s="6" t="str">
        <f>IF(eth_OFF!AF26, (eth_ON!AF26+500-eth_ON!AF$64) - (eth_OFF!AF26+500-eth_OFF!AF$64) - AVERAGE(AF$62:AF$63), "")</f>
        <v/>
      </c>
      <c r="AG26" s="7" t="str">
        <f>IF(eth_OFF!AG26, (eth_ON!AG26+500-eth_ON!AG$64) - (eth_OFF!AG26+500-eth_OFF!AG$64) - AVERAGE(AG$62:AG$63), "")</f>
        <v/>
      </c>
      <c r="AH26" s="7" t="str">
        <f>IF(eth_OFF!AH26, (eth_ON!AH26+500-eth_ON!AH$64) - (eth_OFF!AH26+500-eth_OFF!AH$64) - AVERAGE(AH$62:AH$63), "")</f>
        <v/>
      </c>
      <c r="AI26" s="7" t="str">
        <f>IF(eth_OFF!AI26, (eth_ON!AI26+500-eth_ON!AI$64) - (eth_OFF!AI26+500-eth_OFF!AI$64) - AVERAGE(AI$62:AI$63), "")</f>
        <v/>
      </c>
      <c r="AJ26" s="7" t="str">
        <f>IF(eth_OFF!AJ26, (eth_ON!AJ26+500-eth_ON!AJ$64) - (eth_OFF!AJ26+500-eth_OFF!AJ$64) - AVERAGE(AJ$62:AJ$63), "")</f>
        <v/>
      </c>
      <c r="AK26" s="15" t="str">
        <f>IF(eth_OFF!AK26, (eth_ON!AK26+500-eth_ON!AK$64) - (eth_OFF!AK26+500-eth_OFF!AK$64) - AVERAGE(AK$62:AK$63), "")</f>
        <v/>
      </c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1:65">
      <c r="A27" s="1">
        <v>26</v>
      </c>
      <c r="B27" s="36">
        <f>eth_ON!B27 - eth_OFF!B27 - AVERAGE(B$62:B$63)</f>
        <v>2.1999999999999886</v>
      </c>
      <c r="C27" s="36">
        <f>eth_ON!C27 - eth_OFF!C27 - AVERAGE(C$62:C$63)</f>
        <v>2.3499999999999659</v>
      </c>
      <c r="D27" s="36">
        <f>eth_ON!D27 - eth_OFF!D27 - AVERAGE(D$62:D$63)</f>
        <v>2.9000000000000341</v>
      </c>
      <c r="E27" s="36">
        <f>eth_ON!E27 - eth_OFF!E27 - AVERAGE(E$62:E$63)</f>
        <v>2.3499999999999943</v>
      </c>
      <c r="F27" s="36">
        <f>eth_ON!F27 - eth_OFF!F27 - AVERAGE(F$62:F$63)</f>
        <v>2.5000000000000284</v>
      </c>
      <c r="G27" s="36">
        <f>eth_ON!G27 - eth_OFF!G27 - AVERAGE(G$62:G$63)</f>
        <v>1.5999999999999943</v>
      </c>
      <c r="H27" s="36">
        <f>eth_ON!H27 - eth_OFF!H27 - AVERAGE(H$62:H$63)</f>
        <v>1.6500000000000057</v>
      </c>
      <c r="I27" s="36">
        <f>eth_ON!I27 - eth_OFF!I27 - AVERAGE(I$62:I$63)</f>
        <v>1.7000000000000455</v>
      </c>
      <c r="J27" s="36">
        <f>eth_ON!J27 - eth_OFF!J27 - AVERAGE(J$62:J$63)</f>
        <v>3.0000000000000284</v>
      </c>
      <c r="K27" s="36">
        <f>eth_ON!K27 - eth_OFF!K27 - AVERAGE(K$62:K$63)</f>
        <v>2.6500000000000341</v>
      </c>
      <c r="L27" s="36">
        <f>eth_ON!L27 - eth_OFF!L27 - AVERAGE(L$62:L$63)</f>
        <v>2.0999999999999659</v>
      </c>
      <c r="M27" s="36">
        <f>eth_ON!M27 - eth_OFF!M27 - AVERAGE(M$62:M$63)</f>
        <v>2.5499999999999829</v>
      </c>
      <c r="N27" s="36">
        <f>eth_ON!N27 - eth_OFF!N27 - AVERAGE(N$62:N$63)</f>
        <v>2.25</v>
      </c>
      <c r="O27" s="36">
        <f>eth_ON!O27 - eth_OFF!O27 - AVERAGE(O$62:O$63)</f>
        <v>2.5000000000000284</v>
      </c>
      <c r="P27" s="36">
        <f>eth_ON!P27 - eth_OFF!P27 - AVERAGE(P$62:P$63)</f>
        <v>2.2999999999999261</v>
      </c>
      <c r="Q27" s="36">
        <f>eth_ON!Q27 - eth_OFF!Q27 - AVERAGE(Q$62:Q$63)</f>
        <v>0.94999999999998863</v>
      </c>
      <c r="R27" s="36">
        <f>eth_ON!R27 - eth_OFF!R27 - AVERAGE(R$62:R$63)</f>
        <v>1.3500000000000227</v>
      </c>
      <c r="S27" s="36">
        <f>eth_ON!S27 - eth_OFF!S27 - AVERAGE(S$62:S$63)</f>
        <v>1.5500000000000682</v>
      </c>
      <c r="T27" s="36">
        <f>eth_ON!T27 - eth_OFF!T27 - AVERAGE(T$62:T$63)</f>
        <v>2.0499999999999545</v>
      </c>
      <c r="U27" s="6" t="str">
        <f>IF(eth_OFF!U27, (eth_ON!U27+500-eth_ON!U$64) - (eth_OFF!U27+500-eth_OFF!U$64) - AVERAGE($B$62:$AK$63), "")</f>
        <v/>
      </c>
      <c r="V27" s="6" t="str">
        <f>IF(eth_OFF!V27, (eth_ON!V27+500-eth_ON!V$64) - (eth_OFF!V27+500-eth_OFF!V$64) - AVERAGE(V$62:V$63), "")</f>
        <v/>
      </c>
      <c r="W27" s="6" t="str">
        <f>IF(eth_OFF!W27, (eth_ON!W27+500-eth_ON!W$64) - (eth_OFF!W27+500-eth_OFF!W$64) - AVERAGE(W$62:W$63), "")</f>
        <v/>
      </c>
      <c r="X27" s="6" t="str">
        <f>IF(eth_OFF!X27, (eth_ON!X27+500-eth_ON!X$64) - (eth_OFF!X27+500-eth_OFF!X$64) - AVERAGE(X$62:X$63), "")</f>
        <v/>
      </c>
      <c r="Y27" s="6" t="str">
        <f>IF(eth_OFF!Y27, (eth_ON!Y27+500-eth_ON!Y$64) - (eth_OFF!Y27+500-eth_OFF!Y$64) - AVERAGE(Y$62:Y$63), "")</f>
        <v/>
      </c>
      <c r="Z27" s="6" t="str">
        <f>IF(eth_OFF!Z27, (eth_ON!Z27+500-eth_ON!Z$64) - (eth_OFF!Z27+500-eth_OFF!Z$64) - AVERAGE(Z$62:Z$63), "")</f>
        <v/>
      </c>
      <c r="AA27" s="6" t="str">
        <f>IF(eth_OFF!AA27, (eth_ON!AA27+500-eth_ON!AA$64) - (eth_OFF!AA27+500-eth_OFF!AA$64) - AVERAGE(AA$62:AA$63), "")</f>
        <v/>
      </c>
      <c r="AB27" s="6" t="str">
        <f>IF(eth_OFF!AB27, (eth_ON!AB27+500-eth_ON!AB$64) - (eth_OFF!AB27+500-eth_OFF!AB$64) - AVERAGE(AB$62:AB$63), "")</f>
        <v/>
      </c>
      <c r="AC27" s="6" t="str">
        <f>IF(eth_OFF!AC27, (eth_ON!AC27+500-eth_ON!AC$64) - (eth_OFF!AC27+500-eth_OFF!AC$64) - AVERAGE(AC$62:AC$63), "")</f>
        <v/>
      </c>
      <c r="AD27" s="6" t="str">
        <f>IF(eth_OFF!AD27, (eth_ON!AD27+500-eth_ON!AD$64) - (eth_OFF!AD27+500-eth_OFF!AD$64) - AVERAGE(AD$62:AD$63), "")</f>
        <v/>
      </c>
      <c r="AE27" s="6" t="str">
        <f>IF(eth_OFF!AE27, (eth_ON!AE27+500-eth_ON!AE$64) - (eth_OFF!AE27+500-eth_OFF!AE$64) - AVERAGE(AE$62:AE$63), "")</f>
        <v/>
      </c>
      <c r="AF27" s="6" t="str">
        <f>IF(eth_OFF!AF27, (eth_ON!AF27+500-eth_ON!AF$64) - (eth_OFF!AF27+500-eth_OFF!AF$64) - AVERAGE(AF$62:AF$63), "")</f>
        <v/>
      </c>
      <c r="AG27" s="7" t="str">
        <f>IF(eth_OFF!AG27, (eth_ON!AG27+500-eth_ON!AG$64) - (eth_OFF!AG27+500-eth_OFF!AG$64) - AVERAGE(AG$62:AG$63), "")</f>
        <v/>
      </c>
      <c r="AH27" s="7" t="str">
        <f>IF(eth_OFF!AH27, (eth_ON!AH27+500-eth_ON!AH$64) - (eth_OFF!AH27+500-eth_OFF!AH$64) - AVERAGE(AH$62:AH$63), "")</f>
        <v/>
      </c>
      <c r="AI27" s="7" t="str">
        <f>IF(eth_OFF!AI27, (eth_ON!AI27+500-eth_ON!AI$64) - (eth_OFF!AI27+500-eth_OFF!AI$64) - AVERAGE(AI$62:AI$63), "")</f>
        <v/>
      </c>
      <c r="AJ27" s="7" t="str">
        <f>IF(eth_OFF!AJ27, (eth_ON!AJ27+500-eth_ON!AJ$64) - (eth_OFF!AJ27+500-eth_OFF!AJ$64) - AVERAGE(AJ$62:AJ$63), "")</f>
        <v/>
      </c>
      <c r="AK27" s="15" t="str">
        <f>IF(eth_OFF!AK27, (eth_ON!AK27+500-eth_ON!AK$64) - (eth_OFF!AK27+500-eth_OFF!AK$64) - AVERAGE(AK$62:AK$63), "")</f>
        <v/>
      </c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65">
      <c r="A28" s="1">
        <v>27</v>
      </c>
      <c r="B28" s="36">
        <f>eth_ON!B28 - eth_OFF!B28 - AVERAGE(B$62:B$63)</f>
        <v>2.6999999999999318</v>
      </c>
      <c r="C28" s="36">
        <f>eth_ON!C28 - eth_OFF!C28 - AVERAGE(C$62:C$63)</f>
        <v>2.9499999999999886</v>
      </c>
      <c r="D28" s="36">
        <f>eth_ON!D28 - eth_OFF!D28 - AVERAGE(D$62:D$63)</f>
        <v>3.7000000000000455</v>
      </c>
      <c r="E28" s="36">
        <f>eth_ON!E28 - eth_OFF!E28 - AVERAGE(E$62:E$63)</f>
        <v>4.5500000000000398</v>
      </c>
      <c r="F28" s="36">
        <f>eth_ON!F28 - eth_OFF!F28 - AVERAGE(F$62:F$63)</f>
        <v>3.7000000000000171</v>
      </c>
      <c r="G28" s="36">
        <f>eth_ON!G28 - eth_OFF!G28 - AVERAGE(G$62:G$63)</f>
        <v>2.0999999999999943</v>
      </c>
      <c r="H28" s="36">
        <f>eth_ON!H28 - eth_OFF!H28 - AVERAGE(H$62:H$63)</f>
        <v>2.5500000000000398</v>
      </c>
      <c r="I28" s="36">
        <f>eth_ON!I28 - eth_OFF!I28 - AVERAGE(I$62:I$63)</f>
        <v>3.5000000000000568</v>
      </c>
      <c r="J28" s="36">
        <f>eth_ON!J28 - eth_OFF!J28 - AVERAGE(J$62:J$63)</f>
        <v>2.2999999999999829</v>
      </c>
      <c r="K28" s="36">
        <f>eth_ON!K28 - eth_OFF!K28 - AVERAGE(K$62:K$63)</f>
        <v>2.5500000000000114</v>
      </c>
      <c r="L28" s="36">
        <f>eth_ON!L28 - eth_OFF!L28 - AVERAGE(L$62:L$63)</f>
        <v>3.5</v>
      </c>
      <c r="M28" s="36">
        <f>eth_ON!M28 - eth_OFF!M28 - AVERAGE(M$62:M$63)</f>
        <v>1.7499999999999716</v>
      </c>
      <c r="N28" s="36">
        <f>eth_ON!N28 - eth_OFF!N28 - AVERAGE(N$62:N$63)</f>
        <v>3.3500000000000227</v>
      </c>
      <c r="O28" s="36">
        <f>eth_ON!O28 - eth_OFF!O28 - AVERAGE(O$62:O$63)</f>
        <v>3.0000000000000284</v>
      </c>
      <c r="P28" s="36">
        <f>eth_ON!P28 - eth_OFF!P28 - AVERAGE(P$62:P$63)</f>
        <v>3.0999999999999375</v>
      </c>
      <c r="Q28" s="36">
        <f>eth_ON!Q28 - eth_OFF!Q28 - AVERAGE(Q$62:Q$63)</f>
        <v>0.75</v>
      </c>
      <c r="R28" s="36">
        <f>eth_ON!R28 - eth_OFF!R28 - AVERAGE(R$62:R$63)</f>
        <v>0.94999999999998863</v>
      </c>
      <c r="S28" s="36">
        <f>eth_ON!S28 - eth_OFF!S28 - AVERAGE(S$62:S$63)</f>
        <v>1.25</v>
      </c>
      <c r="T28" s="36">
        <f>eth_ON!T28 - eth_OFF!T28 - AVERAGE(T$62:T$63)</f>
        <v>2.0500000000000114</v>
      </c>
      <c r="U28" s="6" t="str">
        <f>IF(eth_OFF!U28, (eth_ON!U28+500-eth_ON!U$64) - (eth_OFF!U28+500-eth_OFF!U$64) - AVERAGE($B$62:$AK$63), "")</f>
        <v/>
      </c>
      <c r="V28" s="6" t="str">
        <f>IF(eth_OFF!V28, (eth_ON!V28+500-eth_ON!V$64) - (eth_OFF!V28+500-eth_OFF!V$64) - AVERAGE(V$62:V$63), "")</f>
        <v/>
      </c>
      <c r="W28" s="6" t="str">
        <f>IF(eth_OFF!W28, (eth_ON!W28+500-eth_ON!W$64) - (eth_OFF!W28+500-eth_OFF!W$64) - AVERAGE(W$62:W$63), "")</f>
        <v/>
      </c>
      <c r="X28" s="6" t="str">
        <f>IF(eth_OFF!X28, (eth_ON!X28+500-eth_ON!X$64) - (eth_OFF!X28+500-eth_OFF!X$64) - AVERAGE(X$62:X$63), "")</f>
        <v/>
      </c>
      <c r="Y28" s="6" t="str">
        <f>IF(eth_OFF!Y28, (eth_ON!Y28+500-eth_ON!Y$64) - (eth_OFF!Y28+500-eth_OFF!Y$64) - AVERAGE(Y$62:Y$63), "")</f>
        <v/>
      </c>
      <c r="Z28" s="6" t="str">
        <f>IF(eth_OFF!Z28, (eth_ON!Z28+500-eth_ON!Z$64) - (eth_OFF!Z28+500-eth_OFF!Z$64) - AVERAGE(Z$62:Z$63), "")</f>
        <v/>
      </c>
      <c r="AA28" s="6" t="str">
        <f>IF(eth_OFF!AA28, (eth_ON!AA28+500-eth_ON!AA$64) - (eth_OFF!AA28+500-eth_OFF!AA$64) - AVERAGE(AA$62:AA$63), "")</f>
        <v/>
      </c>
      <c r="AB28" s="6" t="str">
        <f>IF(eth_OFF!AB28, (eth_ON!AB28+500-eth_ON!AB$64) - (eth_OFF!AB28+500-eth_OFF!AB$64) - AVERAGE(AB$62:AB$63), "")</f>
        <v/>
      </c>
      <c r="AC28" s="6" t="str">
        <f>IF(eth_OFF!AC28, (eth_ON!AC28+500-eth_ON!AC$64) - (eth_OFF!AC28+500-eth_OFF!AC$64) - AVERAGE(AC$62:AC$63), "")</f>
        <v/>
      </c>
      <c r="AD28" s="6" t="str">
        <f>IF(eth_OFF!AD28, (eth_ON!AD28+500-eth_ON!AD$64) - (eth_OFF!AD28+500-eth_OFF!AD$64) - AVERAGE(AD$62:AD$63), "")</f>
        <v/>
      </c>
      <c r="AE28" s="6" t="str">
        <f>IF(eth_OFF!AE28, (eth_ON!AE28+500-eth_ON!AE$64) - (eth_OFF!AE28+500-eth_OFF!AE$64) - AVERAGE(AE$62:AE$63), "")</f>
        <v/>
      </c>
      <c r="AF28" s="6" t="str">
        <f>IF(eth_OFF!AF28, (eth_ON!AF28+500-eth_ON!AF$64) - (eth_OFF!AF28+500-eth_OFF!AF$64) - AVERAGE(AF$62:AF$63), "")</f>
        <v/>
      </c>
      <c r="AG28" s="7" t="str">
        <f>IF(eth_OFF!AG28, (eth_ON!AG28+500-eth_ON!AG$64) - (eth_OFF!AG28+500-eth_OFF!AG$64) - AVERAGE(AG$62:AG$63), "")</f>
        <v/>
      </c>
      <c r="AH28" s="7" t="str">
        <f>IF(eth_OFF!AH28, (eth_ON!AH28+500-eth_ON!AH$64) - (eth_OFF!AH28+500-eth_OFF!AH$64) - AVERAGE(AH$62:AH$63), "")</f>
        <v/>
      </c>
      <c r="AI28" s="7" t="str">
        <f>IF(eth_OFF!AI28, (eth_ON!AI28+500-eth_ON!AI$64) - (eth_OFF!AI28+500-eth_OFF!AI$64) - AVERAGE(AI$62:AI$63), "")</f>
        <v/>
      </c>
      <c r="AJ28" s="7" t="str">
        <f>IF(eth_OFF!AJ28, (eth_ON!AJ28+500-eth_ON!AJ$64) - (eth_OFF!AJ28+500-eth_OFF!AJ$64) - AVERAGE(AJ$62:AJ$63), "")</f>
        <v/>
      </c>
      <c r="AK28" s="15" t="str">
        <f>IF(eth_OFF!AK28, (eth_ON!AK28+500-eth_ON!AK$64) - (eth_OFF!AK28+500-eth_OFF!AK$64) - AVERAGE(AK$62:AK$63), "")</f>
        <v/>
      </c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>
      <c r="A29" s="1">
        <v>28</v>
      </c>
      <c r="B29" s="36">
        <f>eth_ON!B29 - eth_OFF!B29 - AVERAGE(B$62:B$63)</f>
        <v>2</v>
      </c>
      <c r="C29" s="36">
        <f>eth_ON!C29 - eth_OFF!C29 - AVERAGE(C$62:C$63)</f>
        <v>1.9499999999999886</v>
      </c>
      <c r="D29" s="36">
        <f>eth_ON!D29 - eth_OFF!D29 - AVERAGE(D$62:D$63)</f>
        <v>2.2000000000000455</v>
      </c>
      <c r="E29" s="36">
        <f>eth_ON!E29 - eth_OFF!E29 - AVERAGE(E$62:E$63)</f>
        <v>2.7500000000000284</v>
      </c>
      <c r="F29" s="36">
        <f>eth_ON!F29 - eth_OFF!F29 - AVERAGE(F$62:F$63)</f>
        <v>2.2000000000000171</v>
      </c>
      <c r="G29" s="36">
        <f>eth_ON!G29 - eth_OFF!G29 - AVERAGE(G$62:G$63)</f>
        <v>3.2000000000000171</v>
      </c>
      <c r="H29" s="36">
        <f>eth_ON!H29 - eth_OFF!H29 - AVERAGE(H$62:H$63)</f>
        <v>0.34999999999999432</v>
      </c>
      <c r="I29" s="36">
        <f>eth_ON!I29 - eth_OFF!I29 - AVERAGE(I$62:I$63)</f>
        <v>0.60000000000007958</v>
      </c>
      <c r="J29" s="36">
        <f>eth_ON!J29 - eth_OFF!J29 - AVERAGE(J$62:J$63)</f>
        <v>0.79999999999998295</v>
      </c>
      <c r="K29" s="36">
        <f>eth_ON!K29 - eth_OFF!K29 - AVERAGE(K$62:K$63)</f>
        <v>0.95000000000004547</v>
      </c>
      <c r="L29" s="36">
        <f>eth_ON!L29 - eth_OFF!L29 - AVERAGE(L$62:L$63)</f>
        <v>1</v>
      </c>
      <c r="M29" s="36">
        <f>eth_ON!M29 - eth_OFF!M29 - AVERAGE(M$62:M$63)</f>
        <v>0.65000000000000568</v>
      </c>
      <c r="N29" s="36">
        <f>eth_ON!N29 - eth_OFF!N29 - AVERAGE(N$62:N$63)</f>
        <v>1.25</v>
      </c>
      <c r="O29" s="36">
        <f>eth_ON!O29 - eth_OFF!O29 - AVERAGE(O$62:O$63)</f>
        <v>0.70000000000001705</v>
      </c>
      <c r="P29" s="36">
        <f>eth_ON!P29 - eth_OFF!P29 - AVERAGE(P$62:P$63)</f>
        <v>1.1999999999999602</v>
      </c>
      <c r="Q29" s="36">
        <f>eth_ON!Q29 - eth_OFF!Q29 - AVERAGE(Q$62:Q$63)</f>
        <v>0.34999999999996589</v>
      </c>
      <c r="R29" s="36">
        <f>eth_ON!R29 - eth_OFF!R29 - AVERAGE(R$62:R$63)</f>
        <v>-0.25</v>
      </c>
      <c r="S29" s="36">
        <f>eth_ON!S29 - eth_OFF!S29 - AVERAGE(S$62:S$63)</f>
        <v>0.64999999999997726</v>
      </c>
      <c r="T29" s="36">
        <f>eth_ON!T29 - eth_OFF!T29 - AVERAGE(T$62:T$63)</f>
        <v>0.74999999999994316</v>
      </c>
      <c r="U29" s="6" t="str">
        <f>IF(eth_OFF!U29, (eth_ON!U29+500-eth_ON!U$64) - (eth_OFF!U29+500-eth_OFF!U$64) - AVERAGE($B$62:$AK$63), "")</f>
        <v/>
      </c>
      <c r="V29" s="6" t="str">
        <f>IF(eth_OFF!V29, (eth_ON!V29+500-eth_ON!V$64) - (eth_OFF!V29+500-eth_OFF!V$64) - AVERAGE(V$62:V$63), "")</f>
        <v/>
      </c>
      <c r="W29" s="6" t="str">
        <f>IF(eth_OFF!W29, (eth_ON!W29+500-eth_ON!W$64) - (eth_OFF!W29+500-eth_OFF!W$64) - AVERAGE(W$62:W$63), "")</f>
        <v/>
      </c>
      <c r="X29" s="6" t="str">
        <f>IF(eth_OFF!X29, (eth_ON!X29+500-eth_ON!X$64) - (eth_OFF!X29+500-eth_OFF!X$64) - AVERAGE(X$62:X$63), "")</f>
        <v/>
      </c>
      <c r="Y29" s="6" t="str">
        <f>IF(eth_OFF!Y29, (eth_ON!Y29+500-eth_ON!Y$64) - (eth_OFF!Y29+500-eth_OFF!Y$64) - AVERAGE(Y$62:Y$63), "")</f>
        <v/>
      </c>
      <c r="Z29" s="6" t="str">
        <f>IF(eth_OFF!Z29, (eth_ON!Z29+500-eth_ON!Z$64) - (eth_OFF!Z29+500-eth_OFF!Z$64) - AVERAGE(Z$62:Z$63), "")</f>
        <v/>
      </c>
      <c r="AA29" s="6" t="str">
        <f>IF(eth_OFF!AA29, (eth_ON!AA29+500-eth_ON!AA$64) - (eth_OFF!AA29+500-eth_OFF!AA$64) - AVERAGE(AA$62:AA$63), "")</f>
        <v/>
      </c>
      <c r="AB29" s="6" t="str">
        <f>IF(eth_OFF!AB29, (eth_ON!AB29+500-eth_ON!AB$64) - (eth_OFF!AB29+500-eth_OFF!AB$64) - AVERAGE(AB$62:AB$63), "")</f>
        <v/>
      </c>
      <c r="AC29" s="6" t="str">
        <f>IF(eth_OFF!AC29, (eth_ON!AC29+500-eth_ON!AC$64) - (eth_OFF!AC29+500-eth_OFF!AC$64) - AVERAGE(AC$62:AC$63), "")</f>
        <v/>
      </c>
      <c r="AD29" s="6" t="str">
        <f>IF(eth_OFF!AD29, (eth_ON!AD29+500-eth_ON!AD$64) - (eth_OFF!AD29+500-eth_OFF!AD$64) - AVERAGE(AD$62:AD$63), "")</f>
        <v/>
      </c>
      <c r="AE29" s="6" t="str">
        <f>IF(eth_OFF!AE29, (eth_ON!AE29+500-eth_ON!AE$64) - (eth_OFF!AE29+500-eth_OFF!AE$64) - AVERAGE(AE$62:AE$63), "")</f>
        <v/>
      </c>
      <c r="AF29" s="6" t="str">
        <f>IF(eth_OFF!AF29, (eth_ON!AF29+500-eth_ON!AF$64) - (eth_OFF!AF29+500-eth_OFF!AF$64) - AVERAGE(AF$62:AF$63), "")</f>
        <v/>
      </c>
      <c r="AG29" s="7" t="str">
        <f>IF(eth_OFF!AG29, (eth_ON!AG29+500-eth_ON!AG$64) - (eth_OFF!AG29+500-eth_OFF!AG$64) - AVERAGE(AG$62:AG$63), "")</f>
        <v/>
      </c>
      <c r="AH29" s="7" t="str">
        <f>IF(eth_OFF!AH29, (eth_ON!AH29+500-eth_ON!AH$64) - (eth_OFF!AH29+500-eth_OFF!AH$64) - AVERAGE(AH$62:AH$63), "")</f>
        <v/>
      </c>
      <c r="AI29" s="7" t="str">
        <f>IF(eth_OFF!AI29, (eth_ON!AI29+500-eth_ON!AI$64) - (eth_OFF!AI29+500-eth_OFF!AI$64) - AVERAGE(AI$62:AI$63), "")</f>
        <v/>
      </c>
      <c r="AJ29" s="7" t="str">
        <f>IF(eth_OFF!AJ29, (eth_ON!AJ29+500-eth_ON!AJ$64) - (eth_OFF!AJ29+500-eth_OFF!AJ$64) - AVERAGE(AJ$62:AJ$63), "")</f>
        <v/>
      </c>
      <c r="AK29" s="15" t="str">
        <f>IF(eth_OFF!AK29, (eth_ON!AK29+500-eth_ON!AK$64) - (eth_OFF!AK29+500-eth_OFF!AK$64) - AVERAGE(AK$62:AK$63), "")</f>
        <v/>
      </c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1:65">
      <c r="A30" s="1">
        <v>29</v>
      </c>
      <c r="B30" s="36">
        <f>eth_ON!B30 - eth_OFF!B30 - AVERAGE(B$62:B$63)</f>
        <v>0.39999999999997726</v>
      </c>
      <c r="C30" s="36">
        <f>eth_ON!C30 - eth_OFF!C30 - AVERAGE(C$62:C$63)</f>
        <v>0.44999999999998863</v>
      </c>
      <c r="D30" s="36">
        <f>eth_ON!D30 - eth_OFF!D30 - AVERAGE(D$62:D$63)</f>
        <v>0.90000000000003411</v>
      </c>
      <c r="E30" s="36">
        <f>eth_ON!E30 - eth_OFF!E30 - AVERAGE(E$62:E$63)</f>
        <v>0.34999999999999432</v>
      </c>
      <c r="F30" s="36">
        <f>eth_ON!F30 - eth_OFF!F30 - AVERAGE(F$62:F$63)</f>
        <v>0.79999999999998295</v>
      </c>
      <c r="G30" s="36">
        <f>eth_ON!G30 - eth_OFF!G30 - AVERAGE(G$62:G$63)</f>
        <v>0.79999999999998295</v>
      </c>
      <c r="H30" s="36">
        <f>eth_ON!H30 - eth_OFF!H30 - AVERAGE(H$62:H$63)</f>
        <v>1.1500000000000057</v>
      </c>
      <c r="I30" s="36">
        <f>eth_ON!I30 - eth_OFF!I30 - AVERAGE(I$62:I$63)</f>
        <v>0.60000000000002274</v>
      </c>
      <c r="J30" s="36">
        <f>eth_ON!J30 - eth_OFF!J30 - AVERAGE(J$62:J$63)</f>
        <v>1.1999999999999602</v>
      </c>
      <c r="K30" s="36">
        <f>eth_ON!K30 - eth_OFF!K30 - AVERAGE(K$62:K$63)</f>
        <v>0.35000000000002274</v>
      </c>
      <c r="L30" s="36">
        <f>eth_ON!L30 - eth_OFF!L30 - AVERAGE(L$62:L$63)</f>
        <v>0.79999999999995453</v>
      </c>
      <c r="M30" s="36">
        <f>eth_ON!M30 - eth_OFF!M30 - AVERAGE(M$62:M$63)</f>
        <v>-0.15000000000000568</v>
      </c>
      <c r="N30" s="36">
        <f>eth_ON!N30 - eth_OFF!N30 - AVERAGE(N$62:N$63)</f>
        <v>4.9999999999954525E-2</v>
      </c>
      <c r="O30" s="36">
        <f>eth_ON!O30 - eth_OFF!O30 - AVERAGE(O$62:O$63)</f>
        <v>-9.9999999999994316E-2</v>
      </c>
      <c r="P30" s="36">
        <f>eth_ON!P30 - eth_OFF!P30 - AVERAGE(P$62:P$63)</f>
        <v>0.19999999999996021</v>
      </c>
      <c r="Q30" s="36">
        <f>eth_ON!Q30 - eth_OFF!Q30 - AVERAGE(Q$62:Q$63)</f>
        <v>0.15000000000003411</v>
      </c>
      <c r="R30" s="36">
        <f>eth_ON!R30 - eth_OFF!R30 - AVERAGE(R$62:R$63)</f>
        <v>-0.14999999999997726</v>
      </c>
      <c r="S30" s="36">
        <f>eth_ON!S30 - eth_OFF!S30 - AVERAGE(S$62:S$63)</f>
        <v>0.35000000000002274</v>
      </c>
      <c r="T30" s="36">
        <f>eth_ON!T30 - eth_OFF!T30 - AVERAGE(T$62:T$63)</f>
        <v>0.55000000000001137</v>
      </c>
      <c r="U30" s="6" t="str">
        <f>IF(eth_OFF!U30, (eth_ON!U30+500-eth_ON!U$64) - (eth_OFF!U30+500-eth_OFF!U$64) - AVERAGE($B$62:$AK$63), "")</f>
        <v/>
      </c>
      <c r="V30" s="6" t="str">
        <f>IF(eth_OFF!V30, (eth_ON!V30+500-eth_ON!V$64) - (eth_OFF!V30+500-eth_OFF!V$64) - AVERAGE(V$62:V$63), "")</f>
        <v/>
      </c>
      <c r="W30" s="6" t="str">
        <f>IF(eth_OFF!W30, (eth_ON!W30+500-eth_ON!W$64) - (eth_OFF!W30+500-eth_OFF!W$64) - AVERAGE(W$62:W$63), "")</f>
        <v/>
      </c>
      <c r="X30" s="6" t="str">
        <f>IF(eth_OFF!X30, (eth_ON!X30+500-eth_ON!X$64) - (eth_OFF!X30+500-eth_OFF!X$64) - AVERAGE(X$62:X$63), "")</f>
        <v/>
      </c>
      <c r="Y30" s="6" t="str">
        <f>IF(eth_OFF!Y30, (eth_ON!Y30+500-eth_ON!Y$64) - (eth_OFF!Y30+500-eth_OFF!Y$64) - AVERAGE(Y$62:Y$63), "")</f>
        <v/>
      </c>
      <c r="Z30" s="6" t="str">
        <f>IF(eth_OFF!Z30, (eth_ON!Z30+500-eth_ON!Z$64) - (eth_OFF!Z30+500-eth_OFF!Z$64) - AVERAGE(Z$62:Z$63), "")</f>
        <v/>
      </c>
      <c r="AA30" s="6" t="str">
        <f>IF(eth_OFF!AA30, (eth_ON!AA30+500-eth_ON!AA$64) - (eth_OFF!AA30+500-eth_OFF!AA$64) - AVERAGE(AA$62:AA$63), "")</f>
        <v/>
      </c>
      <c r="AB30" s="6" t="str">
        <f>IF(eth_OFF!AB30, (eth_ON!AB30+500-eth_ON!AB$64) - (eth_OFF!AB30+500-eth_OFF!AB$64) - AVERAGE(AB$62:AB$63), "")</f>
        <v/>
      </c>
      <c r="AC30" s="6" t="str">
        <f>IF(eth_OFF!AC30, (eth_ON!AC30+500-eth_ON!AC$64) - (eth_OFF!AC30+500-eth_OFF!AC$64) - AVERAGE(AC$62:AC$63), "")</f>
        <v/>
      </c>
      <c r="AD30" s="6" t="str">
        <f>IF(eth_OFF!AD30, (eth_ON!AD30+500-eth_ON!AD$64) - (eth_OFF!AD30+500-eth_OFF!AD$64) - AVERAGE(AD$62:AD$63), "")</f>
        <v/>
      </c>
      <c r="AE30" s="6" t="str">
        <f>IF(eth_OFF!AE30, (eth_ON!AE30+500-eth_ON!AE$64) - (eth_OFF!AE30+500-eth_OFF!AE$64) - AVERAGE(AE$62:AE$63), "")</f>
        <v/>
      </c>
      <c r="AF30" s="6" t="str">
        <f>IF(eth_OFF!AF30, (eth_ON!AF30+500-eth_ON!AF$64) - (eth_OFF!AF30+500-eth_OFF!AF$64) - AVERAGE(AF$62:AF$63), "")</f>
        <v/>
      </c>
      <c r="AG30" s="7" t="str">
        <f>IF(eth_OFF!AG30, (eth_ON!AG30+500-eth_ON!AG$64) - (eth_OFF!AG30+500-eth_OFF!AG$64) - AVERAGE(AG$62:AG$63), "")</f>
        <v/>
      </c>
      <c r="AH30" s="7" t="str">
        <f>IF(eth_OFF!AH30, (eth_ON!AH30+500-eth_ON!AH$64) - (eth_OFF!AH30+500-eth_OFF!AH$64) - AVERAGE(AH$62:AH$63), "")</f>
        <v/>
      </c>
      <c r="AI30" s="7" t="str">
        <f>IF(eth_OFF!AI30, (eth_ON!AI30+500-eth_ON!AI$64) - (eth_OFF!AI30+500-eth_OFF!AI$64) - AVERAGE(AI$62:AI$63), "")</f>
        <v/>
      </c>
      <c r="AJ30" s="7" t="str">
        <f>IF(eth_OFF!AJ30, (eth_ON!AJ30+500-eth_ON!AJ$64) - (eth_OFF!AJ30+500-eth_OFF!AJ$64) - AVERAGE(AJ$62:AJ$63), "")</f>
        <v/>
      </c>
      <c r="AK30" s="15" t="str">
        <f>IF(eth_OFF!AK30, (eth_ON!AK30+500-eth_ON!AK$64) - (eth_OFF!AK30+500-eth_OFF!AK$64) - AVERAGE(AK$62:AK$63), "")</f>
        <v/>
      </c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spans="1:65">
      <c r="A31" s="1">
        <v>30</v>
      </c>
      <c r="B31" s="36">
        <f>eth_ON!B31 - eth_OFF!B31 - AVERAGE(B$62:B$63)</f>
        <v>0.89999999999997726</v>
      </c>
      <c r="C31" s="36">
        <f>eth_ON!C31 - eth_OFF!C31 - AVERAGE(C$62:C$63)</f>
        <v>1.0499999999999545</v>
      </c>
      <c r="D31" s="36">
        <f>eth_ON!D31 - eth_OFF!D31 - AVERAGE(D$62:D$63)</f>
        <v>1</v>
      </c>
      <c r="E31" s="36">
        <f>eth_ON!E31 - eth_OFF!E31 - AVERAGE(E$62:E$63)</f>
        <v>0.55000000000003979</v>
      </c>
      <c r="F31" s="36">
        <f>eth_ON!F31 - eth_OFF!F31 - AVERAGE(F$62:F$63)</f>
        <v>0.40000000000000568</v>
      </c>
      <c r="G31" s="36">
        <f>eth_ON!G31 - eth_OFF!G31 - AVERAGE(G$62:G$63)</f>
        <v>0.50000000000002842</v>
      </c>
      <c r="H31" s="36">
        <f>eth_ON!H31 - eth_OFF!H31 - AVERAGE(H$62:H$63)</f>
        <v>0.65000000000000568</v>
      </c>
      <c r="I31" s="36">
        <f>eth_ON!I31 - eth_OFF!I31 - AVERAGE(I$62:I$63)</f>
        <v>0.60000000000002274</v>
      </c>
      <c r="J31" s="36">
        <f>eth_ON!J31 - eth_OFF!J31 - AVERAGE(J$62:J$63)</f>
        <v>0.49999999999997158</v>
      </c>
      <c r="K31" s="36">
        <f>eth_ON!K31 - eth_OFF!K31 - AVERAGE(K$62:K$63)</f>
        <v>0.75</v>
      </c>
      <c r="L31" s="36">
        <f>eth_ON!L31 - eth_OFF!L31 - AVERAGE(L$62:L$63)</f>
        <v>1.2999999999999545</v>
      </c>
      <c r="M31" s="36">
        <f>eth_ON!M31 - eth_OFF!M31 - AVERAGE(M$62:M$63)</f>
        <v>-0.34999999999999432</v>
      </c>
      <c r="N31" s="36">
        <f>eth_ON!N31 - eth_OFF!N31 - AVERAGE(N$62:N$63)</f>
        <v>0.14999999999997726</v>
      </c>
      <c r="O31" s="36">
        <f>eth_ON!O31 - eth_OFF!O31 - AVERAGE(O$62:O$63)</f>
        <v>2.8421709430404007E-14</v>
      </c>
      <c r="P31" s="36">
        <f>eth_ON!P31 - eth_OFF!P31 - AVERAGE(P$62:P$63)</f>
        <v>0.19999999999996021</v>
      </c>
      <c r="Q31" s="36">
        <f>eth_ON!Q31 - eth_OFF!Q31 - AVERAGE(Q$62:Q$63)</f>
        <v>0.15000000000003411</v>
      </c>
      <c r="R31" s="36">
        <f>eth_ON!R31 - eth_OFF!R31 - AVERAGE(R$62:R$63)</f>
        <v>-0.25</v>
      </c>
      <c r="S31" s="36">
        <f>eth_ON!S31 - eth_OFF!S31 - AVERAGE(S$62:S$63)</f>
        <v>0.25000000000005684</v>
      </c>
      <c r="T31" s="36">
        <f>eth_ON!T31 - eth_OFF!T31 - AVERAGE(T$62:T$63)</f>
        <v>0.44999999999998863</v>
      </c>
      <c r="U31" s="6" t="str">
        <f>IF(eth_OFF!U31, (eth_ON!U31+500-eth_ON!U$64) - (eth_OFF!U31+500-eth_OFF!U$64) - AVERAGE($B$62:$AK$63), "")</f>
        <v/>
      </c>
      <c r="V31" s="6" t="str">
        <f>IF(eth_OFF!V31, (eth_ON!V31+500-eth_ON!V$64) - (eth_OFF!V31+500-eth_OFF!V$64) - AVERAGE(V$62:V$63), "")</f>
        <v/>
      </c>
      <c r="W31" s="6" t="str">
        <f>IF(eth_OFF!W31, (eth_ON!W31+500-eth_ON!W$64) - (eth_OFF!W31+500-eth_OFF!W$64) - AVERAGE(W$62:W$63), "")</f>
        <v/>
      </c>
      <c r="X31" s="6" t="str">
        <f>IF(eth_OFF!X31, (eth_ON!X31+500-eth_ON!X$64) - (eth_OFF!X31+500-eth_OFF!X$64) - AVERAGE(X$62:X$63), "")</f>
        <v/>
      </c>
      <c r="Y31" s="6" t="str">
        <f>IF(eth_OFF!Y31, (eth_ON!Y31+500-eth_ON!Y$64) - (eth_OFF!Y31+500-eth_OFF!Y$64) - AVERAGE(Y$62:Y$63), "")</f>
        <v/>
      </c>
      <c r="Z31" s="6" t="str">
        <f>IF(eth_OFF!Z31, (eth_ON!Z31+500-eth_ON!Z$64) - (eth_OFF!Z31+500-eth_OFF!Z$64) - AVERAGE(Z$62:Z$63), "")</f>
        <v/>
      </c>
      <c r="AA31" s="6" t="str">
        <f>IF(eth_OFF!AA31, (eth_ON!AA31+500-eth_ON!AA$64) - (eth_OFF!AA31+500-eth_OFF!AA$64) - AVERAGE(AA$62:AA$63), "")</f>
        <v/>
      </c>
      <c r="AB31" s="6" t="str">
        <f>IF(eth_OFF!AB31, (eth_ON!AB31+500-eth_ON!AB$64) - (eth_OFF!AB31+500-eth_OFF!AB$64) - AVERAGE(AB$62:AB$63), "")</f>
        <v/>
      </c>
      <c r="AC31" s="6" t="str">
        <f>IF(eth_OFF!AC31, (eth_ON!AC31+500-eth_ON!AC$64) - (eth_OFF!AC31+500-eth_OFF!AC$64) - AVERAGE(AC$62:AC$63), "")</f>
        <v/>
      </c>
      <c r="AD31" s="6" t="str">
        <f>IF(eth_OFF!AD31, (eth_ON!AD31+500-eth_ON!AD$64) - (eth_OFF!AD31+500-eth_OFF!AD$64) - AVERAGE(AD$62:AD$63), "")</f>
        <v/>
      </c>
      <c r="AE31" s="6" t="str">
        <f>IF(eth_OFF!AE31, (eth_ON!AE31+500-eth_ON!AE$64) - (eth_OFF!AE31+500-eth_OFF!AE$64) - AVERAGE(AE$62:AE$63), "")</f>
        <v/>
      </c>
      <c r="AF31" s="6" t="str">
        <f>IF(eth_OFF!AF31, (eth_ON!AF31+500-eth_ON!AF$64) - (eth_OFF!AF31+500-eth_OFF!AF$64) - AVERAGE(AF$62:AF$63), "")</f>
        <v/>
      </c>
      <c r="AG31" s="7" t="str">
        <f>IF(eth_OFF!AG31, (eth_ON!AG31+500-eth_ON!AG$64) - (eth_OFF!AG31+500-eth_OFF!AG$64) - AVERAGE(AG$62:AG$63), "")</f>
        <v/>
      </c>
      <c r="AH31" s="7" t="str">
        <f>IF(eth_OFF!AH31, (eth_ON!AH31+500-eth_ON!AH$64) - (eth_OFF!AH31+500-eth_OFF!AH$64) - AVERAGE(AH$62:AH$63), "")</f>
        <v/>
      </c>
      <c r="AI31" s="7" t="str">
        <f>IF(eth_OFF!AI31, (eth_ON!AI31+500-eth_ON!AI$64) - (eth_OFF!AI31+500-eth_OFF!AI$64) - AVERAGE(AI$62:AI$63), "")</f>
        <v/>
      </c>
      <c r="AJ31" s="7" t="str">
        <f>IF(eth_OFF!AJ31, (eth_ON!AJ31+500-eth_ON!AJ$64) - (eth_OFF!AJ31+500-eth_OFF!AJ$64) - AVERAGE(AJ$62:AJ$63), "")</f>
        <v/>
      </c>
      <c r="AK31" s="15" t="str">
        <f>IF(eth_OFF!AK31, (eth_ON!AK31+500-eth_ON!AK$64) - (eth_OFF!AK31+500-eth_OFF!AK$64) - AVERAGE(AK$62:AK$63), "")</f>
        <v/>
      </c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1:65">
      <c r="A32" s="1">
        <v>31</v>
      </c>
      <c r="B32" s="36">
        <f>eth_ON!B32 - eth_OFF!B32 - AVERAGE(B$62:B$63)</f>
        <v>2.3000000000000114</v>
      </c>
      <c r="C32" s="36">
        <f>eth_ON!C32 - eth_OFF!C32 - AVERAGE(C$62:C$63)</f>
        <v>1.9499999999999886</v>
      </c>
      <c r="D32" s="36">
        <f>eth_ON!D32 - eth_OFF!D32 - AVERAGE(D$62:D$63)</f>
        <v>0.80000000000001137</v>
      </c>
      <c r="E32" s="36">
        <f>eth_ON!E32 - eth_OFF!E32 - AVERAGE(E$62:E$63)</f>
        <v>2.0499999999999829</v>
      </c>
      <c r="F32" s="36">
        <f>eth_ON!F32 - eth_OFF!F32 - AVERAGE(F$62:F$63)</f>
        <v>1.9000000000000057</v>
      </c>
      <c r="G32" s="36">
        <f>eth_ON!G32 - eth_OFF!G32 - AVERAGE(G$62:G$63)</f>
        <v>1.5999999999999943</v>
      </c>
      <c r="H32" s="36">
        <f>eth_ON!H32 - eth_OFF!H32 - AVERAGE(H$62:H$63)</f>
        <v>3.1500000000000057</v>
      </c>
      <c r="I32" s="36">
        <f>eth_ON!I32 - eth_OFF!I32 - AVERAGE(I$62:I$63)</f>
        <v>1.9000000000000341</v>
      </c>
      <c r="J32" s="36">
        <f>eth_ON!J32 - eth_OFF!J32 - AVERAGE(J$62:J$63)</f>
        <v>1.3999999999999488</v>
      </c>
      <c r="K32" s="36">
        <f>eth_ON!K32 - eth_OFF!K32 - AVERAGE(K$62:K$63)</f>
        <v>1.75</v>
      </c>
      <c r="L32" s="36">
        <f>eth_ON!L32 - eth_OFF!L32 - AVERAGE(L$62:L$63)</f>
        <v>0.49999999999994316</v>
      </c>
      <c r="M32" s="36">
        <f>eth_ON!M32 - eth_OFF!M32 - AVERAGE(M$62:M$63)</f>
        <v>2.8499999999999943</v>
      </c>
      <c r="N32" s="36">
        <f>eth_ON!N32 - eth_OFF!N32 - AVERAGE(N$62:N$63)</f>
        <v>-0.25000000000005684</v>
      </c>
      <c r="O32" s="36">
        <f>eth_ON!O32 - eth_OFF!O32 - AVERAGE(O$62:O$63)</f>
        <v>0.59999999999999432</v>
      </c>
      <c r="P32" s="36">
        <f>eth_ON!P32 - eth_OFF!P32 - AVERAGE(P$62:P$63)</f>
        <v>0.69999999999996021</v>
      </c>
      <c r="Q32" s="36">
        <f>eth_ON!Q32 - eth_OFF!Q32 - AVERAGE(Q$62:Q$63)</f>
        <v>-5.0000000000011369E-2</v>
      </c>
      <c r="R32" s="36">
        <f>eth_ON!R32 - eth_OFF!R32 - AVERAGE(R$62:R$63)</f>
        <v>-0.25</v>
      </c>
      <c r="S32" s="36">
        <f>eth_ON!S32 - eth_OFF!S32 - AVERAGE(S$62:S$63)</f>
        <v>0.25</v>
      </c>
      <c r="T32" s="36">
        <f>eth_ON!T32 - eth_OFF!T32 - AVERAGE(T$62:T$63)</f>
        <v>0.14999999999997726</v>
      </c>
      <c r="U32" s="6" t="str">
        <f>IF(eth_OFF!U32, (eth_ON!U32+500-eth_ON!U$64) - (eth_OFF!U32+500-eth_OFF!U$64) - AVERAGE($B$62:$AK$63), "")</f>
        <v/>
      </c>
      <c r="V32" s="6" t="str">
        <f>IF(eth_OFF!V32, (eth_ON!V32+500-eth_ON!V$64) - (eth_OFF!V32+500-eth_OFF!V$64) - AVERAGE(V$62:V$63), "")</f>
        <v/>
      </c>
      <c r="W32" s="6" t="str">
        <f>IF(eth_OFF!W32, (eth_ON!W32+500-eth_ON!W$64) - (eth_OFF!W32+500-eth_OFF!W$64) - AVERAGE(W$62:W$63), "")</f>
        <v/>
      </c>
      <c r="X32" s="6" t="str">
        <f>IF(eth_OFF!X32, (eth_ON!X32+500-eth_ON!X$64) - (eth_OFF!X32+500-eth_OFF!X$64) - AVERAGE(X$62:X$63), "")</f>
        <v/>
      </c>
      <c r="Y32" s="6" t="str">
        <f>IF(eth_OFF!Y32, (eth_ON!Y32+500-eth_ON!Y$64) - (eth_OFF!Y32+500-eth_OFF!Y$64) - AVERAGE(Y$62:Y$63), "")</f>
        <v/>
      </c>
      <c r="Z32" s="6" t="str">
        <f>IF(eth_OFF!Z32, (eth_ON!Z32+500-eth_ON!Z$64) - (eth_OFF!Z32+500-eth_OFF!Z$64) - AVERAGE(Z$62:Z$63), "")</f>
        <v/>
      </c>
      <c r="AA32" s="6" t="str">
        <f>IF(eth_OFF!AA32, (eth_ON!AA32+500-eth_ON!AA$64) - (eth_OFF!AA32+500-eth_OFF!AA$64) - AVERAGE(AA$62:AA$63), "")</f>
        <v/>
      </c>
      <c r="AB32" s="6" t="str">
        <f>IF(eth_OFF!AB32, (eth_ON!AB32+500-eth_ON!AB$64) - (eth_OFF!AB32+500-eth_OFF!AB$64) - AVERAGE(AB$62:AB$63), "")</f>
        <v/>
      </c>
      <c r="AC32" s="6" t="str">
        <f>IF(eth_OFF!AC32, (eth_ON!AC32+500-eth_ON!AC$64) - (eth_OFF!AC32+500-eth_OFF!AC$64) - AVERAGE(AC$62:AC$63), "")</f>
        <v/>
      </c>
      <c r="AD32" s="6" t="str">
        <f>IF(eth_OFF!AD32, (eth_ON!AD32+500-eth_ON!AD$64) - (eth_OFF!AD32+500-eth_OFF!AD$64) - AVERAGE(AD$62:AD$63), "")</f>
        <v/>
      </c>
      <c r="AE32" s="6" t="str">
        <f>IF(eth_OFF!AE32, (eth_ON!AE32+500-eth_ON!AE$64) - (eth_OFF!AE32+500-eth_OFF!AE$64) - AVERAGE(AE$62:AE$63), "")</f>
        <v/>
      </c>
      <c r="AF32" s="6" t="str">
        <f>IF(eth_OFF!AF32, (eth_ON!AF32+500-eth_ON!AF$64) - (eth_OFF!AF32+500-eth_OFF!AF$64) - AVERAGE(AF$62:AF$63), "")</f>
        <v/>
      </c>
      <c r="AG32" s="7" t="str">
        <f>IF(eth_OFF!AG32, (eth_ON!AG32+500-eth_ON!AG$64) - (eth_OFF!AG32+500-eth_OFF!AG$64) - AVERAGE(AG$62:AG$63), "")</f>
        <v/>
      </c>
      <c r="AH32" s="7" t="str">
        <f>IF(eth_OFF!AH32, (eth_ON!AH32+500-eth_ON!AH$64) - (eth_OFF!AH32+500-eth_OFF!AH$64) - AVERAGE(AH$62:AH$63), "")</f>
        <v/>
      </c>
      <c r="AI32" s="7" t="str">
        <f>IF(eth_OFF!AI32, (eth_ON!AI32+500-eth_ON!AI$64) - (eth_OFF!AI32+500-eth_OFF!AI$64) - AVERAGE(AI$62:AI$63), "")</f>
        <v/>
      </c>
      <c r="AJ32" s="7" t="str">
        <f>IF(eth_OFF!AJ32, (eth_ON!AJ32+500-eth_ON!AJ$64) - (eth_OFF!AJ32+500-eth_OFF!AJ$64) - AVERAGE(AJ$62:AJ$63), "")</f>
        <v/>
      </c>
      <c r="AK32" s="15" t="str">
        <f>IF(eth_OFF!AK32, (eth_ON!AK32+500-eth_ON!AK$64) - (eth_OFF!AK32+500-eth_OFF!AK$64) - AVERAGE(AK$62:AK$63), "")</f>
        <v/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1:65">
      <c r="A33" s="1">
        <v>32</v>
      </c>
      <c r="B33" s="36">
        <f>eth_ON!B33 - eth_OFF!B33 - AVERAGE(B$62:B$63)</f>
        <v>3.8999999999999773</v>
      </c>
      <c r="C33" s="36">
        <f>eth_ON!C33 - eth_OFF!C33 - AVERAGE(C$62:C$63)</f>
        <v>2.9499999999999886</v>
      </c>
      <c r="D33" s="36">
        <f>eth_ON!D33 - eth_OFF!D33 - AVERAGE(D$62:D$63)</f>
        <v>3.6999999999999886</v>
      </c>
      <c r="E33" s="36">
        <f>eth_ON!E33 - eth_OFF!E33 - AVERAGE(E$62:E$63)</f>
        <v>1.5500000000000398</v>
      </c>
      <c r="F33" s="36">
        <f>eth_ON!F33 - eth_OFF!F33 - AVERAGE(F$62:F$63)</f>
        <v>1.0999999999999943</v>
      </c>
      <c r="G33" s="36">
        <f>eth_ON!G33 - eth_OFF!G33 - AVERAGE(G$62:G$63)</f>
        <v>3.0000000000000284</v>
      </c>
      <c r="H33" s="36">
        <f>eth_ON!H33 - eth_OFF!H33 - AVERAGE(H$62:H$63)</f>
        <v>3.0499999999999829</v>
      </c>
      <c r="I33" s="36">
        <f>eth_ON!I33 - eth_OFF!I33 - AVERAGE(I$62:I$63)</f>
        <v>3.0000000000000568</v>
      </c>
      <c r="J33" s="36">
        <f>eth_ON!J33 - eth_OFF!J33 - AVERAGE(J$62:J$63)</f>
        <v>2.8000000000000398</v>
      </c>
      <c r="K33" s="36">
        <f>eth_ON!K33 - eth_OFF!K33 - AVERAGE(K$62:K$63)</f>
        <v>2.3500000000000227</v>
      </c>
      <c r="L33" s="36">
        <f>eth_ON!L33 - eth_OFF!L33 - AVERAGE(L$62:L$63)</f>
        <v>0.39999999999997726</v>
      </c>
      <c r="M33" s="36">
        <f>eth_ON!M33 - eth_OFF!M33 - AVERAGE(M$62:M$63)</f>
        <v>2.7500000000000284</v>
      </c>
      <c r="N33" s="36">
        <f>eth_ON!N33 - eth_OFF!N33 - AVERAGE(N$62:N$63)</f>
        <v>-0.15000000000003411</v>
      </c>
      <c r="O33" s="36">
        <f>eth_ON!O33 - eth_OFF!O33 - AVERAGE(O$62:O$63)</f>
        <v>0.50000000000002842</v>
      </c>
      <c r="P33" s="36">
        <f>eth_ON!P33 - eth_OFF!P33 - AVERAGE(P$62:P$63)</f>
        <v>0.2999999999999261</v>
      </c>
      <c r="Q33" s="36">
        <f>eth_ON!Q33 - eth_OFF!Q33 - AVERAGE(Q$62:Q$63)</f>
        <v>0.15000000000003411</v>
      </c>
      <c r="R33" s="36">
        <f>eth_ON!R33 - eth_OFF!R33 - AVERAGE(R$62:R$63)</f>
        <v>-0.15000000000003411</v>
      </c>
      <c r="S33" s="36">
        <f>eth_ON!S33 - eth_OFF!S33 - AVERAGE(S$62:S$63)</f>
        <v>-5.0000000000011369E-2</v>
      </c>
      <c r="T33" s="36">
        <f>eth_ON!T33 - eth_OFF!T33 - AVERAGE(T$62:T$63)</f>
        <v>0.14999999999997726</v>
      </c>
      <c r="U33" s="6" t="str">
        <f>IF(eth_OFF!U33, (eth_ON!U33+500-eth_ON!U$64) - (eth_OFF!U33+500-eth_OFF!U$64) - AVERAGE($B$62:$AK$63), "")</f>
        <v/>
      </c>
      <c r="V33" s="6" t="str">
        <f>IF(eth_OFF!V33, (eth_ON!V33+500-eth_ON!V$64) - (eth_OFF!V33+500-eth_OFF!V$64) - AVERAGE(V$62:V$63), "")</f>
        <v/>
      </c>
      <c r="W33" s="6" t="str">
        <f>IF(eth_OFF!W33, (eth_ON!W33+500-eth_ON!W$64) - (eth_OFF!W33+500-eth_OFF!W$64) - AVERAGE(W$62:W$63), "")</f>
        <v/>
      </c>
      <c r="X33" s="6" t="str">
        <f>IF(eth_OFF!X33, (eth_ON!X33+500-eth_ON!X$64) - (eth_OFF!X33+500-eth_OFF!X$64) - AVERAGE(X$62:X$63), "")</f>
        <v/>
      </c>
      <c r="Y33" s="6" t="str">
        <f>IF(eth_OFF!Y33, (eth_ON!Y33+500-eth_ON!Y$64) - (eth_OFF!Y33+500-eth_OFF!Y$64) - AVERAGE(Y$62:Y$63), "")</f>
        <v/>
      </c>
      <c r="Z33" s="6" t="str">
        <f>IF(eth_OFF!Z33, (eth_ON!Z33+500-eth_ON!Z$64) - (eth_OFF!Z33+500-eth_OFF!Z$64) - AVERAGE(Z$62:Z$63), "")</f>
        <v/>
      </c>
      <c r="AA33" s="6" t="str">
        <f>IF(eth_OFF!AA33, (eth_ON!AA33+500-eth_ON!AA$64) - (eth_OFF!AA33+500-eth_OFF!AA$64) - AVERAGE(AA$62:AA$63), "")</f>
        <v/>
      </c>
      <c r="AB33" s="6" t="str">
        <f>IF(eth_OFF!AB33, (eth_ON!AB33+500-eth_ON!AB$64) - (eth_OFF!AB33+500-eth_OFF!AB$64) - AVERAGE(AB$62:AB$63), "")</f>
        <v/>
      </c>
      <c r="AC33" s="6" t="str">
        <f>IF(eth_OFF!AC33, (eth_ON!AC33+500-eth_ON!AC$64) - (eth_OFF!AC33+500-eth_OFF!AC$64) - AVERAGE(AC$62:AC$63), "")</f>
        <v/>
      </c>
      <c r="AD33" s="6" t="str">
        <f>IF(eth_OFF!AD33, (eth_ON!AD33+500-eth_ON!AD$64) - (eth_OFF!AD33+500-eth_OFF!AD$64) - AVERAGE(AD$62:AD$63), "")</f>
        <v/>
      </c>
      <c r="AE33" s="6" t="str">
        <f>IF(eth_OFF!AE33, (eth_ON!AE33+500-eth_ON!AE$64) - (eth_OFF!AE33+500-eth_OFF!AE$64) - AVERAGE(AE$62:AE$63), "")</f>
        <v/>
      </c>
      <c r="AF33" s="6" t="str">
        <f>IF(eth_OFF!AF33, (eth_ON!AF33+500-eth_ON!AF$64) - (eth_OFF!AF33+500-eth_OFF!AF$64) - AVERAGE(AF$62:AF$63), "")</f>
        <v/>
      </c>
      <c r="AG33" s="7" t="str">
        <f>IF(eth_OFF!AG33, (eth_ON!AG33+500-eth_ON!AG$64) - (eth_OFF!AG33+500-eth_OFF!AG$64) - AVERAGE(AG$62:AG$63), "")</f>
        <v/>
      </c>
      <c r="AH33" s="7" t="str">
        <f>IF(eth_OFF!AH33, (eth_ON!AH33+500-eth_ON!AH$64) - (eth_OFF!AH33+500-eth_OFF!AH$64) - AVERAGE(AH$62:AH$63), "")</f>
        <v/>
      </c>
      <c r="AI33" s="7" t="str">
        <f>IF(eth_OFF!AI33, (eth_ON!AI33+500-eth_ON!AI$64) - (eth_OFF!AI33+500-eth_OFF!AI$64) - AVERAGE(AI$62:AI$63), "")</f>
        <v/>
      </c>
      <c r="AJ33" s="7" t="str">
        <f>IF(eth_OFF!AJ33, (eth_ON!AJ33+500-eth_ON!AJ$64) - (eth_OFF!AJ33+500-eth_OFF!AJ$64) - AVERAGE(AJ$62:AJ$63), "")</f>
        <v/>
      </c>
      <c r="AK33" s="15" t="str">
        <f>IF(eth_OFF!AK33, (eth_ON!AK33+500-eth_ON!AK$64) - (eth_OFF!AK33+500-eth_OFF!AK$64) - AVERAGE(AK$62:AK$63), "")</f>
        <v/>
      </c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1:65">
      <c r="A34" s="1">
        <v>33</v>
      </c>
      <c r="B34" s="36">
        <f>eth_ON!B34 - eth_OFF!B34 - AVERAGE(B$62:B$63)</f>
        <v>1.5999999999999659</v>
      </c>
      <c r="C34" s="36">
        <f>eth_ON!C34 - eth_OFF!C34 - AVERAGE(C$62:C$63)</f>
        <v>2.3500000000000227</v>
      </c>
      <c r="D34" s="36">
        <f>eth_ON!D34 - eth_OFF!D34 - AVERAGE(D$62:D$63)</f>
        <v>2.8000000000000114</v>
      </c>
      <c r="E34" s="36">
        <f>eth_ON!E34 - eth_OFF!E34 - AVERAGE(E$62:E$63)</f>
        <v>0.94999999999996021</v>
      </c>
      <c r="F34" s="36">
        <f>eth_ON!F34 - eth_OFF!F34 - AVERAGE(F$62:F$63)</f>
        <v>2.0999999999999943</v>
      </c>
      <c r="G34" s="36">
        <f>eth_ON!G34 - eth_OFF!G34 - AVERAGE(G$62:G$63)</f>
        <v>1.0000000000000284</v>
      </c>
      <c r="H34" s="36">
        <f>eth_ON!H34 - eth_OFF!H34 - AVERAGE(H$62:H$63)</f>
        <v>1.2499999999999716</v>
      </c>
      <c r="I34" s="36">
        <f>eth_ON!I34 - eth_OFF!I34 - AVERAGE(I$62:I$63)</f>
        <v>1.6000000000000796</v>
      </c>
      <c r="J34" s="36">
        <f>eth_ON!J34 - eth_OFF!J34 - AVERAGE(J$62:J$63)</f>
        <v>2.2999999999999829</v>
      </c>
      <c r="K34" s="36">
        <f>eth_ON!K34 - eth_OFF!K34 - AVERAGE(K$62:K$63)</f>
        <v>2.0500000000000114</v>
      </c>
      <c r="L34" s="36">
        <f>eth_ON!L34 - eth_OFF!L34 - AVERAGE(L$62:L$63)</f>
        <v>1.9999999999999432</v>
      </c>
      <c r="M34" s="36">
        <f>eth_ON!M34 - eth_OFF!M34 - AVERAGE(M$62:M$63)</f>
        <v>1.3499999999999943</v>
      </c>
      <c r="N34" s="36">
        <f>eth_ON!N34 - eth_OFF!N34 - AVERAGE(N$62:N$63)</f>
        <v>2.25</v>
      </c>
      <c r="O34" s="36">
        <f>eth_ON!O34 - eth_OFF!O34 - AVERAGE(O$62:O$63)</f>
        <v>2.0000000000000284</v>
      </c>
      <c r="P34" s="36">
        <f>eth_ON!P34 - eth_OFF!P34 - AVERAGE(P$62:P$63)</f>
        <v>1.0999999999999375</v>
      </c>
      <c r="Q34" s="36">
        <f>eth_ON!Q34 - eth_OFF!Q34 - AVERAGE(Q$62:Q$63)</f>
        <v>0.85000000000002274</v>
      </c>
      <c r="R34" s="36">
        <f>eth_ON!R34 - eth_OFF!R34 - AVERAGE(R$62:R$63)</f>
        <v>1.1499999999999773</v>
      </c>
      <c r="S34" s="36">
        <f>eth_ON!S34 - eth_OFF!S34 - AVERAGE(S$62:S$63)</f>
        <v>1.6500000000000341</v>
      </c>
      <c r="T34" s="36">
        <f>eth_ON!T34 - eth_OFF!T34 - AVERAGE(T$62:T$63)</f>
        <v>1.3500000000000227</v>
      </c>
      <c r="U34" s="6" t="str">
        <f>IF(eth_OFF!U34, (eth_ON!U34+500-eth_ON!U$64) - (eth_OFF!U34+500-eth_OFF!U$64) - AVERAGE($B$62:$AK$63), "")</f>
        <v/>
      </c>
      <c r="V34" s="6" t="str">
        <f>IF(eth_OFF!V34, (eth_ON!V34+500-eth_ON!V$64) - (eth_OFF!V34+500-eth_OFF!V$64) - AVERAGE(V$62:V$63), "")</f>
        <v/>
      </c>
      <c r="W34" s="6" t="str">
        <f>IF(eth_OFF!W34, (eth_ON!W34+500-eth_ON!W$64) - (eth_OFF!W34+500-eth_OFF!W$64) - AVERAGE(W$62:W$63), "")</f>
        <v/>
      </c>
      <c r="X34" s="6" t="str">
        <f>IF(eth_OFF!X34, (eth_ON!X34+500-eth_ON!X$64) - (eth_OFF!X34+500-eth_OFF!X$64) - AVERAGE(X$62:X$63), "")</f>
        <v/>
      </c>
      <c r="Y34" s="6" t="str">
        <f>IF(eth_OFF!Y34, (eth_ON!Y34+500-eth_ON!Y$64) - (eth_OFF!Y34+500-eth_OFF!Y$64) - AVERAGE(Y$62:Y$63), "")</f>
        <v/>
      </c>
      <c r="Z34" s="6" t="str">
        <f>IF(eth_OFF!Z34, (eth_ON!Z34+500-eth_ON!Z$64) - (eth_OFF!Z34+500-eth_OFF!Z$64) - AVERAGE(Z$62:Z$63), "")</f>
        <v/>
      </c>
      <c r="AA34" s="6" t="str">
        <f>IF(eth_OFF!AA34, (eth_ON!AA34+500-eth_ON!AA$64) - (eth_OFF!AA34+500-eth_OFF!AA$64) - AVERAGE(AA$62:AA$63), "")</f>
        <v/>
      </c>
      <c r="AB34" s="6" t="str">
        <f>IF(eth_OFF!AB34, (eth_ON!AB34+500-eth_ON!AB$64) - (eth_OFF!AB34+500-eth_OFF!AB$64) - AVERAGE(AB$62:AB$63), "")</f>
        <v/>
      </c>
      <c r="AC34" s="6" t="str">
        <f>IF(eth_OFF!AC34, (eth_ON!AC34+500-eth_ON!AC$64) - (eth_OFF!AC34+500-eth_OFF!AC$64) - AVERAGE(AC$62:AC$63), "")</f>
        <v/>
      </c>
      <c r="AD34" s="6" t="str">
        <f>IF(eth_OFF!AD34, (eth_ON!AD34+500-eth_ON!AD$64) - (eth_OFF!AD34+500-eth_OFF!AD$64) - AVERAGE(AD$62:AD$63), "")</f>
        <v/>
      </c>
      <c r="AE34" s="6" t="str">
        <f>IF(eth_OFF!AE34, (eth_ON!AE34+500-eth_ON!AE$64) - (eth_OFF!AE34+500-eth_OFF!AE$64) - AVERAGE(AE$62:AE$63), "")</f>
        <v/>
      </c>
      <c r="AF34" s="6" t="str">
        <f>IF(eth_OFF!AF34, (eth_ON!AF34+500-eth_ON!AF$64) - (eth_OFF!AF34+500-eth_OFF!AF$64) - AVERAGE(AF$62:AF$63), "")</f>
        <v/>
      </c>
      <c r="AG34" s="7" t="str">
        <f>IF(eth_OFF!AG34, (eth_ON!AG34+500-eth_ON!AG$64) - (eth_OFF!AG34+500-eth_OFF!AG$64) - AVERAGE(AG$62:AG$63), "")</f>
        <v/>
      </c>
      <c r="AH34" s="7" t="str">
        <f>IF(eth_OFF!AH34, (eth_ON!AH34+500-eth_ON!AH$64) - (eth_OFF!AH34+500-eth_OFF!AH$64) - AVERAGE(AH$62:AH$63), "")</f>
        <v/>
      </c>
      <c r="AI34" s="7" t="str">
        <f>IF(eth_OFF!AI34, (eth_ON!AI34+500-eth_ON!AI$64) - (eth_OFF!AI34+500-eth_OFF!AI$64) - AVERAGE(AI$62:AI$63), "")</f>
        <v/>
      </c>
      <c r="AJ34" s="7" t="str">
        <f>IF(eth_OFF!AJ34, (eth_ON!AJ34+500-eth_ON!AJ$64) - (eth_OFF!AJ34+500-eth_OFF!AJ$64) - AVERAGE(AJ$62:AJ$63), "")</f>
        <v/>
      </c>
      <c r="AK34" s="15" t="str">
        <f>IF(eth_OFF!AK34, (eth_ON!AK34+500-eth_ON!AK$64) - (eth_OFF!AK34+500-eth_OFF!AK$64) - AVERAGE(AK$62:AK$63), "")</f>
        <v/>
      </c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1:65">
      <c r="A35" s="1">
        <v>34</v>
      </c>
      <c r="B35" s="36">
        <f>eth_ON!B35 - eth_OFF!B35 - AVERAGE(B$62:B$63)</f>
        <v>4.5</v>
      </c>
      <c r="C35" s="36">
        <f>eth_ON!C35 - eth_OFF!C35 - AVERAGE(C$62:C$63)</f>
        <v>4.6500000000000341</v>
      </c>
      <c r="D35" s="36">
        <f>eth_ON!D35 - eth_OFF!D35 - AVERAGE(D$62:D$63)</f>
        <v>3.8000000000000682</v>
      </c>
      <c r="E35" s="36">
        <f>eth_ON!E35 - eth_OFF!E35 - AVERAGE(E$62:E$63)</f>
        <v>6.9499999999999602</v>
      </c>
      <c r="F35" s="36">
        <f>eth_ON!F35 - eth_OFF!F35 - AVERAGE(F$62:F$63)</f>
        <v>6.4000000000000057</v>
      </c>
      <c r="G35" s="36">
        <f>eth_ON!G35 - eth_OFF!G35 - AVERAGE(G$62:G$63)</f>
        <v>1.3000000000000398</v>
      </c>
      <c r="H35" s="36">
        <f>eth_ON!H35 - eth_OFF!H35 - AVERAGE(H$62:H$63)</f>
        <v>2.8500000000000512</v>
      </c>
      <c r="I35" s="36">
        <f>eth_ON!I35 - eth_OFF!I35 - AVERAGE(I$62:I$63)</f>
        <v>4.4000000000000909</v>
      </c>
      <c r="J35" s="36">
        <f>eth_ON!J35 - eth_OFF!J35 - AVERAGE(J$62:J$63)</f>
        <v>3.0000000000000284</v>
      </c>
      <c r="K35" s="36">
        <f>eth_ON!K35 - eth_OFF!K35 - AVERAGE(K$62:K$63)</f>
        <v>4.1499999999999773</v>
      </c>
      <c r="L35" s="36">
        <f>eth_ON!L35 - eth_OFF!L35 - AVERAGE(L$62:L$63)</f>
        <v>6</v>
      </c>
      <c r="M35" s="36">
        <f>eth_ON!M35 - eth_OFF!M35 - AVERAGE(M$62:M$63)</f>
        <v>1.1500000000000057</v>
      </c>
      <c r="N35" s="36">
        <f>eth_ON!N35 - eth_OFF!N35 - AVERAGE(N$62:N$63)</f>
        <v>4.1499999999999773</v>
      </c>
      <c r="O35" s="36">
        <f>eth_ON!O35 - eth_OFF!O35 - AVERAGE(O$62:O$63)</f>
        <v>3.7000000000000171</v>
      </c>
      <c r="P35" s="36">
        <f>eth_ON!P35 - eth_OFF!P35 - AVERAGE(P$62:P$63)</f>
        <v>3.1999999999999602</v>
      </c>
      <c r="Q35" s="36">
        <f>eth_ON!Q35 - eth_OFF!Q35 - AVERAGE(Q$62:Q$63)</f>
        <v>2.4500000000000455</v>
      </c>
      <c r="R35" s="36">
        <f>eth_ON!R35 - eth_OFF!R35 - AVERAGE(R$62:R$63)</f>
        <v>1.4499999999999886</v>
      </c>
      <c r="S35" s="36">
        <f>eth_ON!S35 - eth_OFF!S35 - AVERAGE(S$62:S$63)</f>
        <v>2.5500000000000114</v>
      </c>
      <c r="T35" s="36">
        <f>eth_ON!T35 - eth_OFF!T35 - AVERAGE(T$62:T$63)</f>
        <v>2.4499999999999886</v>
      </c>
      <c r="U35" s="6" t="str">
        <f>IF(eth_OFF!U35, (eth_ON!U35+500-eth_ON!U$64) - (eth_OFF!U35+500-eth_OFF!U$64) - AVERAGE($B$62:$AK$63), "")</f>
        <v/>
      </c>
      <c r="V35" s="6" t="str">
        <f>IF(eth_OFF!V35, (eth_ON!V35+500-eth_ON!V$64) - (eth_OFF!V35+500-eth_OFF!V$64) - AVERAGE(V$62:V$63), "")</f>
        <v/>
      </c>
      <c r="W35" s="6" t="str">
        <f>IF(eth_OFF!W35, (eth_ON!W35+500-eth_ON!W$64) - (eth_OFF!W35+500-eth_OFF!W$64) - AVERAGE(W$62:W$63), "")</f>
        <v/>
      </c>
      <c r="X35" s="6" t="str">
        <f>IF(eth_OFF!X35, (eth_ON!X35+500-eth_ON!X$64) - (eth_OFF!X35+500-eth_OFF!X$64) - AVERAGE(X$62:X$63), "")</f>
        <v/>
      </c>
      <c r="Y35" s="6" t="str">
        <f>IF(eth_OFF!Y35, (eth_ON!Y35+500-eth_ON!Y$64) - (eth_OFF!Y35+500-eth_OFF!Y$64) - AVERAGE(Y$62:Y$63), "")</f>
        <v/>
      </c>
      <c r="Z35" s="6" t="str">
        <f>IF(eth_OFF!Z35, (eth_ON!Z35+500-eth_ON!Z$64) - (eth_OFF!Z35+500-eth_OFF!Z$64) - AVERAGE(Z$62:Z$63), "")</f>
        <v/>
      </c>
      <c r="AA35" s="6" t="str">
        <f>IF(eth_OFF!AA35, (eth_ON!AA35+500-eth_ON!AA$64) - (eth_OFF!AA35+500-eth_OFF!AA$64) - AVERAGE(AA$62:AA$63), "")</f>
        <v/>
      </c>
      <c r="AB35" s="6" t="str">
        <f>IF(eth_OFF!AB35, (eth_ON!AB35+500-eth_ON!AB$64) - (eth_OFF!AB35+500-eth_OFF!AB$64) - AVERAGE(AB$62:AB$63), "")</f>
        <v/>
      </c>
      <c r="AC35" s="6" t="str">
        <f>IF(eth_OFF!AC35, (eth_ON!AC35+500-eth_ON!AC$64) - (eth_OFF!AC35+500-eth_OFF!AC$64) - AVERAGE(AC$62:AC$63), "")</f>
        <v/>
      </c>
      <c r="AD35" s="6" t="str">
        <f>IF(eth_OFF!AD35, (eth_ON!AD35+500-eth_ON!AD$64) - (eth_OFF!AD35+500-eth_OFF!AD$64) - AVERAGE(AD$62:AD$63), "")</f>
        <v/>
      </c>
      <c r="AE35" s="6" t="str">
        <f>IF(eth_OFF!AE35, (eth_ON!AE35+500-eth_ON!AE$64) - (eth_OFF!AE35+500-eth_OFF!AE$64) - AVERAGE(AE$62:AE$63), "")</f>
        <v/>
      </c>
      <c r="AF35" s="6" t="str">
        <f>IF(eth_OFF!AF35, (eth_ON!AF35+500-eth_ON!AF$64) - (eth_OFF!AF35+500-eth_OFF!AF$64) - AVERAGE(AF$62:AF$63), "")</f>
        <v/>
      </c>
      <c r="AG35" s="7" t="str">
        <f>IF(eth_OFF!AG35, (eth_ON!AG35+500-eth_ON!AG$64) - (eth_OFF!AG35+500-eth_OFF!AG$64) - AVERAGE(AG$62:AG$63), "")</f>
        <v/>
      </c>
      <c r="AH35" s="7" t="str">
        <f>IF(eth_OFF!AH35, (eth_ON!AH35+500-eth_ON!AH$64) - (eth_OFF!AH35+500-eth_OFF!AH$64) - AVERAGE(AH$62:AH$63), "")</f>
        <v/>
      </c>
      <c r="AI35" s="7" t="str">
        <f>IF(eth_OFF!AI35, (eth_ON!AI35+500-eth_ON!AI$64) - (eth_OFF!AI35+500-eth_OFF!AI$64) - AVERAGE(AI$62:AI$63), "")</f>
        <v/>
      </c>
      <c r="AJ35" s="7" t="str">
        <f>IF(eth_OFF!AJ35, (eth_ON!AJ35+500-eth_ON!AJ$64) - (eth_OFF!AJ35+500-eth_OFF!AJ$64) - AVERAGE(AJ$62:AJ$63), "")</f>
        <v/>
      </c>
      <c r="AK35" s="15" t="str">
        <f>IF(eth_OFF!AK35, (eth_ON!AK35+500-eth_ON!AK$64) - (eth_OFF!AK35+500-eth_OFF!AK$64) - AVERAGE(AK$62:AK$63), "")</f>
        <v/>
      </c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1:65">
      <c r="A36" s="1">
        <v>35</v>
      </c>
      <c r="B36" s="36">
        <f>eth_ON!B36 - eth_OFF!B36 - AVERAGE(B$62:B$63)</f>
        <v>1.1999999999999886</v>
      </c>
      <c r="C36" s="36">
        <f>eth_ON!C36 - eth_OFF!C36 - AVERAGE(C$62:C$63)</f>
        <v>1.5499999999999545</v>
      </c>
      <c r="D36" s="36">
        <f>eth_ON!D36 - eth_OFF!D36 - AVERAGE(D$62:D$63)</f>
        <v>2.1000000000000227</v>
      </c>
      <c r="E36" s="36">
        <f>eth_ON!E36 - eth_OFF!E36 - AVERAGE(E$62:E$63)</f>
        <v>2.1500000000000057</v>
      </c>
      <c r="F36" s="36">
        <f>eth_ON!F36 - eth_OFF!F36 - AVERAGE(F$62:F$63)</f>
        <v>2.7000000000000171</v>
      </c>
      <c r="G36" s="36">
        <f>eth_ON!G36 - eth_OFF!G36 - AVERAGE(G$62:G$63)</f>
        <v>2.2000000000000171</v>
      </c>
      <c r="H36" s="36">
        <f>eth_ON!H36 - eth_OFF!H36 - AVERAGE(H$62:H$63)</f>
        <v>1.4500000000000171</v>
      </c>
      <c r="I36" s="36">
        <f>eth_ON!I36 - eth_OFF!I36 - AVERAGE(I$62:I$63)</f>
        <v>2.2000000000000455</v>
      </c>
      <c r="J36" s="36">
        <f>eth_ON!J36 - eth_OFF!J36 - AVERAGE(J$62:J$63)</f>
        <v>1.3000000000000398</v>
      </c>
      <c r="K36" s="36">
        <f>eth_ON!K36 - eth_OFF!K36 - AVERAGE(K$62:K$63)</f>
        <v>1.8500000000000227</v>
      </c>
      <c r="L36" s="36">
        <f>eth_ON!L36 - eth_OFF!L36 - AVERAGE(L$62:L$63)</f>
        <v>1.8999999999999773</v>
      </c>
      <c r="M36" s="36">
        <f>eth_ON!M36 - eth_OFF!M36 - AVERAGE(M$62:M$63)</f>
        <v>1.8499999999999943</v>
      </c>
      <c r="N36" s="36">
        <f>eth_ON!N36 - eth_OFF!N36 - AVERAGE(N$62:N$63)</f>
        <v>2.25</v>
      </c>
      <c r="O36" s="36">
        <f>eth_ON!O36 - eth_OFF!O36 - AVERAGE(O$62:O$63)</f>
        <v>1.5999999999999943</v>
      </c>
      <c r="P36" s="36">
        <f>eth_ON!P36 - eth_OFF!P36 - AVERAGE(P$62:P$63)</f>
        <v>0.99999999999997158</v>
      </c>
      <c r="Q36" s="36">
        <f>eth_ON!Q36 - eth_OFF!Q36 - AVERAGE(Q$62:Q$63)</f>
        <v>1.25</v>
      </c>
      <c r="R36" s="36">
        <f>eth_ON!R36 - eth_OFF!R36 - AVERAGE(R$62:R$63)</f>
        <v>0.64999999999997726</v>
      </c>
      <c r="S36" s="36">
        <f>eth_ON!S36 - eth_OFF!S36 - AVERAGE(S$62:S$63)</f>
        <v>0.55000000000001137</v>
      </c>
      <c r="T36" s="36">
        <f>eth_ON!T36 - eth_OFF!T36 - AVERAGE(T$62:T$63)</f>
        <v>0.74999999999994316</v>
      </c>
      <c r="U36" s="6" t="str">
        <f>IF(eth_OFF!U36, (eth_ON!U36+500-eth_ON!U$64) - (eth_OFF!U36+500-eth_OFF!U$64) - AVERAGE($B$62:$AK$63), "")</f>
        <v/>
      </c>
      <c r="V36" s="6" t="str">
        <f>IF(eth_OFF!V36, (eth_ON!V36+500-eth_ON!V$64) - (eth_OFF!V36+500-eth_OFF!V$64) - AVERAGE(V$62:V$63), "")</f>
        <v/>
      </c>
      <c r="W36" s="6" t="str">
        <f>IF(eth_OFF!W36, (eth_ON!W36+500-eth_ON!W$64) - (eth_OFF!W36+500-eth_OFF!W$64) - AVERAGE(W$62:W$63), "")</f>
        <v/>
      </c>
      <c r="X36" s="6" t="str">
        <f>IF(eth_OFF!X36, (eth_ON!X36+500-eth_ON!X$64) - (eth_OFF!X36+500-eth_OFF!X$64) - AVERAGE(X$62:X$63), "")</f>
        <v/>
      </c>
      <c r="Y36" s="6" t="str">
        <f>IF(eth_OFF!Y36, (eth_ON!Y36+500-eth_ON!Y$64) - (eth_OFF!Y36+500-eth_OFF!Y$64) - AVERAGE(Y$62:Y$63), "")</f>
        <v/>
      </c>
      <c r="Z36" s="6" t="str">
        <f>IF(eth_OFF!Z36, (eth_ON!Z36+500-eth_ON!Z$64) - (eth_OFF!Z36+500-eth_OFF!Z$64) - AVERAGE(Z$62:Z$63), "")</f>
        <v/>
      </c>
      <c r="AA36" s="6" t="str">
        <f>IF(eth_OFF!AA36, (eth_ON!AA36+500-eth_ON!AA$64) - (eth_OFF!AA36+500-eth_OFF!AA$64) - AVERAGE(AA$62:AA$63), "")</f>
        <v/>
      </c>
      <c r="AB36" s="6" t="str">
        <f>IF(eth_OFF!AB36, (eth_ON!AB36+500-eth_ON!AB$64) - (eth_OFF!AB36+500-eth_OFF!AB$64) - AVERAGE(AB$62:AB$63), "")</f>
        <v/>
      </c>
      <c r="AC36" s="6" t="str">
        <f>IF(eth_OFF!AC36, (eth_ON!AC36+500-eth_ON!AC$64) - (eth_OFF!AC36+500-eth_OFF!AC$64) - AVERAGE(AC$62:AC$63), "")</f>
        <v/>
      </c>
      <c r="AD36" s="6" t="str">
        <f>IF(eth_OFF!AD36, (eth_ON!AD36+500-eth_ON!AD$64) - (eth_OFF!AD36+500-eth_OFF!AD$64) - AVERAGE(AD$62:AD$63), "")</f>
        <v/>
      </c>
      <c r="AE36" s="6" t="str">
        <f>IF(eth_OFF!AE36, (eth_ON!AE36+500-eth_ON!AE$64) - (eth_OFF!AE36+500-eth_OFF!AE$64) - AVERAGE(AE$62:AE$63), "")</f>
        <v/>
      </c>
      <c r="AF36" s="6" t="str">
        <f>IF(eth_OFF!AF36, (eth_ON!AF36+500-eth_ON!AF$64) - (eth_OFF!AF36+500-eth_OFF!AF$64) - AVERAGE(AF$62:AF$63), "")</f>
        <v/>
      </c>
      <c r="AG36" s="7" t="str">
        <f>IF(eth_OFF!AG36, (eth_ON!AG36+500-eth_ON!AG$64) - (eth_OFF!AG36+500-eth_OFF!AG$64) - AVERAGE(AG$62:AG$63), "")</f>
        <v/>
      </c>
      <c r="AH36" s="7" t="str">
        <f>IF(eth_OFF!AH36, (eth_ON!AH36+500-eth_ON!AH$64) - (eth_OFF!AH36+500-eth_OFF!AH$64) - AVERAGE(AH$62:AH$63), "")</f>
        <v/>
      </c>
      <c r="AI36" s="7" t="str">
        <f>IF(eth_OFF!AI36, (eth_ON!AI36+500-eth_ON!AI$64) - (eth_OFF!AI36+500-eth_OFF!AI$64) - AVERAGE(AI$62:AI$63), "")</f>
        <v/>
      </c>
      <c r="AJ36" s="7" t="str">
        <f>IF(eth_OFF!AJ36, (eth_ON!AJ36+500-eth_ON!AJ$64) - (eth_OFF!AJ36+500-eth_OFF!AJ$64) - AVERAGE(AJ$62:AJ$63), "")</f>
        <v/>
      </c>
      <c r="AK36" s="15" t="str">
        <f>IF(eth_OFF!AK36, (eth_ON!AK36+500-eth_ON!AK$64) - (eth_OFF!AK36+500-eth_OFF!AK$64) - AVERAGE(AK$62:AK$63), "")</f>
        <v/>
      </c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>
      <c r="A37" s="1">
        <v>36</v>
      </c>
      <c r="B37" s="36">
        <f>eth_ON!B37 - eth_OFF!B37 - AVERAGE(B$62:B$63)</f>
        <v>3.2999999999999545</v>
      </c>
      <c r="C37" s="36">
        <f>eth_ON!C37 - eth_OFF!C37 - AVERAGE(C$62:C$63)</f>
        <v>3.9499999999999886</v>
      </c>
      <c r="D37" s="36">
        <f>eth_ON!D37 - eth_OFF!D37 - AVERAGE(D$62:D$63)</f>
        <v>2.4000000000000341</v>
      </c>
      <c r="E37" s="36">
        <f>eth_ON!E37 - eth_OFF!E37 - AVERAGE(E$62:E$63)</f>
        <v>3.0499999999999829</v>
      </c>
      <c r="F37" s="36">
        <f>eth_ON!F37 - eth_OFF!F37 - AVERAGE(F$62:F$63)</f>
        <v>4.0000000000000284</v>
      </c>
      <c r="G37" s="36">
        <f>eth_ON!G37 - eth_OFF!G37 - AVERAGE(G$62:G$63)</f>
        <v>2.9000000000000057</v>
      </c>
      <c r="H37" s="36">
        <f>eth_ON!H37 - eth_OFF!H37 - AVERAGE(H$62:H$63)</f>
        <v>3.3500000000000512</v>
      </c>
      <c r="I37" s="36">
        <f>eth_ON!I37 - eth_OFF!I37 - AVERAGE(I$62:I$63)</f>
        <v>3.6000000000000796</v>
      </c>
      <c r="J37" s="36">
        <f>eth_ON!J37 - eth_OFF!J37 - AVERAGE(J$62:J$63)</f>
        <v>3.0999999999999943</v>
      </c>
      <c r="K37" s="36">
        <f>eth_ON!K37 - eth_OFF!K37 - AVERAGE(K$62:K$63)</f>
        <v>3.4500000000000455</v>
      </c>
      <c r="L37" s="36">
        <f>eth_ON!L37 - eth_OFF!L37 - AVERAGE(L$62:L$63)</f>
        <v>2.2999999999999545</v>
      </c>
      <c r="M37" s="36">
        <f>eth_ON!M37 - eth_OFF!M37 - AVERAGE(M$62:M$63)</f>
        <v>3.0499999999999829</v>
      </c>
      <c r="N37" s="36">
        <f>eth_ON!N37 - eth_OFF!N37 - AVERAGE(N$62:N$63)</f>
        <v>2.1499999999999773</v>
      </c>
      <c r="O37" s="36">
        <f>eth_ON!O37 - eth_OFF!O37 - AVERAGE(O$62:O$63)</f>
        <v>3.1000000000000512</v>
      </c>
      <c r="P37" s="36">
        <f>eth_ON!P37 - eth_OFF!P37 - AVERAGE(P$62:P$63)</f>
        <v>1.7999999999999829</v>
      </c>
      <c r="Q37" s="36">
        <f>eth_ON!Q37 - eth_OFF!Q37 - AVERAGE(Q$62:Q$63)</f>
        <v>0.75</v>
      </c>
      <c r="R37" s="36">
        <f>eth_ON!R37 - eth_OFF!R37 - AVERAGE(R$62:R$63)</f>
        <v>0.64999999999997726</v>
      </c>
      <c r="S37" s="36">
        <f>eth_ON!S37 - eth_OFF!S37 - AVERAGE(S$62:S$63)</f>
        <v>1.6499999999999773</v>
      </c>
      <c r="T37" s="36">
        <f>eth_ON!T37 - eth_OFF!T37 - AVERAGE(T$62:T$63)</f>
        <v>1.4499999999999886</v>
      </c>
      <c r="U37" s="6" t="str">
        <f>IF(eth_OFF!U37, (eth_ON!U37+500-eth_ON!U$64) - (eth_OFF!U37+500-eth_OFF!U$64) - AVERAGE($B$62:$AK$63), "")</f>
        <v/>
      </c>
      <c r="V37" s="6" t="str">
        <f>IF(eth_OFF!V37, (eth_ON!V37+500-eth_ON!V$64) - (eth_OFF!V37+500-eth_OFF!V$64) - AVERAGE(V$62:V$63), "")</f>
        <v/>
      </c>
      <c r="W37" s="6" t="str">
        <f>IF(eth_OFF!W37, (eth_ON!W37+500-eth_ON!W$64) - (eth_OFF!W37+500-eth_OFF!W$64) - AVERAGE(W$62:W$63), "")</f>
        <v/>
      </c>
      <c r="X37" s="6" t="str">
        <f>IF(eth_OFF!X37, (eth_ON!X37+500-eth_ON!X$64) - (eth_OFF!X37+500-eth_OFF!X$64) - AVERAGE(X$62:X$63), "")</f>
        <v/>
      </c>
      <c r="Y37" s="6" t="str">
        <f>IF(eth_OFF!Y37, (eth_ON!Y37+500-eth_ON!Y$64) - (eth_OFF!Y37+500-eth_OFF!Y$64) - AVERAGE(Y$62:Y$63), "")</f>
        <v/>
      </c>
      <c r="Z37" s="6" t="str">
        <f>IF(eth_OFF!Z37, (eth_ON!Z37+500-eth_ON!Z$64) - (eth_OFF!Z37+500-eth_OFF!Z$64) - AVERAGE(Z$62:Z$63), "")</f>
        <v/>
      </c>
      <c r="AA37" s="6" t="str">
        <f>IF(eth_OFF!AA37, (eth_ON!AA37+500-eth_ON!AA$64) - (eth_OFF!AA37+500-eth_OFF!AA$64) - AVERAGE(AA$62:AA$63), "")</f>
        <v/>
      </c>
      <c r="AB37" s="6" t="str">
        <f>IF(eth_OFF!AB37, (eth_ON!AB37+500-eth_ON!AB$64) - (eth_OFF!AB37+500-eth_OFF!AB$64) - AVERAGE(AB$62:AB$63), "")</f>
        <v/>
      </c>
      <c r="AC37" s="6" t="str">
        <f>IF(eth_OFF!AC37, (eth_ON!AC37+500-eth_ON!AC$64) - (eth_OFF!AC37+500-eth_OFF!AC$64) - AVERAGE(AC$62:AC$63), "")</f>
        <v/>
      </c>
      <c r="AD37" s="6" t="str">
        <f>IF(eth_OFF!AD37, (eth_ON!AD37+500-eth_ON!AD$64) - (eth_OFF!AD37+500-eth_OFF!AD$64) - AVERAGE(AD$62:AD$63), "")</f>
        <v/>
      </c>
      <c r="AE37" s="6" t="str">
        <f>IF(eth_OFF!AE37, (eth_ON!AE37+500-eth_ON!AE$64) - (eth_OFF!AE37+500-eth_OFF!AE$64) - AVERAGE(AE$62:AE$63), "")</f>
        <v/>
      </c>
      <c r="AF37" s="6" t="str">
        <f>IF(eth_OFF!AF37, (eth_ON!AF37+500-eth_ON!AF$64) - (eth_OFF!AF37+500-eth_OFF!AF$64) - AVERAGE(AF$62:AF$63), "")</f>
        <v/>
      </c>
      <c r="AG37" s="7" t="str">
        <f>IF(eth_OFF!AG37, (eth_ON!AG37+500-eth_ON!AG$64) - (eth_OFF!AG37+500-eth_OFF!AG$64) - AVERAGE(AG$62:AG$63), "")</f>
        <v/>
      </c>
      <c r="AH37" s="7" t="str">
        <f>IF(eth_OFF!AH37, (eth_ON!AH37+500-eth_ON!AH$64) - (eth_OFF!AH37+500-eth_OFF!AH$64) - AVERAGE(AH$62:AH$63), "")</f>
        <v/>
      </c>
      <c r="AI37" s="7" t="str">
        <f>IF(eth_OFF!AI37, (eth_ON!AI37+500-eth_ON!AI$64) - (eth_OFF!AI37+500-eth_OFF!AI$64) - AVERAGE(AI$62:AI$63), "")</f>
        <v/>
      </c>
      <c r="AJ37" s="7" t="str">
        <f>IF(eth_OFF!AJ37, (eth_ON!AJ37+500-eth_ON!AJ$64) - (eth_OFF!AJ37+500-eth_OFF!AJ$64) - AVERAGE(AJ$62:AJ$63), "")</f>
        <v/>
      </c>
      <c r="AK37" s="15" t="str">
        <f>IF(eth_OFF!AK37, (eth_ON!AK37+500-eth_ON!AK$64) - (eth_OFF!AK37+500-eth_OFF!AK$64) - AVERAGE(AK$62:AK$63), "")</f>
        <v/>
      </c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>
      <c r="A38" s="1">
        <v>37</v>
      </c>
      <c r="B38" s="36">
        <f>eth_ON!B38 - eth_OFF!B38 - AVERAGE(B$62:B$63)</f>
        <v>4.0999999999999659</v>
      </c>
      <c r="C38" s="36">
        <f>eth_ON!C38 - eth_OFF!C38 - AVERAGE(C$62:C$63)</f>
        <v>4.5500000000000114</v>
      </c>
      <c r="D38" s="36">
        <f>eth_ON!D38 - eth_OFF!D38 - AVERAGE(D$62:D$63)</f>
        <v>4.4000000000000341</v>
      </c>
      <c r="E38" s="36">
        <f>eth_ON!E38 - eth_OFF!E38 - AVERAGE(E$62:E$63)</f>
        <v>4.1500000000000057</v>
      </c>
      <c r="F38" s="36">
        <f>eth_ON!F38 - eth_OFF!F38 - AVERAGE(F$62:F$63)</f>
        <v>2.9999999999999716</v>
      </c>
      <c r="G38" s="36">
        <f>eth_ON!G38 - eth_OFF!G38 - AVERAGE(G$62:G$63)</f>
        <v>4.3000000000000398</v>
      </c>
      <c r="H38" s="36">
        <f>eth_ON!H38 - eth_OFF!H38 - AVERAGE(H$62:H$63)</f>
        <v>3.9500000000000171</v>
      </c>
      <c r="I38" s="36">
        <f>eth_ON!I38 - eth_OFF!I38 - AVERAGE(I$62:I$63)</f>
        <v>4.7000000000000455</v>
      </c>
      <c r="J38" s="36">
        <f>eth_ON!J38 - eth_OFF!J38 - AVERAGE(J$62:J$63)</f>
        <v>6.6999999999999602</v>
      </c>
      <c r="K38" s="36">
        <f>eth_ON!K38 - eth_OFF!K38 - AVERAGE(K$62:K$63)</f>
        <v>3.75</v>
      </c>
      <c r="L38" s="36">
        <f>eth_ON!L38 - eth_OFF!L38 - AVERAGE(L$62:L$63)</f>
        <v>5.1999999999999886</v>
      </c>
      <c r="M38" s="36">
        <f>eth_ON!M38 - eth_OFF!M38 - AVERAGE(M$62:M$63)</f>
        <v>3.9499999999999602</v>
      </c>
      <c r="N38" s="36">
        <f>eth_ON!N38 - eth_OFF!N38 - AVERAGE(N$62:N$63)</f>
        <v>5.4499999999999886</v>
      </c>
      <c r="O38" s="36">
        <f>eth_ON!O38 - eth_OFF!O38 - AVERAGE(O$62:O$63)</f>
        <v>3.9000000000000057</v>
      </c>
      <c r="P38" s="36">
        <f>eth_ON!P38 - eth_OFF!P38 - AVERAGE(P$62:P$63)</f>
        <v>2.2000000000000171</v>
      </c>
      <c r="Q38" s="36">
        <f>eth_ON!Q38 - eth_OFF!Q38 - AVERAGE(Q$62:Q$63)</f>
        <v>2.9499999999999886</v>
      </c>
      <c r="R38" s="36">
        <f>eth_ON!R38 - eth_OFF!R38 - AVERAGE(R$62:R$63)</f>
        <v>2.25</v>
      </c>
      <c r="S38" s="36">
        <f>eth_ON!S38 - eth_OFF!S38 - AVERAGE(S$62:S$63)</f>
        <v>2.4500000000000455</v>
      </c>
      <c r="T38" s="36">
        <f>eth_ON!T38 - eth_OFF!T38 - AVERAGE(T$62:T$63)</f>
        <v>3.3500000000000227</v>
      </c>
      <c r="U38" s="6" t="str">
        <f>IF(eth_OFF!U38, (eth_ON!U38+500-eth_ON!U$64) - (eth_OFF!U38+500-eth_OFF!U$64) - AVERAGE($B$62:$AK$63), "")</f>
        <v/>
      </c>
      <c r="V38" s="6" t="str">
        <f>IF(eth_OFF!V38, (eth_ON!V38+500-eth_ON!V$64) - (eth_OFF!V38+500-eth_OFF!V$64) - AVERAGE(V$62:V$63), "")</f>
        <v/>
      </c>
      <c r="W38" s="6" t="str">
        <f>IF(eth_OFF!W38, (eth_ON!W38+500-eth_ON!W$64) - (eth_OFF!W38+500-eth_OFF!W$64) - AVERAGE(W$62:W$63), "")</f>
        <v/>
      </c>
      <c r="X38" s="6" t="str">
        <f>IF(eth_OFF!X38, (eth_ON!X38+500-eth_ON!X$64) - (eth_OFF!X38+500-eth_OFF!X$64) - AVERAGE(X$62:X$63), "")</f>
        <v/>
      </c>
      <c r="Y38" s="6" t="str">
        <f>IF(eth_OFF!Y38, (eth_ON!Y38+500-eth_ON!Y$64) - (eth_OFF!Y38+500-eth_OFF!Y$64) - AVERAGE(Y$62:Y$63), "")</f>
        <v/>
      </c>
      <c r="Z38" s="6" t="str">
        <f>IF(eth_OFF!Z38, (eth_ON!Z38+500-eth_ON!Z$64) - (eth_OFF!Z38+500-eth_OFF!Z$64) - AVERAGE(Z$62:Z$63), "")</f>
        <v/>
      </c>
      <c r="AA38" s="6" t="str">
        <f>IF(eth_OFF!AA38, (eth_ON!AA38+500-eth_ON!AA$64) - (eth_OFF!AA38+500-eth_OFF!AA$64) - AVERAGE(AA$62:AA$63), "")</f>
        <v/>
      </c>
      <c r="AB38" s="6" t="str">
        <f>IF(eth_OFF!AB38, (eth_ON!AB38+500-eth_ON!AB$64) - (eth_OFF!AB38+500-eth_OFF!AB$64) - AVERAGE(AB$62:AB$63), "")</f>
        <v/>
      </c>
      <c r="AC38" s="6" t="str">
        <f>IF(eth_OFF!AC38, (eth_ON!AC38+500-eth_ON!AC$64) - (eth_OFF!AC38+500-eth_OFF!AC$64) - AVERAGE(AC$62:AC$63), "")</f>
        <v/>
      </c>
      <c r="AD38" s="6" t="str">
        <f>IF(eth_OFF!AD38, (eth_ON!AD38+500-eth_ON!AD$64) - (eth_OFF!AD38+500-eth_OFF!AD$64) - AVERAGE(AD$62:AD$63), "")</f>
        <v/>
      </c>
      <c r="AE38" s="6" t="str">
        <f>IF(eth_OFF!AE38, (eth_ON!AE38+500-eth_ON!AE$64) - (eth_OFF!AE38+500-eth_OFF!AE$64) - AVERAGE(AE$62:AE$63), "")</f>
        <v/>
      </c>
      <c r="AF38" s="6" t="str">
        <f>IF(eth_OFF!AF38, (eth_ON!AF38+500-eth_ON!AF$64) - (eth_OFF!AF38+500-eth_OFF!AF$64) - AVERAGE(AF$62:AF$63), "")</f>
        <v/>
      </c>
      <c r="AG38" s="7" t="str">
        <f>IF(eth_OFF!AG38, (eth_ON!AG38+500-eth_ON!AG$64) - (eth_OFF!AG38+500-eth_OFF!AG$64) - AVERAGE(AG$62:AG$63), "")</f>
        <v/>
      </c>
      <c r="AH38" s="7" t="str">
        <f>IF(eth_OFF!AH38, (eth_ON!AH38+500-eth_ON!AH$64) - (eth_OFF!AH38+500-eth_OFF!AH$64) - AVERAGE(AH$62:AH$63), "")</f>
        <v/>
      </c>
      <c r="AI38" s="7" t="str">
        <f>IF(eth_OFF!AI38, (eth_ON!AI38+500-eth_ON!AI$64) - (eth_OFF!AI38+500-eth_OFF!AI$64) - AVERAGE(AI$62:AI$63), "")</f>
        <v/>
      </c>
      <c r="AJ38" s="7" t="str">
        <f>IF(eth_OFF!AJ38, (eth_ON!AJ38+500-eth_ON!AJ$64) - (eth_OFF!AJ38+500-eth_OFF!AJ$64) - AVERAGE(AJ$62:AJ$63), "")</f>
        <v/>
      </c>
      <c r="AK38" s="15" t="str">
        <f>IF(eth_OFF!AK38, (eth_ON!AK38+500-eth_ON!AK$64) - (eth_OFF!AK38+500-eth_OFF!AK$64) - AVERAGE(AK$62:AK$63), "")</f>
        <v/>
      </c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>
      <c r="A39" s="1">
        <v>38</v>
      </c>
      <c r="B39" s="36">
        <f>eth_ON!B39 - eth_OFF!B39 - AVERAGE(B$62:B$63)</f>
        <v>0.89999999999997726</v>
      </c>
      <c r="C39" s="36">
        <f>eth_ON!C39 - eth_OFF!C39 - AVERAGE(C$62:C$63)</f>
        <v>1.9499999999999886</v>
      </c>
      <c r="D39" s="36">
        <f>eth_ON!D39 - eth_OFF!D39 - AVERAGE(D$62:D$63)</f>
        <v>1.5</v>
      </c>
      <c r="E39" s="36">
        <f>eth_ON!E39 - eth_OFF!E39 - AVERAGE(E$62:E$63)</f>
        <v>1.9500000000000171</v>
      </c>
      <c r="F39" s="36">
        <f>eth_ON!F39 - eth_OFF!F39 - AVERAGE(F$62:F$63)</f>
        <v>1.8000000000000398</v>
      </c>
      <c r="G39" s="36">
        <f>eth_ON!G39 - eth_OFF!G39 - AVERAGE(G$62:G$63)</f>
        <v>1.9000000000000057</v>
      </c>
      <c r="H39" s="36">
        <f>eth_ON!H39 - eth_OFF!H39 - AVERAGE(H$62:H$63)</f>
        <v>1.3500000000000512</v>
      </c>
      <c r="I39" s="36">
        <f>eth_ON!I39 - eth_OFF!I39 - AVERAGE(I$62:I$63)</f>
        <v>1.5000000000000568</v>
      </c>
      <c r="J39" s="36">
        <f>eth_ON!J39 - eth_OFF!J39 - AVERAGE(J$62:J$63)</f>
        <v>1.9000000000000057</v>
      </c>
      <c r="K39" s="36">
        <f>eth_ON!K39 - eth_OFF!K39 - AVERAGE(K$62:K$63)</f>
        <v>2.1500000000000341</v>
      </c>
      <c r="L39" s="36">
        <f>eth_ON!L39 - eth_OFF!L39 - AVERAGE(L$62:L$63)</f>
        <v>2.6999999999999886</v>
      </c>
      <c r="M39" s="36">
        <f>eth_ON!M39 - eth_OFF!M39 - AVERAGE(M$62:M$63)</f>
        <v>1.2499999999999716</v>
      </c>
      <c r="N39" s="36">
        <f>eth_ON!N39 - eth_OFF!N39 - AVERAGE(N$62:N$63)</f>
        <v>2.75</v>
      </c>
      <c r="O39" s="36">
        <f>eth_ON!O39 - eth_OFF!O39 - AVERAGE(O$62:O$63)</f>
        <v>2.2000000000000171</v>
      </c>
      <c r="P39" s="36">
        <f>eth_ON!P39 - eth_OFF!P39 - AVERAGE(P$62:P$63)</f>
        <v>1.6999999999999602</v>
      </c>
      <c r="Q39" s="36">
        <f>eth_ON!Q39 - eth_OFF!Q39 - AVERAGE(Q$62:Q$63)</f>
        <v>1.1499999999999773</v>
      </c>
      <c r="R39" s="36">
        <f>eth_ON!R39 - eth_OFF!R39 - AVERAGE(R$62:R$63)</f>
        <v>2.2499999999999432</v>
      </c>
      <c r="S39" s="36">
        <f>eth_ON!S39 - eth_OFF!S39 - AVERAGE(S$62:S$63)</f>
        <v>1.5500000000000682</v>
      </c>
      <c r="T39" s="36">
        <f>eth_ON!T39 - eth_OFF!T39 - AVERAGE(T$62:T$63)</f>
        <v>1.25</v>
      </c>
      <c r="U39" s="6" t="str">
        <f>IF(eth_OFF!U39, (eth_ON!U39+500-eth_ON!U$64) - (eth_OFF!U39+500-eth_OFF!U$64) - AVERAGE($B$62:$AK$63), "")</f>
        <v/>
      </c>
      <c r="V39" s="6" t="str">
        <f>IF(eth_OFF!V39, (eth_ON!V39+500-eth_ON!V$64) - (eth_OFF!V39+500-eth_OFF!V$64) - AVERAGE(V$62:V$63), "")</f>
        <v/>
      </c>
      <c r="W39" s="6" t="str">
        <f>IF(eth_OFF!W39, (eth_ON!W39+500-eth_ON!W$64) - (eth_OFF!W39+500-eth_OFF!W$64) - AVERAGE(W$62:W$63), "")</f>
        <v/>
      </c>
      <c r="X39" s="6" t="str">
        <f>IF(eth_OFF!X39, (eth_ON!X39+500-eth_ON!X$64) - (eth_OFF!X39+500-eth_OFF!X$64) - AVERAGE(X$62:X$63), "")</f>
        <v/>
      </c>
      <c r="Y39" s="6" t="str">
        <f>IF(eth_OFF!Y39, (eth_ON!Y39+500-eth_ON!Y$64) - (eth_OFF!Y39+500-eth_OFF!Y$64) - AVERAGE(Y$62:Y$63), "")</f>
        <v/>
      </c>
      <c r="Z39" s="6" t="str">
        <f>IF(eth_OFF!Z39, (eth_ON!Z39+500-eth_ON!Z$64) - (eth_OFF!Z39+500-eth_OFF!Z$64) - AVERAGE(Z$62:Z$63), "")</f>
        <v/>
      </c>
      <c r="AA39" s="6" t="str">
        <f>IF(eth_OFF!AA39, (eth_ON!AA39+500-eth_ON!AA$64) - (eth_OFF!AA39+500-eth_OFF!AA$64) - AVERAGE(AA$62:AA$63), "")</f>
        <v/>
      </c>
      <c r="AB39" s="6" t="str">
        <f>IF(eth_OFF!AB39, (eth_ON!AB39+500-eth_ON!AB$64) - (eth_OFF!AB39+500-eth_OFF!AB$64) - AVERAGE(AB$62:AB$63), "")</f>
        <v/>
      </c>
      <c r="AC39" s="6" t="str">
        <f>IF(eth_OFF!AC39, (eth_ON!AC39+500-eth_ON!AC$64) - (eth_OFF!AC39+500-eth_OFF!AC$64) - AVERAGE(AC$62:AC$63), "")</f>
        <v/>
      </c>
      <c r="AD39" s="6" t="str">
        <f>IF(eth_OFF!AD39, (eth_ON!AD39+500-eth_ON!AD$64) - (eth_OFF!AD39+500-eth_OFF!AD$64) - AVERAGE(AD$62:AD$63), "")</f>
        <v/>
      </c>
      <c r="AE39" s="6" t="str">
        <f>IF(eth_OFF!AE39, (eth_ON!AE39+500-eth_ON!AE$64) - (eth_OFF!AE39+500-eth_OFF!AE$64) - AVERAGE(AE$62:AE$63), "")</f>
        <v/>
      </c>
      <c r="AF39" s="6" t="str">
        <f>IF(eth_OFF!AF39, (eth_ON!AF39+500-eth_ON!AF$64) - (eth_OFF!AF39+500-eth_OFF!AF$64) - AVERAGE(AF$62:AF$63), "")</f>
        <v/>
      </c>
      <c r="AG39" s="7" t="str">
        <f>IF(eth_OFF!AG39, (eth_ON!AG39+500-eth_ON!AG$64) - (eth_OFF!AG39+500-eth_OFF!AG$64) - AVERAGE(AG$62:AG$63), "")</f>
        <v/>
      </c>
      <c r="AH39" s="7" t="str">
        <f>IF(eth_OFF!AH39, (eth_ON!AH39+500-eth_ON!AH$64) - (eth_OFF!AH39+500-eth_OFF!AH$64) - AVERAGE(AH$62:AH$63), "")</f>
        <v/>
      </c>
      <c r="AI39" s="7" t="str">
        <f>IF(eth_OFF!AI39, (eth_ON!AI39+500-eth_ON!AI$64) - (eth_OFF!AI39+500-eth_OFF!AI$64) - AVERAGE(AI$62:AI$63), "")</f>
        <v/>
      </c>
      <c r="AJ39" s="7" t="str">
        <f>IF(eth_OFF!AJ39, (eth_ON!AJ39+500-eth_ON!AJ$64) - (eth_OFF!AJ39+500-eth_OFF!AJ$64) - AVERAGE(AJ$62:AJ$63), "")</f>
        <v/>
      </c>
      <c r="AK39" s="15" t="str">
        <f>IF(eth_OFF!AK39, (eth_ON!AK39+500-eth_ON!AK$64) - (eth_OFF!AK39+500-eth_OFF!AK$64) - AVERAGE(AK$62:AK$63), "")</f>
        <v/>
      </c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>
      <c r="A40" s="1">
        <v>39</v>
      </c>
      <c r="B40" s="36">
        <f>eth_ON!B40 - eth_OFF!B40 - AVERAGE(B$62:B$63)</f>
        <v>3.0999999999999659</v>
      </c>
      <c r="C40" s="36">
        <f>eth_ON!C40 - eth_OFF!C40 - AVERAGE(C$62:C$63)</f>
        <v>4.1500000000000341</v>
      </c>
      <c r="D40" s="36">
        <f>eth_ON!D40 - eth_OFF!D40 - AVERAGE(D$62:D$63)</f>
        <v>3.9000000000000341</v>
      </c>
      <c r="E40" s="36">
        <f>eth_ON!E40 - eth_OFF!E40 - AVERAGE(E$62:E$63)</f>
        <v>4.4499999999999602</v>
      </c>
      <c r="F40" s="36">
        <f>eth_ON!F40 - eth_OFF!F40 - AVERAGE(F$62:F$63)</f>
        <v>5.0000000000000284</v>
      </c>
      <c r="G40" s="36">
        <f>eth_ON!G40 - eth_OFF!G40 - AVERAGE(G$62:G$63)</f>
        <v>7.0000000000000284</v>
      </c>
      <c r="H40" s="36">
        <f>eth_ON!H40 - eth_OFF!H40 - AVERAGE(H$62:H$63)</f>
        <v>5.2500000000000284</v>
      </c>
      <c r="I40" s="36">
        <f>eth_ON!I40 - eth_OFF!I40 - AVERAGE(I$62:I$63)</f>
        <v>4.1000000000000227</v>
      </c>
      <c r="J40" s="36">
        <f>eth_ON!J40 - eth_OFF!J40 - AVERAGE(J$62:J$63)</f>
        <v>3.4000000000000057</v>
      </c>
      <c r="K40" s="36">
        <f>eth_ON!K40 - eth_OFF!K40 - AVERAGE(K$62:K$63)</f>
        <v>3.0500000000000682</v>
      </c>
      <c r="L40" s="36">
        <f>eth_ON!L40 - eth_OFF!L40 - AVERAGE(L$62:L$63)</f>
        <v>1.1999999999999886</v>
      </c>
      <c r="M40" s="36">
        <f>eth_ON!M40 - eth_OFF!M40 - AVERAGE(M$62:M$63)</f>
        <v>2.6500000000000057</v>
      </c>
      <c r="N40" s="36">
        <f>eth_ON!N40 - eth_OFF!N40 - AVERAGE(N$62:N$63)</f>
        <v>0.34999999999996589</v>
      </c>
      <c r="O40" s="36">
        <f>eth_ON!O40 - eth_OFF!O40 - AVERAGE(O$62:O$63)</f>
        <v>0.50000000000002842</v>
      </c>
      <c r="P40" s="36">
        <f>eth_ON!P40 - eth_OFF!P40 - AVERAGE(P$62:P$63)</f>
        <v>1.7999999999999829</v>
      </c>
      <c r="Q40" s="36">
        <f>eth_ON!Q40 - eth_OFF!Q40 - AVERAGE(Q$62:Q$63)</f>
        <v>4.9999999999954525E-2</v>
      </c>
      <c r="R40" s="36">
        <f>eth_ON!R40 - eth_OFF!R40 - AVERAGE(R$62:R$63)</f>
        <v>0.34999999999996589</v>
      </c>
      <c r="S40" s="36">
        <f>eth_ON!S40 - eth_OFF!S40 - AVERAGE(S$62:S$63)</f>
        <v>0.15000000000003411</v>
      </c>
      <c r="T40" s="36">
        <f>eth_ON!T40 - eth_OFF!T40 - AVERAGE(T$62:T$63)</f>
        <v>5.0000000000011369E-2</v>
      </c>
      <c r="U40" s="6" t="str">
        <f>IF(eth_OFF!U40, (eth_ON!U40+500-eth_ON!U$64) - (eth_OFF!U40+500-eth_OFF!U$64) - AVERAGE($B$62:$AK$63), "")</f>
        <v/>
      </c>
      <c r="V40" s="6" t="str">
        <f>IF(eth_OFF!V40, (eth_ON!V40+500-eth_ON!V$64) - (eth_OFF!V40+500-eth_OFF!V$64) - AVERAGE(V$62:V$63), "")</f>
        <v/>
      </c>
      <c r="W40" s="6" t="str">
        <f>IF(eth_OFF!W40, (eth_ON!W40+500-eth_ON!W$64) - (eth_OFF!W40+500-eth_OFF!W$64) - AVERAGE(W$62:W$63), "")</f>
        <v/>
      </c>
      <c r="X40" s="6" t="str">
        <f>IF(eth_OFF!X40, (eth_ON!X40+500-eth_ON!X$64) - (eth_OFF!X40+500-eth_OFF!X$64) - AVERAGE(X$62:X$63), "")</f>
        <v/>
      </c>
      <c r="Y40" s="6" t="str">
        <f>IF(eth_OFF!Y40, (eth_ON!Y40+500-eth_ON!Y$64) - (eth_OFF!Y40+500-eth_OFF!Y$64) - AVERAGE(Y$62:Y$63), "")</f>
        <v/>
      </c>
      <c r="Z40" s="6" t="str">
        <f>IF(eth_OFF!Z40, (eth_ON!Z40+500-eth_ON!Z$64) - (eth_OFF!Z40+500-eth_OFF!Z$64) - AVERAGE(Z$62:Z$63), "")</f>
        <v/>
      </c>
      <c r="AA40" s="6" t="str">
        <f>IF(eth_OFF!AA40, (eth_ON!AA40+500-eth_ON!AA$64) - (eth_OFF!AA40+500-eth_OFF!AA$64) - AVERAGE(AA$62:AA$63), "")</f>
        <v/>
      </c>
      <c r="AB40" s="6" t="str">
        <f>IF(eth_OFF!AB40, (eth_ON!AB40+500-eth_ON!AB$64) - (eth_OFF!AB40+500-eth_OFF!AB$64) - AVERAGE(AB$62:AB$63), "")</f>
        <v/>
      </c>
      <c r="AC40" s="6" t="str">
        <f>IF(eth_OFF!AC40, (eth_ON!AC40+500-eth_ON!AC$64) - (eth_OFF!AC40+500-eth_OFF!AC$64) - AVERAGE(AC$62:AC$63), "")</f>
        <v/>
      </c>
      <c r="AD40" s="6" t="str">
        <f>IF(eth_OFF!AD40, (eth_ON!AD40+500-eth_ON!AD$64) - (eth_OFF!AD40+500-eth_OFF!AD$64) - AVERAGE(AD$62:AD$63), "")</f>
        <v/>
      </c>
      <c r="AE40" s="6" t="str">
        <f>IF(eth_OFF!AE40, (eth_ON!AE40+500-eth_ON!AE$64) - (eth_OFF!AE40+500-eth_OFF!AE$64) - AVERAGE(AE$62:AE$63), "")</f>
        <v/>
      </c>
      <c r="AF40" s="6" t="str">
        <f>IF(eth_OFF!AF40, (eth_ON!AF40+500-eth_ON!AF$64) - (eth_OFF!AF40+500-eth_OFF!AF$64) - AVERAGE(AF$62:AF$63), "")</f>
        <v/>
      </c>
      <c r="AG40" s="7" t="str">
        <f>IF(eth_OFF!AG40, (eth_ON!AG40+500-eth_ON!AG$64) - (eth_OFF!AG40+500-eth_OFF!AG$64) - AVERAGE(AG$62:AG$63), "")</f>
        <v/>
      </c>
      <c r="AH40" s="7" t="str">
        <f>IF(eth_OFF!AH40, (eth_ON!AH40+500-eth_ON!AH$64) - (eth_OFF!AH40+500-eth_OFF!AH$64) - AVERAGE(AH$62:AH$63), "")</f>
        <v/>
      </c>
      <c r="AI40" s="7" t="str">
        <f>IF(eth_OFF!AI40, (eth_ON!AI40+500-eth_ON!AI$64) - (eth_OFF!AI40+500-eth_OFF!AI$64) - AVERAGE(AI$62:AI$63), "")</f>
        <v/>
      </c>
      <c r="AJ40" s="7" t="str">
        <f>IF(eth_OFF!AJ40, (eth_ON!AJ40+500-eth_ON!AJ$64) - (eth_OFF!AJ40+500-eth_OFF!AJ$64) - AVERAGE(AJ$62:AJ$63), "")</f>
        <v/>
      </c>
      <c r="AK40" s="15" t="str">
        <f>IF(eth_OFF!AK40, (eth_ON!AK40+500-eth_ON!AK$64) - (eth_OFF!AK40+500-eth_OFF!AK$64) - AVERAGE(AK$62:AK$63), "")</f>
        <v/>
      </c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1:65">
      <c r="A41" s="1">
        <v>40</v>
      </c>
      <c r="B41" s="36">
        <f>eth_ON!B41 - eth_OFF!B41 - AVERAGE(B$62:B$63)</f>
        <v>0.19999999999993179</v>
      </c>
      <c r="C41" s="36">
        <f>eth_ON!C41 - eth_OFF!C41 - AVERAGE(C$62:C$63)</f>
        <v>-5.0000000000011369E-2</v>
      </c>
      <c r="D41" s="36">
        <f>eth_ON!D41 - eth_OFF!D41 - AVERAGE(D$62:D$63)</f>
        <v>5.6843418860808015E-14</v>
      </c>
      <c r="E41" s="36">
        <f>eth_ON!E41 - eth_OFF!E41 - AVERAGE(E$62:E$63)</f>
        <v>0.54999999999998295</v>
      </c>
      <c r="F41" s="36">
        <f>eth_ON!F41 - eth_OFF!F41 - AVERAGE(F$62:F$63)</f>
        <v>0.59999999999999432</v>
      </c>
      <c r="G41" s="36">
        <f>eth_ON!G41 - eth_OFF!G41 - AVERAGE(G$62:G$63)</f>
        <v>0.20000000000001705</v>
      </c>
      <c r="H41" s="36">
        <f>eth_ON!H41 - eth_OFF!H41 - AVERAGE(H$62:H$63)</f>
        <v>0.34999999999999432</v>
      </c>
      <c r="I41" s="36">
        <f>eth_ON!I41 - eth_OFF!I41 - AVERAGE(I$62:I$63)</f>
        <v>-9.9999999999965894E-2</v>
      </c>
      <c r="J41" s="36">
        <f>eth_ON!J41 - eth_OFF!J41 - AVERAGE(J$62:J$63)</f>
        <v>0.20000000000001705</v>
      </c>
      <c r="K41" s="36">
        <f>eth_ON!K41 - eth_OFF!K41 - AVERAGE(K$62:K$63)</f>
        <v>5.0000000000011369E-2</v>
      </c>
      <c r="L41" s="36">
        <f>eth_ON!L41 - eth_OFF!L41 - AVERAGE(L$62:L$63)</f>
        <v>0.10000000000002274</v>
      </c>
      <c r="M41" s="36">
        <f>eth_ON!M41 - eth_OFF!M41 - AVERAGE(M$62:M$63)</f>
        <v>-0.25000000000002842</v>
      </c>
      <c r="N41" s="36">
        <f>eth_ON!N41 - eth_OFF!N41 - AVERAGE(N$62:N$63)</f>
        <v>-0.25</v>
      </c>
      <c r="O41" s="36">
        <f>eth_ON!O41 - eth_OFF!O41 - AVERAGE(O$62:O$63)</f>
        <v>0.20000000000001705</v>
      </c>
      <c r="P41" s="36">
        <f>eth_ON!P41 - eth_OFF!P41 - AVERAGE(P$62:P$63)</f>
        <v>9.9999999999937472E-2</v>
      </c>
      <c r="Q41" s="36">
        <f>eth_ON!Q41 - eth_OFF!Q41 - AVERAGE(Q$62:Q$63)</f>
        <v>0.14999999999997726</v>
      </c>
      <c r="R41" s="36">
        <f>eth_ON!R41 - eth_OFF!R41 - AVERAGE(R$62:R$63)</f>
        <v>0.14999999999997726</v>
      </c>
      <c r="S41" s="36">
        <f>eth_ON!S41 - eth_OFF!S41 - AVERAGE(S$62:S$63)</f>
        <v>0.15000000000003411</v>
      </c>
      <c r="T41" s="36">
        <f>eth_ON!T41 - eth_OFF!T41 - AVERAGE(T$62:T$63)</f>
        <v>-5.0000000000011369E-2</v>
      </c>
      <c r="U41" s="6" t="str">
        <f>IF(eth_OFF!U41, (eth_ON!U41+500-eth_ON!U$64) - (eth_OFF!U41+500-eth_OFF!U$64) - AVERAGE($B$62:$AK$63), "")</f>
        <v/>
      </c>
      <c r="V41" s="6" t="str">
        <f>IF(eth_OFF!V41, (eth_ON!V41+500-eth_ON!V$64) - (eth_OFF!V41+500-eth_OFF!V$64) - AVERAGE(V$62:V$63), "")</f>
        <v/>
      </c>
      <c r="W41" s="6" t="str">
        <f>IF(eth_OFF!W41, (eth_ON!W41+500-eth_ON!W$64) - (eth_OFF!W41+500-eth_OFF!W$64) - AVERAGE(W$62:W$63), "")</f>
        <v/>
      </c>
      <c r="X41" s="6" t="str">
        <f>IF(eth_OFF!X41, (eth_ON!X41+500-eth_ON!X$64) - (eth_OFF!X41+500-eth_OFF!X$64) - AVERAGE(X$62:X$63), "")</f>
        <v/>
      </c>
      <c r="Y41" s="6" t="str">
        <f>IF(eth_OFF!Y41, (eth_ON!Y41+500-eth_ON!Y$64) - (eth_OFF!Y41+500-eth_OFF!Y$64) - AVERAGE(Y$62:Y$63), "")</f>
        <v/>
      </c>
      <c r="Z41" s="6" t="str">
        <f>IF(eth_OFF!Z41, (eth_ON!Z41+500-eth_ON!Z$64) - (eth_OFF!Z41+500-eth_OFF!Z$64) - AVERAGE(Z$62:Z$63), "")</f>
        <v/>
      </c>
      <c r="AA41" s="6" t="str">
        <f>IF(eth_OFF!AA41, (eth_ON!AA41+500-eth_ON!AA$64) - (eth_OFF!AA41+500-eth_OFF!AA$64) - AVERAGE(AA$62:AA$63), "")</f>
        <v/>
      </c>
      <c r="AB41" s="6" t="str">
        <f>IF(eth_OFF!AB41, (eth_ON!AB41+500-eth_ON!AB$64) - (eth_OFF!AB41+500-eth_OFF!AB$64) - AVERAGE(AB$62:AB$63), "")</f>
        <v/>
      </c>
      <c r="AC41" s="6" t="str">
        <f>IF(eth_OFF!AC41, (eth_ON!AC41+500-eth_ON!AC$64) - (eth_OFF!AC41+500-eth_OFF!AC$64) - AVERAGE(AC$62:AC$63), "")</f>
        <v/>
      </c>
      <c r="AD41" s="6" t="str">
        <f>IF(eth_OFF!AD41, (eth_ON!AD41+500-eth_ON!AD$64) - (eth_OFF!AD41+500-eth_OFF!AD$64) - AVERAGE(AD$62:AD$63), "")</f>
        <v/>
      </c>
      <c r="AE41" s="6" t="str">
        <f>IF(eth_OFF!AE41, (eth_ON!AE41+500-eth_ON!AE$64) - (eth_OFF!AE41+500-eth_OFF!AE$64) - AVERAGE(AE$62:AE$63), "")</f>
        <v/>
      </c>
      <c r="AF41" s="6" t="str">
        <f>IF(eth_OFF!AF41, (eth_ON!AF41+500-eth_ON!AF$64) - (eth_OFF!AF41+500-eth_OFF!AF$64) - AVERAGE(AF$62:AF$63), "")</f>
        <v/>
      </c>
      <c r="AG41" s="7" t="str">
        <f>IF(eth_OFF!AG41, (eth_ON!AG41+500-eth_ON!AG$64) - (eth_OFF!AG41+500-eth_OFF!AG$64) - AVERAGE(AG$62:AG$63), "")</f>
        <v/>
      </c>
      <c r="AH41" s="7" t="str">
        <f>IF(eth_OFF!AH41, (eth_ON!AH41+500-eth_ON!AH$64) - (eth_OFF!AH41+500-eth_OFF!AH$64) - AVERAGE(AH$62:AH$63), "")</f>
        <v/>
      </c>
      <c r="AI41" s="7" t="str">
        <f>IF(eth_OFF!AI41, (eth_ON!AI41+500-eth_ON!AI$64) - (eth_OFF!AI41+500-eth_OFF!AI$64) - AVERAGE(AI$62:AI$63), "")</f>
        <v/>
      </c>
      <c r="AJ41" s="7" t="str">
        <f>IF(eth_OFF!AJ41, (eth_ON!AJ41+500-eth_ON!AJ$64) - (eth_OFF!AJ41+500-eth_OFF!AJ$64) - AVERAGE(AJ$62:AJ$63), "")</f>
        <v/>
      </c>
      <c r="AK41" s="15" t="str">
        <f>IF(eth_OFF!AK41, (eth_ON!AK41+500-eth_ON!AK$64) - (eth_OFF!AK41+500-eth_OFF!AK$64) - AVERAGE(AK$62:AK$63), "")</f>
        <v/>
      </c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</row>
    <row r="42" spans="1:65">
      <c r="A42" s="1">
        <v>41</v>
      </c>
      <c r="B42" s="36">
        <f>eth_ON!B42 - eth_OFF!B42 - AVERAGE(B$62:B$63)</f>
        <v>4.0999999999999659</v>
      </c>
      <c r="C42" s="36">
        <f>eth_ON!C42 - eth_OFF!C42 - AVERAGE(C$62:C$63)</f>
        <v>3.5500000000000114</v>
      </c>
      <c r="D42" s="36">
        <f>eth_ON!D42 - eth_OFF!D42 - AVERAGE(D$62:D$63)</f>
        <v>3.3000000000000682</v>
      </c>
      <c r="E42" s="36">
        <f>eth_ON!E42 - eth_OFF!E42 - AVERAGE(E$62:E$63)</f>
        <v>3.4499999999999602</v>
      </c>
      <c r="F42" s="36">
        <f>eth_ON!F42 - eth_OFF!F42 - AVERAGE(F$62:F$63)</f>
        <v>4.0000000000000284</v>
      </c>
      <c r="G42" s="36">
        <f>eth_ON!G42 - eth_OFF!G42 - AVERAGE(G$62:G$63)</f>
        <v>3.7000000000000171</v>
      </c>
      <c r="H42" s="36">
        <f>eth_ON!H42 - eth_OFF!H42 - AVERAGE(H$62:H$63)</f>
        <v>5.7500000000000284</v>
      </c>
      <c r="I42" s="36">
        <f>eth_ON!I42 - eth_OFF!I42 - AVERAGE(I$62:I$63)</f>
        <v>2.9000000000000341</v>
      </c>
      <c r="J42" s="36">
        <f>eth_ON!J42 - eth_OFF!J42 - AVERAGE(J$62:J$63)</f>
        <v>2.7999999999999829</v>
      </c>
      <c r="K42" s="36">
        <f>eth_ON!K42 - eth_OFF!K42 - AVERAGE(K$62:K$63)</f>
        <v>2.9500000000000455</v>
      </c>
      <c r="L42" s="36">
        <f>eth_ON!L42 - eth_OFF!L42 - AVERAGE(L$62:L$63)</f>
        <v>2.5999999999999659</v>
      </c>
      <c r="M42" s="36">
        <f>eth_ON!M42 - eth_OFF!M42 - AVERAGE(M$62:M$63)</f>
        <v>1.7499999999999716</v>
      </c>
      <c r="N42" s="36">
        <f>eth_ON!N42 - eth_OFF!N42 - AVERAGE(N$62:N$63)</f>
        <v>3.1499999999999773</v>
      </c>
      <c r="O42" s="36">
        <f>eth_ON!O42 - eth_OFF!O42 - AVERAGE(O$62:O$63)</f>
        <v>2.4000000000000057</v>
      </c>
      <c r="P42" s="36">
        <f>eth_ON!P42 - eth_OFF!P42 - AVERAGE(P$62:P$63)</f>
        <v>2.9999999999999716</v>
      </c>
      <c r="Q42" s="36">
        <f>eth_ON!Q42 - eth_OFF!Q42 - AVERAGE(Q$62:Q$63)</f>
        <v>1.5500000000000114</v>
      </c>
      <c r="R42" s="36">
        <f>eth_ON!R42 - eth_OFF!R42 - AVERAGE(R$62:R$63)</f>
        <v>0.54999999999995453</v>
      </c>
      <c r="S42" s="36">
        <f>eth_ON!S42 - eth_OFF!S42 - AVERAGE(S$62:S$63)</f>
        <v>1.25</v>
      </c>
      <c r="T42" s="36">
        <f>eth_ON!T42 - eth_OFF!T42 - AVERAGE(T$62:T$63)</f>
        <v>2.25</v>
      </c>
      <c r="U42" s="6" t="str">
        <f>IF(eth_OFF!U42, (eth_ON!U42+500-eth_ON!U$64) - (eth_OFF!U42+500-eth_OFF!U$64) - AVERAGE($B$62:$AK$63), "")</f>
        <v/>
      </c>
      <c r="V42" s="6" t="str">
        <f>IF(eth_OFF!V42, (eth_ON!V42+500-eth_ON!V$64) - (eth_OFF!V42+500-eth_OFF!V$64) - AVERAGE(V$62:V$63), "")</f>
        <v/>
      </c>
      <c r="W42" s="6" t="str">
        <f>IF(eth_OFF!W42, (eth_ON!W42+500-eth_ON!W$64) - (eth_OFF!W42+500-eth_OFF!W$64) - AVERAGE(W$62:W$63), "")</f>
        <v/>
      </c>
      <c r="X42" s="6" t="str">
        <f>IF(eth_OFF!X42, (eth_ON!X42+500-eth_ON!X$64) - (eth_OFF!X42+500-eth_OFF!X$64) - AVERAGE(X$62:X$63), "")</f>
        <v/>
      </c>
      <c r="Y42" s="6" t="str">
        <f>IF(eth_OFF!Y42, (eth_ON!Y42+500-eth_ON!Y$64) - (eth_OFF!Y42+500-eth_OFF!Y$64) - AVERAGE(Y$62:Y$63), "")</f>
        <v/>
      </c>
      <c r="Z42" s="6" t="str">
        <f>IF(eth_OFF!Z42, (eth_ON!Z42+500-eth_ON!Z$64) - (eth_OFF!Z42+500-eth_OFF!Z$64) - AVERAGE(Z$62:Z$63), "")</f>
        <v/>
      </c>
      <c r="AA42" s="6" t="str">
        <f>IF(eth_OFF!AA42, (eth_ON!AA42+500-eth_ON!AA$64) - (eth_OFF!AA42+500-eth_OFF!AA$64) - AVERAGE(AA$62:AA$63), "")</f>
        <v/>
      </c>
      <c r="AB42" s="6" t="str">
        <f>IF(eth_OFF!AB42, (eth_ON!AB42+500-eth_ON!AB$64) - (eth_OFF!AB42+500-eth_OFF!AB$64) - AVERAGE(AB$62:AB$63), "")</f>
        <v/>
      </c>
      <c r="AC42" s="6" t="str">
        <f>IF(eth_OFF!AC42, (eth_ON!AC42+500-eth_ON!AC$64) - (eth_OFF!AC42+500-eth_OFF!AC$64) - AVERAGE(AC$62:AC$63), "")</f>
        <v/>
      </c>
      <c r="AD42" s="6" t="str">
        <f>IF(eth_OFF!AD42, (eth_ON!AD42+500-eth_ON!AD$64) - (eth_OFF!AD42+500-eth_OFF!AD$64) - AVERAGE(AD$62:AD$63), "")</f>
        <v/>
      </c>
      <c r="AE42" s="6" t="str">
        <f>IF(eth_OFF!AE42, (eth_ON!AE42+500-eth_ON!AE$64) - (eth_OFF!AE42+500-eth_OFF!AE$64) - AVERAGE(AE$62:AE$63), "")</f>
        <v/>
      </c>
      <c r="AF42" s="6" t="str">
        <f>IF(eth_OFF!AF42, (eth_ON!AF42+500-eth_ON!AF$64) - (eth_OFF!AF42+500-eth_OFF!AF$64) - AVERAGE(AF$62:AF$63), "")</f>
        <v/>
      </c>
      <c r="AG42" s="7" t="str">
        <f>IF(eth_OFF!AG42, (eth_ON!AG42+500-eth_ON!AG$64) - (eth_OFF!AG42+500-eth_OFF!AG$64) - AVERAGE(AG$62:AG$63), "")</f>
        <v/>
      </c>
      <c r="AH42" s="7" t="str">
        <f>IF(eth_OFF!AH42, (eth_ON!AH42+500-eth_ON!AH$64) - (eth_OFF!AH42+500-eth_OFF!AH$64) - AVERAGE(AH$62:AH$63), "")</f>
        <v/>
      </c>
      <c r="AI42" s="7" t="str">
        <f>IF(eth_OFF!AI42, (eth_ON!AI42+500-eth_ON!AI$64) - (eth_OFF!AI42+500-eth_OFF!AI$64) - AVERAGE(AI$62:AI$63), "")</f>
        <v/>
      </c>
      <c r="AJ42" s="7" t="str">
        <f>IF(eth_OFF!AJ42, (eth_ON!AJ42+500-eth_ON!AJ$64) - (eth_OFF!AJ42+500-eth_OFF!AJ$64) - AVERAGE(AJ$62:AJ$63), "")</f>
        <v/>
      </c>
      <c r="AK42" s="15" t="str">
        <f>IF(eth_OFF!AK42, (eth_ON!AK42+500-eth_ON!AK$64) - (eth_OFF!AK42+500-eth_OFF!AK$64) - AVERAGE(AK$62:AK$63), "")</f>
        <v/>
      </c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1:65">
      <c r="A43" s="1">
        <v>42</v>
      </c>
      <c r="B43" s="36">
        <f>eth_ON!B43 - eth_OFF!B43 - AVERAGE(B$62:B$63)</f>
        <v>1.8999999999999773</v>
      </c>
      <c r="C43" s="36">
        <f>eth_ON!C43 - eth_OFF!C43 - AVERAGE(C$62:C$63)</f>
        <v>1.3500000000000227</v>
      </c>
      <c r="D43" s="36">
        <f>eth_ON!D43 - eth_OFF!D43 - AVERAGE(D$62:D$63)</f>
        <v>2.5000000000000568</v>
      </c>
      <c r="E43" s="36">
        <f>eth_ON!E43 - eth_OFF!E43 - AVERAGE(E$62:E$63)</f>
        <v>1.4499999999999602</v>
      </c>
      <c r="F43" s="36">
        <f>eth_ON!F43 - eth_OFF!F43 - AVERAGE(F$62:F$63)</f>
        <v>1.7999999999999829</v>
      </c>
      <c r="G43" s="36">
        <f>eth_ON!G43 - eth_OFF!G43 - AVERAGE(G$62:G$63)</f>
        <v>1.1000000000000512</v>
      </c>
      <c r="H43" s="36">
        <f>eth_ON!H43 - eth_OFF!H43 - AVERAGE(H$62:H$63)</f>
        <v>2.1500000000000057</v>
      </c>
      <c r="I43" s="36">
        <f>eth_ON!I43 - eth_OFF!I43 - AVERAGE(I$62:I$63)</f>
        <v>2</v>
      </c>
      <c r="J43" s="36">
        <f>eth_ON!J43 - eth_OFF!J43 - AVERAGE(J$62:J$63)</f>
        <v>1.4999999999999716</v>
      </c>
      <c r="K43" s="36">
        <f>eth_ON!K43 - eth_OFF!K43 - AVERAGE(K$62:K$63)</f>
        <v>1.8500000000000227</v>
      </c>
      <c r="L43" s="36">
        <f>eth_ON!L43 - eth_OFF!L43 - AVERAGE(L$62:L$63)</f>
        <v>0.79999999999995453</v>
      </c>
      <c r="M43" s="36">
        <f>eth_ON!M43 - eth_OFF!M43 - AVERAGE(M$62:M$63)</f>
        <v>1.4499999999999602</v>
      </c>
      <c r="N43" s="36">
        <f>eth_ON!N43 - eth_OFF!N43 - AVERAGE(N$62:N$63)</f>
        <v>2.1499999999999773</v>
      </c>
      <c r="O43" s="36">
        <f>eth_ON!O43 - eth_OFF!O43 - AVERAGE(O$62:O$63)</f>
        <v>2.0000000000000284</v>
      </c>
      <c r="P43" s="36">
        <f>eth_ON!P43 - eth_OFF!P43 - AVERAGE(P$62:P$63)</f>
        <v>1.1999999999999602</v>
      </c>
      <c r="Q43" s="36">
        <f>eth_ON!Q43 - eth_OFF!Q43 - AVERAGE(Q$62:Q$63)</f>
        <v>0.44999999999998863</v>
      </c>
      <c r="R43" s="36">
        <f>eth_ON!R43 - eth_OFF!R43 - AVERAGE(R$62:R$63)</f>
        <v>-0.14999999999997726</v>
      </c>
      <c r="S43" s="36">
        <f>eth_ON!S43 - eth_OFF!S43 - AVERAGE(S$62:S$63)</f>
        <v>0.35000000000002274</v>
      </c>
      <c r="T43" s="36">
        <f>eth_ON!T43 - eth_OFF!T43 - AVERAGE(T$62:T$63)</f>
        <v>0.64999999999997726</v>
      </c>
      <c r="U43" s="6" t="str">
        <f>IF(eth_OFF!U43, (eth_ON!U43+500-eth_ON!U$64) - (eth_OFF!U43+500-eth_OFF!U$64) - AVERAGE($B$62:$AK$63), "")</f>
        <v/>
      </c>
      <c r="V43" s="6" t="str">
        <f>IF(eth_OFF!V43, (eth_ON!V43+500-eth_ON!V$64) - (eth_OFF!V43+500-eth_OFF!V$64) - AVERAGE(V$62:V$63), "")</f>
        <v/>
      </c>
      <c r="W43" s="6" t="str">
        <f>IF(eth_OFF!W43, (eth_ON!W43+500-eth_ON!W$64) - (eth_OFF!W43+500-eth_OFF!W$64) - AVERAGE(W$62:W$63), "")</f>
        <v/>
      </c>
      <c r="X43" s="6" t="str">
        <f>IF(eth_OFF!X43, (eth_ON!X43+500-eth_ON!X$64) - (eth_OFF!X43+500-eth_OFF!X$64) - AVERAGE(X$62:X$63), "")</f>
        <v/>
      </c>
      <c r="Y43" s="6" t="str">
        <f>IF(eth_OFF!Y43, (eth_ON!Y43+500-eth_ON!Y$64) - (eth_OFF!Y43+500-eth_OFF!Y$64) - AVERAGE(Y$62:Y$63), "")</f>
        <v/>
      </c>
      <c r="Z43" s="6" t="str">
        <f>IF(eth_OFF!Z43, (eth_ON!Z43+500-eth_ON!Z$64) - (eth_OFF!Z43+500-eth_OFF!Z$64) - AVERAGE(Z$62:Z$63), "")</f>
        <v/>
      </c>
      <c r="AA43" s="6" t="str">
        <f>IF(eth_OFF!AA43, (eth_ON!AA43+500-eth_ON!AA$64) - (eth_OFF!AA43+500-eth_OFF!AA$64) - AVERAGE(AA$62:AA$63), "")</f>
        <v/>
      </c>
      <c r="AB43" s="6" t="str">
        <f>IF(eth_OFF!AB43, (eth_ON!AB43+500-eth_ON!AB$64) - (eth_OFF!AB43+500-eth_OFF!AB$64) - AVERAGE(AB$62:AB$63), "")</f>
        <v/>
      </c>
      <c r="AC43" s="6" t="str">
        <f>IF(eth_OFF!AC43, (eth_ON!AC43+500-eth_ON!AC$64) - (eth_OFF!AC43+500-eth_OFF!AC$64) - AVERAGE(AC$62:AC$63), "")</f>
        <v/>
      </c>
      <c r="AD43" s="6" t="str">
        <f>IF(eth_OFF!AD43, (eth_ON!AD43+500-eth_ON!AD$64) - (eth_OFF!AD43+500-eth_OFF!AD$64) - AVERAGE(AD$62:AD$63), "")</f>
        <v/>
      </c>
      <c r="AE43" s="6" t="str">
        <f>IF(eth_OFF!AE43, (eth_ON!AE43+500-eth_ON!AE$64) - (eth_OFF!AE43+500-eth_OFF!AE$64) - AVERAGE(AE$62:AE$63), "")</f>
        <v/>
      </c>
      <c r="AF43" s="6" t="str">
        <f>IF(eth_OFF!AF43, (eth_ON!AF43+500-eth_ON!AF$64) - (eth_OFF!AF43+500-eth_OFF!AF$64) - AVERAGE(AF$62:AF$63), "")</f>
        <v/>
      </c>
      <c r="AG43" s="7" t="str">
        <f>IF(eth_OFF!AG43, (eth_ON!AG43+500-eth_ON!AG$64) - (eth_OFF!AG43+500-eth_OFF!AG$64) - AVERAGE(AG$62:AG$63), "")</f>
        <v/>
      </c>
      <c r="AH43" s="7" t="str">
        <f>IF(eth_OFF!AH43, (eth_ON!AH43+500-eth_ON!AH$64) - (eth_OFF!AH43+500-eth_OFF!AH$64) - AVERAGE(AH$62:AH$63), "")</f>
        <v/>
      </c>
      <c r="AI43" s="7" t="str">
        <f>IF(eth_OFF!AI43, (eth_ON!AI43+500-eth_ON!AI$64) - (eth_OFF!AI43+500-eth_OFF!AI$64) - AVERAGE(AI$62:AI$63), "")</f>
        <v/>
      </c>
      <c r="AJ43" s="7" t="str">
        <f>IF(eth_OFF!AJ43, (eth_ON!AJ43+500-eth_ON!AJ$64) - (eth_OFF!AJ43+500-eth_OFF!AJ$64) - AVERAGE(AJ$62:AJ$63), "")</f>
        <v/>
      </c>
      <c r="AK43" s="15" t="str">
        <f>IF(eth_OFF!AK43, (eth_ON!AK43+500-eth_ON!AK$64) - (eth_OFF!AK43+500-eth_OFF!AK$64) - AVERAGE(AK$62:AK$63), "")</f>
        <v/>
      </c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</row>
    <row r="44" spans="1:65">
      <c r="A44" s="1">
        <v>43</v>
      </c>
      <c r="B44" s="36">
        <f>eth_ON!B44 - eth_OFF!B44 - AVERAGE(B$62:B$63)</f>
        <v>1.1999999999999318</v>
      </c>
      <c r="C44" s="36">
        <f>eth_ON!C44 - eth_OFF!C44 - AVERAGE(C$62:C$63)</f>
        <v>1.6499999999999773</v>
      </c>
      <c r="D44" s="36">
        <f>eth_ON!D44 - eth_OFF!D44 - AVERAGE(D$62:D$63)</f>
        <v>1</v>
      </c>
      <c r="E44" s="36">
        <f>eth_ON!E44 - eth_OFF!E44 - AVERAGE(E$62:E$63)</f>
        <v>1.5499999999999829</v>
      </c>
      <c r="F44" s="36">
        <f>eth_ON!F44 - eth_OFF!F44 - AVERAGE(F$62:F$63)</f>
        <v>1.7999999999999829</v>
      </c>
      <c r="G44" s="36">
        <f>eth_ON!G44 - eth_OFF!G44 - AVERAGE(G$62:G$63)</f>
        <v>1.3000000000000398</v>
      </c>
      <c r="H44" s="36">
        <f>eth_ON!H44 - eth_OFF!H44 - AVERAGE(H$62:H$63)</f>
        <v>0.74999999999997158</v>
      </c>
      <c r="I44" s="36">
        <f>eth_ON!I44 - eth_OFF!I44 - AVERAGE(I$62:I$63)</f>
        <v>1.8000000000000682</v>
      </c>
      <c r="J44" s="36">
        <f>eth_ON!J44 - eth_OFF!J44 - AVERAGE(J$62:J$63)</f>
        <v>1.1999999999999602</v>
      </c>
      <c r="K44" s="36">
        <f>eth_ON!K44 - eth_OFF!K44 - AVERAGE(K$62:K$63)</f>
        <v>1.3500000000000227</v>
      </c>
      <c r="L44" s="36">
        <f>eth_ON!L44 - eth_OFF!L44 - AVERAGE(L$62:L$63)</f>
        <v>1.6999999999999886</v>
      </c>
      <c r="M44" s="36">
        <f>eth_ON!M44 - eth_OFF!M44 - AVERAGE(M$62:M$63)</f>
        <v>0.94999999999996021</v>
      </c>
      <c r="N44" s="36">
        <f>eth_ON!N44 - eth_OFF!N44 - AVERAGE(N$62:N$63)</f>
        <v>0.54999999999995453</v>
      </c>
      <c r="O44" s="36">
        <f>eth_ON!O44 - eth_OFF!O44 - AVERAGE(O$62:O$63)</f>
        <v>0.79999999999998295</v>
      </c>
      <c r="P44" s="36">
        <f>eth_ON!P44 - eth_OFF!P44 - AVERAGE(P$62:P$63)</f>
        <v>0.79999999999998295</v>
      </c>
      <c r="Q44" s="36">
        <f>eth_ON!Q44 - eth_OFF!Q44 - AVERAGE(Q$62:Q$63)</f>
        <v>0.55000000000001137</v>
      </c>
      <c r="R44" s="36">
        <f>eth_ON!R44 - eth_OFF!R44 - AVERAGE(R$62:R$63)</f>
        <v>0.34999999999996589</v>
      </c>
      <c r="S44" s="36">
        <f>eth_ON!S44 - eth_OFF!S44 - AVERAGE(S$62:S$63)</f>
        <v>0.45000000000004547</v>
      </c>
      <c r="T44" s="36">
        <f>eth_ON!T44 - eth_OFF!T44 - AVERAGE(T$62:T$63)</f>
        <v>0.64999999999997726</v>
      </c>
      <c r="U44" s="6" t="str">
        <f>IF(eth_OFF!U44, (eth_ON!U44+500-eth_ON!U$64) - (eth_OFF!U44+500-eth_OFF!U$64) - AVERAGE($B$62:$AK$63), "")</f>
        <v/>
      </c>
      <c r="V44" s="6" t="str">
        <f>IF(eth_OFF!V44, (eth_ON!V44+500-eth_ON!V$64) - (eth_OFF!V44+500-eth_OFF!V$64) - AVERAGE(V$62:V$63), "")</f>
        <v/>
      </c>
      <c r="W44" s="6" t="str">
        <f>IF(eth_OFF!W44, (eth_ON!W44+500-eth_ON!W$64) - (eth_OFF!W44+500-eth_OFF!W$64) - AVERAGE(W$62:W$63), "")</f>
        <v/>
      </c>
      <c r="X44" s="6" t="str">
        <f>IF(eth_OFF!X44, (eth_ON!X44+500-eth_ON!X$64) - (eth_OFF!X44+500-eth_OFF!X$64) - AVERAGE(X$62:X$63), "")</f>
        <v/>
      </c>
      <c r="Y44" s="6" t="str">
        <f>IF(eth_OFF!Y44, (eth_ON!Y44+500-eth_ON!Y$64) - (eth_OFF!Y44+500-eth_OFF!Y$64) - AVERAGE(Y$62:Y$63), "")</f>
        <v/>
      </c>
      <c r="Z44" s="6" t="str">
        <f>IF(eth_OFF!Z44, (eth_ON!Z44+500-eth_ON!Z$64) - (eth_OFF!Z44+500-eth_OFF!Z$64) - AVERAGE(Z$62:Z$63), "")</f>
        <v/>
      </c>
      <c r="AA44" s="6" t="str">
        <f>IF(eth_OFF!AA44, (eth_ON!AA44+500-eth_ON!AA$64) - (eth_OFF!AA44+500-eth_OFF!AA$64) - AVERAGE(AA$62:AA$63), "")</f>
        <v/>
      </c>
      <c r="AB44" s="6" t="str">
        <f>IF(eth_OFF!AB44, (eth_ON!AB44+500-eth_ON!AB$64) - (eth_OFF!AB44+500-eth_OFF!AB$64) - AVERAGE(AB$62:AB$63), "")</f>
        <v/>
      </c>
      <c r="AC44" s="6" t="str">
        <f>IF(eth_OFF!AC44, (eth_ON!AC44+500-eth_ON!AC$64) - (eth_OFF!AC44+500-eth_OFF!AC$64) - AVERAGE(AC$62:AC$63), "")</f>
        <v/>
      </c>
      <c r="AD44" s="6" t="str">
        <f>IF(eth_OFF!AD44, (eth_ON!AD44+500-eth_ON!AD$64) - (eth_OFF!AD44+500-eth_OFF!AD$64) - AVERAGE(AD$62:AD$63), "")</f>
        <v/>
      </c>
      <c r="AE44" s="6" t="str">
        <f>IF(eth_OFF!AE44, (eth_ON!AE44+500-eth_ON!AE$64) - (eth_OFF!AE44+500-eth_OFF!AE$64) - AVERAGE(AE$62:AE$63), "")</f>
        <v/>
      </c>
      <c r="AF44" s="6" t="str">
        <f>IF(eth_OFF!AF44, (eth_ON!AF44+500-eth_ON!AF$64) - (eth_OFF!AF44+500-eth_OFF!AF$64) - AVERAGE(AF$62:AF$63), "")</f>
        <v/>
      </c>
      <c r="AG44" s="7" t="str">
        <f>IF(eth_OFF!AG44, (eth_ON!AG44+500-eth_ON!AG$64) - (eth_OFF!AG44+500-eth_OFF!AG$64) - AVERAGE(AG$62:AG$63), "")</f>
        <v/>
      </c>
      <c r="AH44" s="7" t="str">
        <f>IF(eth_OFF!AH44, (eth_ON!AH44+500-eth_ON!AH$64) - (eth_OFF!AH44+500-eth_OFF!AH$64) - AVERAGE(AH$62:AH$63), "")</f>
        <v/>
      </c>
      <c r="AI44" s="7" t="str">
        <f>IF(eth_OFF!AI44, (eth_ON!AI44+500-eth_ON!AI$64) - (eth_OFF!AI44+500-eth_OFF!AI$64) - AVERAGE(AI$62:AI$63), "")</f>
        <v/>
      </c>
      <c r="AJ44" s="7" t="str">
        <f>IF(eth_OFF!AJ44, (eth_ON!AJ44+500-eth_ON!AJ$64) - (eth_OFF!AJ44+500-eth_OFF!AJ$64) - AVERAGE(AJ$62:AJ$63), "")</f>
        <v/>
      </c>
      <c r="AK44" s="15" t="str">
        <f>IF(eth_OFF!AK44, (eth_ON!AK44+500-eth_ON!AK$64) - (eth_OFF!AK44+500-eth_OFF!AK$64) - AVERAGE(AK$62:AK$63), "")</f>
        <v/>
      </c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</row>
    <row r="45" spans="1:65">
      <c r="A45" s="1">
        <v>44</v>
      </c>
      <c r="B45" s="36">
        <f>eth_ON!B45 - eth_OFF!B45 - AVERAGE(B$62:B$63)</f>
        <v>1.8000000000000114</v>
      </c>
      <c r="C45" s="36">
        <f>eth_ON!C45 - eth_OFF!C45 - AVERAGE(C$62:C$63)</f>
        <v>1.75</v>
      </c>
      <c r="D45" s="36">
        <f>eth_ON!D45 - eth_OFF!D45 - AVERAGE(D$62:D$63)</f>
        <v>1.2000000000000455</v>
      </c>
      <c r="E45" s="36">
        <f>eth_ON!E45 - eth_OFF!E45 - AVERAGE(E$62:E$63)</f>
        <v>1.7499999999999716</v>
      </c>
      <c r="F45" s="36">
        <f>eth_ON!F45 - eth_OFF!F45 - AVERAGE(F$62:F$63)</f>
        <v>1.9999999999999716</v>
      </c>
      <c r="G45" s="36">
        <f>eth_ON!G45 - eth_OFF!G45 - AVERAGE(G$62:G$63)</f>
        <v>2.0000000000000284</v>
      </c>
      <c r="H45" s="36">
        <f>eth_ON!H45 - eth_OFF!H45 - AVERAGE(H$62:H$63)</f>
        <v>2.1500000000000057</v>
      </c>
      <c r="I45" s="36">
        <f>eth_ON!I45 - eth_OFF!I45 - AVERAGE(I$62:I$63)</f>
        <v>1.2000000000000455</v>
      </c>
      <c r="J45" s="36">
        <f>eth_ON!J45 - eth_OFF!J45 - AVERAGE(J$62:J$63)</f>
        <v>1.5999999999999943</v>
      </c>
      <c r="K45" s="36">
        <f>eth_ON!K45 - eth_OFF!K45 - AVERAGE(K$62:K$63)</f>
        <v>1.2500000000000568</v>
      </c>
      <c r="L45" s="36">
        <f>eth_ON!L45 - eth_OFF!L45 - AVERAGE(L$62:L$63)</f>
        <v>3</v>
      </c>
      <c r="M45" s="36">
        <f>eth_ON!M45 - eth_OFF!M45 - AVERAGE(M$62:M$63)</f>
        <v>1.4499999999999602</v>
      </c>
      <c r="N45" s="36">
        <f>eth_ON!N45 - eth_OFF!N45 - AVERAGE(N$62:N$63)</f>
        <v>1.0499999999999545</v>
      </c>
      <c r="O45" s="36">
        <f>eth_ON!O45 - eth_OFF!O45 - AVERAGE(O$62:O$63)</f>
        <v>0.79999999999998295</v>
      </c>
      <c r="P45" s="36">
        <f>eth_ON!P45 - eth_OFF!P45 - AVERAGE(P$62:P$63)</f>
        <v>0.59999999999999432</v>
      </c>
      <c r="Q45" s="36">
        <f>eth_ON!Q45 - eth_OFF!Q45 - AVERAGE(Q$62:Q$63)</f>
        <v>0.75</v>
      </c>
      <c r="R45" s="36">
        <f>eth_ON!R45 - eth_OFF!R45 - AVERAGE(R$62:R$63)</f>
        <v>0.14999999999997726</v>
      </c>
      <c r="S45" s="36">
        <f>eth_ON!S45 - eth_OFF!S45 - AVERAGE(S$62:S$63)</f>
        <v>0.35000000000002274</v>
      </c>
      <c r="T45" s="36">
        <f>eth_ON!T45 - eth_OFF!T45 - AVERAGE(T$62:T$63)</f>
        <v>0.14999999999997726</v>
      </c>
      <c r="U45" s="6" t="str">
        <f>IF(eth_OFF!U45, (eth_ON!U45+500-eth_ON!U$64) - (eth_OFF!U45+500-eth_OFF!U$64) - AVERAGE($B$62:$AK$63), "")</f>
        <v/>
      </c>
      <c r="V45" s="6" t="str">
        <f>IF(eth_OFF!V45, (eth_ON!V45+500-eth_ON!V$64) - (eth_OFF!V45+500-eth_OFF!V$64) - AVERAGE(V$62:V$63), "")</f>
        <v/>
      </c>
      <c r="W45" s="6" t="str">
        <f>IF(eth_OFF!W45, (eth_ON!W45+500-eth_ON!W$64) - (eth_OFF!W45+500-eth_OFF!W$64) - AVERAGE(W$62:W$63), "")</f>
        <v/>
      </c>
      <c r="X45" s="6" t="str">
        <f>IF(eth_OFF!X45, (eth_ON!X45+500-eth_ON!X$64) - (eth_OFF!X45+500-eth_OFF!X$64) - AVERAGE(X$62:X$63), "")</f>
        <v/>
      </c>
      <c r="Y45" s="6" t="str">
        <f>IF(eth_OFF!Y45, (eth_ON!Y45+500-eth_ON!Y$64) - (eth_OFF!Y45+500-eth_OFF!Y$64) - AVERAGE(Y$62:Y$63), "")</f>
        <v/>
      </c>
      <c r="Z45" s="6" t="str">
        <f>IF(eth_OFF!Z45, (eth_ON!Z45+500-eth_ON!Z$64) - (eth_OFF!Z45+500-eth_OFF!Z$64) - AVERAGE(Z$62:Z$63), "")</f>
        <v/>
      </c>
      <c r="AA45" s="6" t="str">
        <f>IF(eth_OFF!AA45, (eth_ON!AA45+500-eth_ON!AA$64) - (eth_OFF!AA45+500-eth_OFF!AA$64) - AVERAGE(AA$62:AA$63), "")</f>
        <v/>
      </c>
      <c r="AB45" s="6" t="str">
        <f>IF(eth_OFF!AB45, (eth_ON!AB45+500-eth_ON!AB$64) - (eth_OFF!AB45+500-eth_OFF!AB$64) - AVERAGE(AB$62:AB$63), "")</f>
        <v/>
      </c>
      <c r="AC45" s="6" t="str">
        <f>IF(eth_OFF!AC45, (eth_ON!AC45+500-eth_ON!AC$64) - (eth_OFF!AC45+500-eth_OFF!AC$64) - AVERAGE(AC$62:AC$63), "")</f>
        <v/>
      </c>
      <c r="AD45" s="6" t="str">
        <f>IF(eth_OFF!AD45, (eth_ON!AD45+500-eth_ON!AD$64) - (eth_OFF!AD45+500-eth_OFF!AD$64) - AVERAGE(AD$62:AD$63), "")</f>
        <v/>
      </c>
      <c r="AE45" s="6" t="str">
        <f>IF(eth_OFF!AE45, (eth_ON!AE45+500-eth_ON!AE$64) - (eth_OFF!AE45+500-eth_OFF!AE$64) - AVERAGE(AE$62:AE$63), "")</f>
        <v/>
      </c>
      <c r="AF45" s="6" t="str">
        <f>IF(eth_OFF!AF45, (eth_ON!AF45+500-eth_ON!AF$64) - (eth_OFF!AF45+500-eth_OFF!AF$64) - AVERAGE(AF$62:AF$63), "")</f>
        <v/>
      </c>
      <c r="AG45" s="7" t="str">
        <f>IF(eth_OFF!AG45, (eth_ON!AG45+500-eth_ON!AG$64) - (eth_OFF!AG45+500-eth_OFF!AG$64) - AVERAGE(AG$62:AG$63), "")</f>
        <v/>
      </c>
      <c r="AH45" s="7" t="str">
        <f>IF(eth_OFF!AH45, (eth_ON!AH45+500-eth_ON!AH$64) - (eth_OFF!AH45+500-eth_OFF!AH$64) - AVERAGE(AH$62:AH$63), "")</f>
        <v/>
      </c>
      <c r="AI45" s="7" t="str">
        <f>IF(eth_OFF!AI45, (eth_ON!AI45+500-eth_ON!AI$64) - (eth_OFF!AI45+500-eth_OFF!AI$64) - AVERAGE(AI$62:AI$63), "")</f>
        <v/>
      </c>
      <c r="AJ45" s="7" t="str">
        <f>IF(eth_OFF!AJ45, (eth_ON!AJ45+500-eth_ON!AJ$64) - (eth_OFF!AJ45+500-eth_OFF!AJ$64) - AVERAGE(AJ$62:AJ$63), "")</f>
        <v/>
      </c>
      <c r="AK45" s="15" t="str">
        <f>IF(eth_OFF!AK45, (eth_ON!AK45+500-eth_ON!AK$64) - (eth_OFF!AK45+500-eth_OFF!AK$64) - AVERAGE(AK$62:AK$63), "")</f>
        <v/>
      </c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</row>
    <row r="46" spans="1:65">
      <c r="A46" s="1">
        <v>45</v>
      </c>
      <c r="B46" s="36">
        <f>eth_ON!B46 - eth_OFF!B46 - AVERAGE(B$62:B$63)</f>
        <v>3.8999999999999773</v>
      </c>
      <c r="C46" s="36">
        <f>eth_ON!C46 - eth_OFF!C46 - AVERAGE(C$62:C$63)</f>
        <v>1.6500000000000341</v>
      </c>
      <c r="D46" s="36">
        <f>eth_ON!D46 - eth_OFF!D46 - AVERAGE(D$62:D$63)</f>
        <v>2.1000000000000227</v>
      </c>
      <c r="E46" s="36">
        <f>eth_ON!E46 - eth_OFF!E46 - AVERAGE(E$62:E$63)</f>
        <v>2.1500000000000057</v>
      </c>
      <c r="F46" s="36">
        <f>eth_ON!F46 - eth_OFF!F46 - AVERAGE(F$62:F$63)</f>
        <v>3.5999999999999943</v>
      </c>
      <c r="G46" s="36">
        <f>eth_ON!G46 - eth_OFF!G46 - AVERAGE(G$62:G$63)</f>
        <v>1.9000000000000625</v>
      </c>
      <c r="H46" s="36">
        <f>eth_ON!H46 - eth_OFF!H46 - AVERAGE(H$62:H$63)</f>
        <v>1.2500000000000284</v>
      </c>
      <c r="I46" s="36">
        <f>eth_ON!I46 - eth_OFF!I46 - AVERAGE(I$62:I$63)</f>
        <v>3.3000000000000114</v>
      </c>
      <c r="J46" s="36">
        <f>eth_ON!J46 - eth_OFF!J46 - AVERAGE(J$62:J$63)</f>
        <v>1.5000000000000284</v>
      </c>
      <c r="K46" s="36">
        <f>eth_ON!K46 - eth_OFF!K46 - AVERAGE(K$62:K$63)</f>
        <v>2.5500000000000114</v>
      </c>
      <c r="L46" s="36">
        <f>eth_ON!L46 - eth_OFF!L46 - AVERAGE(L$62:L$63)</f>
        <v>2.3999999999999773</v>
      </c>
      <c r="M46" s="36">
        <f>eth_ON!M46 - eth_OFF!M46 - AVERAGE(M$62:M$63)</f>
        <v>0.84999999999999432</v>
      </c>
      <c r="N46" s="36">
        <f>eth_ON!N46 - eth_OFF!N46 - AVERAGE(N$62:N$63)</f>
        <v>3.4499999999999886</v>
      </c>
      <c r="O46" s="36">
        <f>eth_ON!O46 - eth_OFF!O46 - AVERAGE(O$62:O$63)</f>
        <v>2.5999999999999943</v>
      </c>
      <c r="P46" s="36">
        <f>eth_ON!P46 - eth_OFF!P46 - AVERAGE(P$62:P$63)</f>
        <v>1.9999999999999716</v>
      </c>
      <c r="Q46" s="36">
        <f>eth_ON!Q46 - eth_OFF!Q46 - AVERAGE(Q$62:Q$63)</f>
        <v>0.94999999999998863</v>
      </c>
      <c r="R46" s="36">
        <f>eth_ON!R46 - eth_OFF!R46 - AVERAGE(R$62:R$63)</f>
        <v>1.25</v>
      </c>
      <c r="S46" s="36">
        <f>eth_ON!S46 - eth_OFF!S46 - AVERAGE(S$62:S$63)</f>
        <v>1.9500000000000455</v>
      </c>
      <c r="T46" s="36">
        <f>eth_ON!T46 - eth_OFF!T46 - AVERAGE(T$62:T$63)</f>
        <v>1.3499999999999659</v>
      </c>
      <c r="U46" s="6" t="str">
        <f>IF(eth_OFF!U46, (eth_ON!U46+500-eth_ON!U$64) - (eth_OFF!U46+500-eth_OFF!U$64) - AVERAGE($B$62:$AK$63), "")</f>
        <v/>
      </c>
      <c r="V46" s="6" t="str">
        <f>IF(eth_OFF!V46, (eth_ON!V46+500-eth_ON!V$64) - (eth_OFF!V46+500-eth_OFF!V$64) - AVERAGE(V$62:V$63), "")</f>
        <v/>
      </c>
      <c r="W46" s="6" t="str">
        <f>IF(eth_OFF!W46, (eth_ON!W46+500-eth_ON!W$64) - (eth_OFF!W46+500-eth_OFF!W$64) - AVERAGE(W$62:W$63), "")</f>
        <v/>
      </c>
      <c r="X46" s="6" t="str">
        <f>IF(eth_OFF!X46, (eth_ON!X46+500-eth_ON!X$64) - (eth_OFF!X46+500-eth_OFF!X$64) - AVERAGE(X$62:X$63), "")</f>
        <v/>
      </c>
      <c r="Y46" s="6" t="str">
        <f>IF(eth_OFF!Y46, (eth_ON!Y46+500-eth_ON!Y$64) - (eth_OFF!Y46+500-eth_OFF!Y$64) - AVERAGE(Y$62:Y$63), "")</f>
        <v/>
      </c>
      <c r="Z46" s="6" t="str">
        <f>IF(eth_OFF!Z46, (eth_ON!Z46+500-eth_ON!Z$64) - (eth_OFF!Z46+500-eth_OFF!Z$64) - AVERAGE(Z$62:Z$63), "")</f>
        <v/>
      </c>
      <c r="AA46" s="6" t="str">
        <f>IF(eth_OFF!AA46, (eth_ON!AA46+500-eth_ON!AA$64) - (eth_OFF!AA46+500-eth_OFF!AA$64) - AVERAGE(AA$62:AA$63), "")</f>
        <v/>
      </c>
      <c r="AB46" s="6" t="str">
        <f>IF(eth_OFF!AB46, (eth_ON!AB46+500-eth_ON!AB$64) - (eth_OFF!AB46+500-eth_OFF!AB$64) - AVERAGE(AB$62:AB$63), "")</f>
        <v/>
      </c>
      <c r="AC46" s="6" t="str">
        <f>IF(eth_OFF!AC46, (eth_ON!AC46+500-eth_ON!AC$64) - (eth_OFF!AC46+500-eth_OFF!AC$64) - AVERAGE(AC$62:AC$63), "")</f>
        <v/>
      </c>
      <c r="AD46" s="6" t="str">
        <f>IF(eth_OFF!AD46, (eth_ON!AD46+500-eth_ON!AD$64) - (eth_OFF!AD46+500-eth_OFF!AD$64) - AVERAGE(AD$62:AD$63), "")</f>
        <v/>
      </c>
      <c r="AE46" s="6" t="str">
        <f>IF(eth_OFF!AE46, (eth_ON!AE46+500-eth_ON!AE$64) - (eth_OFF!AE46+500-eth_OFF!AE$64) - AVERAGE(AE$62:AE$63), "")</f>
        <v/>
      </c>
      <c r="AF46" s="6" t="str">
        <f>IF(eth_OFF!AF46, (eth_ON!AF46+500-eth_ON!AF$64) - (eth_OFF!AF46+500-eth_OFF!AF$64) - AVERAGE(AF$62:AF$63), "")</f>
        <v/>
      </c>
      <c r="AG46" s="7" t="str">
        <f>IF(eth_OFF!AG46, (eth_ON!AG46+500-eth_ON!AG$64) - (eth_OFF!AG46+500-eth_OFF!AG$64) - AVERAGE(AG$62:AG$63), "")</f>
        <v/>
      </c>
      <c r="AH46" s="7" t="str">
        <f>IF(eth_OFF!AH46, (eth_ON!AH46+500-eth_ON!AH$64) - (eth_OFF!AH46+500-eth_OFF!AH$64) - AVERAGE(AH$62:AH$63), "")</f>
        <v/>
      </c>
      <c r="AI46" s="7" t="str">
        <f>IF(eth_OFF!AI46, (eth_ON!AI46+500-eth_ON!AI$64) - (eth_OFF!AI46+500-eth_OFF!AI$64) - AVERAGE(AI$62:AI$63), "")</f>
        <v/>
      </c>
      <c r="AJ46" s="7" t="str">
        <f>IF(eth_OFF!AJ46, (eth_ON!AJ46+500-eth_ON!AJ$64) - (eth_OFF!AJ46+500-eth_OFF!AJ$64) - AVERAGE(AJ$62:AJ$63), "")</f>
        <v/>
      </c>
      <c r="AK46" s="15" t="str">
        <f>IF(eth_OFF!AK46, (eth_ON!AK46+500-eth_ON!AK$64) - (eth_OFF!AK46+500-eth_OFF!AK$64) - AVERAGE(AK$62:AK$63), "")</f>
        <v/>
      </c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</row>
    <row r="47" spans="1:65">
      <c r="A47" s="1">
        <v>46</v>
      </c>
      <c r="B47" s="36">
        <f>eth_ON!B47 - eth_OFF!B47 - AVERAGE(B$62:B$63)</f>
        <v>7.8999999999999773</v>
      </c>
      <c r="C47" s="36">
        <f>eth_ON!C47 - eth_OFF!C47 - AVERAGE(C$62:C$63)</f>
        <v>5.1499999999999773</v>
      </c>
      <c r="D47" s="36">
        <f>eth_ON!D47 - eth_OFF!D47 - AVERAGE(D$62:D$63)</f>
        <v>4.5</v>
      </c>
      <c r="E47" s="36">
        <f>eth_ON!E47 - eth_OFF!E47 - AVERAGE(E$62:E$63)</f>
        <v>3.8499999999999943</v>
      </c>
      <c r="F47" s="36">
        <f>eth_ON!F47 - eth_OFF!F47 - AVERAGE(F$62:F$63)</f>
        <v>5.9000000000000057</v>
      </c>
      <c r="G47" s="36">
        <f>eth_ON!G47 - eth_OFF!G47 - AVERAGE(G$62:G$63)</f>
        <v>4.8000000000000398</v>
      </c>
      <c r="H47" s="36">
        <f>eth_ON!H47 - eth_OFF!H47 - AVERAGE(H$62:H$63)</f>
        <v>6.5499999999999829</v>
      </c>
      <c r="I47" s="36">
        <f>eth_ON!I47 - eth_OFF!I47 - AVERAGE(I$62:I$63)</f>
        <v>5.6000000000000227</v>
      </c>
      <c r="J47" s="36">
        <f>eth_ON!J47 - eth_OFF!J47 - AVERAGE(J$62:J$63)</f>
        <v>6.5999999999999943</v>
      </c>
      <c r="K47" s="36">
        <f>eth_ON!K47 - eth_OFF!K47 - AVERAGE(K$62:K$63)</f>
        <v>6.8500000000000227</v>
      </c>
      <c r="L47" s="36">
        <f>eth_ON!L47 - eth_OFF!L47 - AVERAGE(L$62:L$63)</f>
        <v>6.3999999999999773</v>
      </c>
      <c r="M47" s="36">
        <f>eth_ON!M47 - eth_OFF!M47 - AVERAGE(M$62:M$63)</f>
        <v>5.6499999999999488</v>
      </c>
      <c r="N47" s="36">
        <f>eth_ON!N47 - eth_OFF!N47 - AVERAGE(N$62:N$63)</f>
        <v>7.4499999999999886</v>
      </c>
      <c r="O47" s="36">
        <f>eth_ON!O47 - eth_OFF!O47 - AVERAGE(O$62:O$63)</f>
        <v>5.1000000000000512</v>
      </c>
      <c r="P47" s="36">
        <f>eth_ON!P47 - eth_OFF!P47 - AVERAGE(P$62:P$63)</f>
        <v>1.9999999999999716</v>
      </c>
      <c r="Q47" s="36">
        <f>eth_ON!Q47 - eth_OFF!Q47 - AVERAGE(Q$62:Q$63)</f>
        <v>2.75</v>
      </c>
      <c r="R47" s="36">
        <f>eth_ON!R47 - eth_OFF!R47 - AVERAGE(R$62:R$63)</f>
        <v>2.8499999999999659</v>
      </c>
      <c r="S47" s="36">
        <f>eth_ON!S47 - eth_OFF!S47 - AVERAGE(S$62:S$63)</f>
        <v>4.4500000000000455</v>
      </c>
      <c r="T47" s="36">
        <f>eth_ON!T47 - eth_OFF!T47 - AVERAGE(T$62:T$63)</f>
        <v>2.75</v>
      </c>
      <c r="U47" s="6" t="str">
        <f>IF(eth_OFF!U47, (eth_ON!U47+500-eth_ON!U$64) - (eth_OFF!U47+500-eth_OFF!U$64) - AVERAGE($B$62:$AK$63), "")</f>
        <v/>
      </c>
      <c r="V47" s="6" t="str">
        <f>IF(eth_OFF!V47, (eth_ON!V47+500-eth_ON!V$64) - (eth_OFF!V47+500-eth_OFF!V$64) - AVERAGE(V$62:V$63), "")</f>
        <v/>
      </c>
      <c r="W47" s="6" t="str">
        <f>IF(eth_OFF!W47, (eth_ON!W47+500-eth_ON!W$64) - (eth_OFF!W47+500-eth_OFF!W$64) - AVERAGE(W$62:W$63), "")</f>
        <v/>
      </c>
      <c r="X47" s="6" t="str">
        <f>IF(eth_OFF!X47, (eth_ON!X47+500-eth_ON!X$64) - (eth_OFF!X47+500-eth_OFF!X$64) - AVERAGE(X$62:X$63), "")</f>
        <v/>
      </c>
      <c r="Y47" s="6" t="str">
        <f>IF(eth_OFF!Y47, (eth_ON!Y47+500-eth_ON!Y$64) - (eth_OFF!Y47+500-eth_OFF!Y$64) - AVERAGE(Y$62:Y$63), "")</f>
        <v/>
      </c>
      <c r="Z47" s="6" t="str">
        <f>IF(eth_OFF!Z47, (eth_ON!Z47+500-eth_ON!Z$64) - (eth_OFF!Z47+500-eth_OFF!Z$64) - AVERAGE(Z$62:Z$63), "")</f>
        <v/>
      </c>
      <c r="AA47" s="6" t="str">
        <f>IF(eth_OFF!AA47, (eth_ON!AA47+500-eth_ON!AA$64) - (eth_OFF!AA47+500-eth_OFF!AA$64) - AVERAGE(AA$62:AA$63), "")</f>
        <v/>
      </c>
      <c r="AB47" s="6" t="str">
        <f>IF(eth_OFF!AB47, (eth_ON!AB47+500-eth_ON!AB$64) - (eth_OFF!AB47+500-eth_OFF!AB$64) - AVERAGE(AB$62:AB$63), "")</f>
        <v/>
      </c>
      <c r="AC47" s="6" t="str">
        <f>IF(eth_OFF!AC47, (eth_ON!AC47+500-eth_ON!AC$64) - (eth_OFF!AC47+500-eth_OFF!AC$64) - AVERAGE(AC$62:AC$63), "")</f>
        <v/>
      </c>
      <c r="AD47" s="6" t="str">
        <f>IF(eth_OFF!AD47, (eth_ON!AD47+500-eth_ON!AD$64) - (eth_OFF!AD47+500-eth_OFF!AD$64) - AVERAGE(AD$62:AD$63), "")</f>
        <v/>
      </c>
      <c r="AE47" s="6" t="str">
        <f>IF(eth_OFF!AE47, (eth_ON!AE47+500-eth_ON!AE$64) - (eth_OFF!AE47+500-eth_OFF!AE$64) - AVERAGE(AE$62:AE$63), "")</f>
        <v/>
      </c>
      <c r="AF47" s="6" t="str">
        <f>IF(eth_OFF!AF47, (eth_ON!AF47+500-eth_ON!AF$64) - (eth_OFF!AF47+500-eth_OFF!AF$64) - AVERAGE(AF$62:AF$63), "")</f>
        <v/>
      </c>
      <c r="AG47" s="7" t="str">
        <f>IF(eth_OFF!AG47, (eth_ON!AG47+500-eth_ON!AG$64) - (eth_OFF!AG47+500-eth_OFF!AG$64) - AVERAGE(AG$62:AG$63), "")</f>
        <v/>
      </c>
      <c r="AH47" s="7" t="str">
        <f>IF(eth_OFF!AH47, (eth_ON!AH47+500-eth_ON!AH$64) - (eth_OFF!AH47+500-eth_OFF!AH$64) - AVERAGE(AH$62:AH$63), "")</f>
        <v/>
      </c>
      <c r="AI47" s="7" t="str">
        <f>IF(eth_OFF!AI47, (eth_ON!AI47+500-eth_ON!AI$64) - (eth_OFF!AI47+500-eth_OFF!AI$64) - AVERAGE(AI$62:AI$63), "")</f>
        <v/>
      </c>
      <c r="AJ47" s="7" t="str">
        <f>IF(eth_OFF!AJ47, (eth_ON!AJ47+500-eth_ON!AJ$64) - (eth_OFF!AJ47+500-eth_OFF!AJ$64) - AVERAGE(AJ$62:AJ$63), "")</f>
        <v/>
      </c>
      <c r="AK47" s="15" t="str">
        <f>IF(eth_OFF!AK47, (eth_ON!AK47+500-eth_ON!AK$64) - (eth_OFF!AK47+500-eth_OFF!AK$64) - AVERAGE(AK$62:AK$63), "")</f>
        <v/>
      </c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</row>
    <row r="48" spans="1:65">
      <c r="A48" s="1">
        <v>47</v>
      </c>
      <c r="B48" s="36">
        <f>eth_ON!B48 - eth_OFF!B48 - AVERAGE(B$62:B$63)</f>
        <v>1.6999999999999318</v>
      </c>
      <c r="C48" s="36">
        <f>eth_ON!C48 - eth_OFF!C48 - AVERAGE(C$62:C$63)</f>
        <v>2.8500000000000227</v>
      </c>
      <c r="D48" s="36">
        <f>eth_ON!D48 - eth_OFF!D48 - AVERAGE(D$62:D$63)</f>
        <v>2.7000000000000455</v>
      </c>
      <c r="E48" s="36">
        <f>eth_ON!E48 - eth_OFF!E48 - AVERAGE(E$62:E$63)</f>
        <v>2.9499999999999602</v>
      </c>
      <c r="F48" s="36">
        <f>eth_ON!F48 - eth_OFF!F48 - AVERAGE(F$62:F$63)</f>
        <v>3.5000000000000284</v>
      </c>
      <c r="G48" s="36">
        <f>eth_ON!G48 - eth_OFF!G48 - AVERAGE(G$62:G$63)</f>
        <v>3.0999999999999943</v>
      </c>
      <c r="H48" s="36">
        <f>eth_ON!H48 - eth_OFF!H48 - AVERAGE(H$62:H$63)</f>
        <v>1.6500000000000057</v>
      </c>
      <c r="I48" s="36">
        <f>eth_ON!I48 - eth_OFF!I48 - AVERAGE(I$62:I$63)</f>
        <v>2.8000000000000682</v>
      </c>
      <c r="J48" s="36">
        <f>eth_ON!J48 - eth_OFF!J48 - AVERAGE(J$62:J$63)</f>
        <v>2.2000000000000171</v>
      </c>
      <c r="K48" s="36">
        <f>eth_ON!K48 - eth_OFF!K48 - AVERAGE(K$62:K$63)</f>
        <v>1.3500000000000227</v>
      </c>
      <c r="L48" s="36">
        <f>eth_ON!L48 - eth_OFF!L48 - AVERAGE(L$62:L$63)</f>
        <v>0.39999999999997726</v>
      </c>
      <c r="M48" s="36">
        <f>eth_ON!M48 - eth_OFF!M48 - AVERAGE(M$62:M$63)</f>
        <v>0.24999999999997158</v>
      </c>
      <c r="N48" s="36">
        <f>eth_ON!N48 - eth_OFF!N48 - AVERAGE(N$62:N$63)</f>
        <v>-0.15000000000003411</v>
      </c>
      <c r="O48" s="36">
        <f>eth_ON!O48 - eth_OFF!O48 - AVERAGE(O$62:O$63)</f>
        <v>0.49999999999997158</v>
      </c>
      <c r="P48" s="36">
        <f>eth_ON!P48 - eth_OFF!P48 - AVERAGE(P$62:P$63)</f>
        <v>0.20000000000001705</v>
      </c>
      <c r="Q48" s="36">
        <f>eth_ON!Q48 - eth_OFF!Q48 - AVERAGE(Q$62:Q$63)</f>
        <v>0.15000000000003411</v>
      </c>
      <c r="R48" s="36">
        <f>eth_ON!R48 - eth_OFF!R48 - AVERAGE(R$62:R$63)</f>
        <v>-0.25</v>
      </c>
      <c r="S48" s="36">
        <f>eth_ON!S48 - eth_OFF!S48 - AVERAGE(S$62:S$63)</f>
        <v>0.15000000000003411</v>
      </c>
      <c r="T48" s="36">
        <f>eth_ON!T48 - eth_OFF!T48 - AVERAGE(T$62:T$63)</f>
        <v>0.14999999999997726</v>
      </c>
      <c r="U48" s="6" t="str">
        <f>IF(eth_OFF!U48, (eth_ON!U48+500-eth_ON!U$64) - (eth_OFF!U48+500-eth_OFF!U$64) - AVERAGE($B$62:$AK$63), "")</f>
        <v/>
      </c>
      <c r="V48" s="6" t="str">
        <f>IF(eth_OFF!V48, (eth_ON!V48+500-eth_ON!V$64) - (eth_OFF!V48+500-eth_OFF!V$64) - AVERAGE(V$62:V$63), "")</f>
        <v/>
      </c>
      <c r="W48" s="6" t="str">
        <f>IF(eth_OFF!W48, (eth_ON!W48+500-eth_ON!W$64) - (eth_OFF!W48+500-eth_OFF!W$64) - AVERAGE(W$62:W$63), "")</f>
        <v/>
      </c>
      <c r="X48" s="6" t="str">
        <f>IF(eth_OFF!X48, (eth_ON!X48+500-eth_ON!X$64) - (eth_OFF!X48+500-eth_OFF!X$64) - AVERAGE(X$62:X$63), "")</f>
        <v/>
      </c>
      <c r="Y48" s="6" t="str">
        <f>IF(eth_OFF!Y48, (eth_ON!Y48+500-eth_ON!Y$64) - (eth_OFF!Y48+500-eth_OFF!Y$64) - AVERAGE(Y$62:Y$63), "")</f>
        <v/>
      </c>
      <c r="Z48" s="6" t="str">
        <f>IF(eth_OFF!Z48, (eth_ON!Z48+500-eth_ON!Z$64) - (eth_OFF!Z48+500-eth_OFF!Z$64) - AVERAGE(Z$62:Z$63), "")</f>
        <v/>
      </c>
      <c r="AA48" s="6" t="str">
        <f>IF(eth_OFF!AA48, (eth_ON!AA48+500-eth_ON!AA$64) - (eth_OFF!AA48+500-eth_OFF!AA$64) - AVERAGE(AA$62:AA$63), "")</f>
        <v/>
      </c>
      <c r="AB48" s="6" t="str">
        <f>IF(eth_OFF!AB48, (eth_ON!AB48+500-eth_ON!AB$64) - (eth_OFF!AB48+500-eth_OFF!AB$64) - AVERAGE(AB$62:AB$63), "")</f>
        <v/>
      </c>
      <c r="AC48" s="6" t="str">
        <f>IF(eth_OFF!AC48, (eth_ON!AC48+500-eth_ON!AC$64) - (eth_OFF!AC48+500-eth_OFF!AC$64) - AVERAGE(AC$62:AC$63), "")</f>
        <v/>
      </c>
      <c r="AD48" s="6" t="str">
        <f>IF(eth_OFF!AD48, (eth_ON!AD48+500-eth_ON!AD$64) - (eth_OFF!AD48+500-eth_OFF!AD$64) - AVERAGE(AD$62:AD$63), "")</f>
        <v/>
      </c>
      <c r="AE48" s="6" t="str">
        <f>IF(eth_OFF!AE48, (eth_ON!AE48+500-eth_ON!AE$64) - (eth_OFF!AE48+500-eth_OFF!AE$64) - AVERAGE(AE$62:AE$63), "")</f>
        <v/>
      </c>
      <c r="AF48" s="6" t="str">
        <f>IF(eth_OFF!AF48, (eth_ON!AF48+500-eth_ON!AF$64) - (eth_OFF!AF48+500-eth_OFF!AF$64) - AVERAGE(AF$62:AF$63), "")</f>
        <v/>
      </c>
      <c r="AG48" s="7" t="str">
        <f>IF(eth_OFF!AG48, (eth_ON!AG48+500-eth_ON!AG$64) - (eth_OFF!AG48+500-eth_OFF!AG$64) - AVERAGE(AG$62:AG$63), "")</f>
        <v/>
      </c>
      <c r="AH48" s="7" t="str">
        <f>IF(eth_OFF!AH48, (eth_ON!AH48+500-eth_ON!AH$64) - (eth_OFF!AH48+500-eth_OFF!AH$64) - AVERAGE(AH$62:AH$63), "")</f>
        <v/>
      </c>
      <c r="AI48" s="7" t="str">
        <f>IF(eth_OFF!AI48, (eth_ON!AI48+500-eth_ON!AI$64) - (eth_OFF!AI48+500-eth_OFF!AI$64) - AVERAGE(AI$62:AI$63), "")</f>
        <v/>
      </c>
      <c r="AJ48" s="7" t="str">
        <f>IF(eth_OFF!AJ48, (eth_ON!AJ48+500-eth_ON!AJ$64) - (eth_OFF!AJ48+500-eth_OFF!AJ$64) - AVERAGE(AJ$62:AJ$63), "")</f>
        <v/>
      </c>
      <c r="AK48" s="15" t="str">
        <f>IF(eth_OFF!AK48, (eth_ON!AK48+500-eth_ON!AK$64) - (eth_OFF!AK48+500-eth_OFF!AK$64) - AVERAGE(AK$62:AK$63), "")</f>
        <v/>
      </c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</row>
    <row r="49" spans="1:65">
      <c r="A49" s="1">
        <v>48</v>
      </c>
      <c r="B49" s="36">
        <f>eth_ON!B49 - eth_OFF!B49 - AVERAGE(B$62:B$63)</f>
        <v>6.5999999999999659</v>
      </c>
      <c r="C49" s="36">
        <f>eth_ON!C49 - eth_OFF!C49 - AVERAGE(C$62:C$63)</f>
        <v>3.6499999999999773</v>
      </c>
      <c r="D49" s="36">
        <f>eth_ON!D49 - eth_OFF!D49 - AVERAGE(D$62:D$63)</f>
        <v>6.1000000000000227</v>
      </c>
      <c r="E49" s="36">
        <f>eth_ON!E49 - eth_OFF!E49 - AVERAGE(E$62:E$63)</f>
        <v>5.0499999999999829</v>
      </c>
      <c r="F49" s="36">
        <f>eth_ON!F49 - eth_OFF!F49 - AVERAGE(F$62:F$63)</f>
        <v>3.4999999999999716</v>
      </c>
      <c r="G49" s="36">
        <f>eth_ON!G49 - eth_OFF!G49 - AVERAGE(G$62:G$63)</f>
        <v>5.2000000000000171</v>
      </c>
      <c r="H49" s="36">
        <f>eth_ON!H49 - eth_OFF!H49 - AVERAGE(H$62:H$63)</f>
        <v>8.2500000000000284</v>
      </c>
      <c r="I49" s="36">
        <f>eth_ON!I49 - eth_OFF!I49 - AVERAGE(I$62:I$63)</f>
        <v>8.5000000000000568</v>
      </c>
      <c r="J49" s="36">
        <f>eth_ON!J49 - eth_OFF!J49 - AVERAGE(J$62:J$63)</f>
        <v>3.9999999999999716</v>
      </c>
      <c r="K49" s="36">
        <f>eth_ON!K49 - eth_OFF!K49 - AVERAGE(K$62:K$63)</f>
        <v>3.5500000000000114</v>
      </c>
      <c r="L49" s="36">
        <f>eth_ON!L49 - eth_OFF!L49 - AVERAGE(L$62:L$63)</f>
        <v>1</v>
      </c>
      <c r="M49" s="36">
        <f>eth_ON!M49 - eth_OFF!M49 - AVERAGE(M$62:M$63)</f>
        <v>5.3499999999999943</v>
      </c>
      <c r="N49" s="36">
        <f>eth_ON!N49 - eth_OFF!N49 - AVERAGE(N$62:N$63)</f>
        <v>0.34999999999996589</v>
      </c>
      <c r="O49" s="36">
        <f>eth_ON!O49 - eth_OFF!O49 - AVERAGE(O$62:O$63)</f>
        <v>1.7000000000000171</v>
      </c>
      <c r="P49" s="36">
        <f>eth_ON!P49 - eth_OFF!P49 - AVERAGE(P$62:P$63)</f>
        <v>1.9999999999999716</v>
      </c>
      <c r="Q49" s="36">
        <f>eth_ON!Q49 - eth_OFF!Q49 - AVERAGE(Q$62:Q$63)</f>
        <v>0.35000000000002274</v>
      </c>
      <c r="R49" s="36">
        <f>eth_ON!R49 - eth_OFF!R49 - AVERAGE(R$62:R$63)</f>
        <v>-0.14999999999997726</v>
      </c>
      <c r="S49" s="36">
        <f>eth_ON!S49 - eth_OFF!S49 - AVERAGE(S$62:S$63)</f>
        <v>0.14999999999997726</v>
      </c>
      <c r="T49" s="36">
        <f>eth_ON!T49 - eth_OFF!T49 - AVERAGE(T$62:T$63)</f>
        <v>0.14999999999997726</v>
      </c>
      <c r="U49" s="6" t="str">
        <f>IF(eth_OFF!U49, (eth_ON!U49+500-eth_ON!U$64) - (eth_OFF!U49+500-eth_OFF!U$64) - AVERAGE($B$62:$AK$63), "")</f>
        <v/>
      </c>
      <c r="V49" s="6" t="str">
        <f>IF(eth_OFF!V49, (eth_ON!V49+500-eth_ON!V$64) - (eth_OFF!V49+500-eth_OFF!V$64) - AVERAGE(V$62:V$63), "")</f>
        <v/>
      </c>
      <c r="W49" s="6" t="str">
        <f>IF(eth_OFF!W49, (eth_ON!W49+500-eth_ON!W$64) - (eth_OFF!W49+500-eth_OFF!W$64) - AVERAGE(W$62:W$63), "")</f>
        <v/>
      </c>
      <c r="X49" s="6" t="str">
        <f>IF(eth_OFF!X49, (eth_ON!X49+500-eth_ON!X$64) - (eth_OFF!X49+500-eth_OFF!X$64) - AVERAGE(X$62:X$63), "")</f>
        <v/>
      </c>
      <c r="Y49" s="6" t="str">
        <f>IF(eth_OFF!Y49, (eth_ON!Y49+500-eth_ON!Y$64) - (eth_OFF!Y49+500-eth_OFF!Y$64) - AVERAGE(Y$62:Y$63), "")</f>
        <v/>
      </c>
      <c r="Z49" s="6" t="str">
        <f>IF(eth_OFF!Z49, (eth_ON!Z49+500-eth_ON!Z$64) - (eth_OFF!Z49+500-eth_OFF!Z$64) - AVERAGE(Z$62:Z$63), "")</f>
        <v/>
      </c>
      <c r="AA49" s="6" t="str">
        <f>IF(eth_OFF!AA49, (eth_ON!AA49+500-eth_ON!AA$64) - (eth_OFF!AA49+500-eth_OFF!AA$64) - AVERAGE(AA$62:AA$63), "")</f>
        <v/>
      </c>
      <c r="AB49" s="6" t="str">
        <f>IF(eth_OFF!AB49, (eth_ON!AB49+500-eth_ON!AB$64) - (eth_OFF!AB49+500-eth_OFF!AB$64) - AVERAGE(AB$62:AB$63), "")</f>
        <v/>
      </c>
      <c r="AC49" s="6" t="str">
        <f>IF(eth_OFF!AC49, (eth_ON!AC49+500-eth_ON!AC$64) - (eth_OFF!AC49+500-eth_OFF!AC$64) - AVERAGE(AC$62:AC$63), "")</f>
        <v/>
      </c>
      <c r="AD49" s="6" t="str">
        <f>IF(eth_OFF!AD49, (eth_ON!AD49+500-eth_ON!AD$64) - (eth_OFF!AD49+500-eth_OFF!AD$64) - AVERAGE(AD$62:AD$63), "")</f>
        <v/>
      </c>
      <c r="AE49" s="6" t="str">
        <f>IF(eth_OFF!AE49, (eth_ON!AE49+500-eth_ON!AE$64) - (eth_OFF!AE49+500-eth_OFF!AE$64) - AVERAGE(AE$62:AE$63), "")</f>
        <v/>
      </c>
      <c r="AF49" s="6" t="str">
        <f>IF(eth_OFF!AF49, (eth_ON!AF49+500-eth_ON!AF$64) - (eth_OFF!AF49+500-eth_OFF!AF$64) - AVERAGE(AF$62:AF$63), "")</f>
        <v/>
      </c>
      <c r="AG49" s="7" t="str">
        <f>IF(eth_OFF!AG49, (eth_ON!AG49+500-eth_ON!AG$64) - (eth_OFF!AG49+500-eth_OFF!AG$64) - AVERAGE(AG$62:AG$63), "")</f>
        <v/>
      </c>
      <c r="AH49" s="7" t="str">
        <f>IF(eth_OFF!AH49, (eth_ON!AH49+500-eth_ON!AH$64) - (eth_OFF!AH49+500-eth_OFF!AH$64) - AVERAGE(AH$62:AH$63), "")</f>
        <v/>
      </c>
      <c r="AI49" s="7" t="str">
        <f>IF(eth_OFF!AI49, (eth_ON!AI49+500-eth_ON!AI$64) - (eth_OFF!AI49+500-eth_OFF!AI$64) - AVERAGE(AI$62:AI$63), "")</f>
        <v/>
      </c>
      <c r="AJ49" s="7" t="str">
        <f>IF(eth_OFF!AJ49, (eth_ON!AJ49+500-eth_ON!AJ$64) - (eth_OFF!AJ49+500-eth_OFF!AJ$64) - AVERAGE(AJ$62:AJ$63), "")</f>
        <v/>
      </c>
      <c r="AK49" s="15" t="str">
        <f>IF(eth_OFF!AK49, (eth_ON!AK49+500-eth_ON!AK$64) - (eth_OFF!AK49+500-eth_OFF!AK$64) - AVERAGE(AK$62:AK$63), "")</f>
        <v/>
      </c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</row>
    <row r="50" spans="1:65">
      <c r="A50" s="1">
        <v>49</v>
      </c>
      <c r="B50" s="36">
        <f>eth_ON!B50 - eth_OFF!B50 - AVERAGE(B$62:B$63)</f>
        <v>3.2999999999999545</v>
      </c>
      <c r="C50" s="36">
        <f>eth_ON!C50 - eth_OFF!C50 - AVERAGE(C$62:C$63)</f>
        <v>4.4500000000000455</v>
      </c>
      <c r="D50" s="36">
        <f>eth_ON!D50 - eth_OFF!D50 - AVERAGE(D$62:D$63)</f>
        <v>3</v>
      </c>
      <c r="E50" s="36">
        <f>eth_ON!E50 - eth_OFF!E50 - AVERAGE(E$62:E$63)</f>
        <v>2.8499999999999943</v>
      </c>
      <c r="F50" s="36">
        <f>eth_ON!F50 - eth_OFF!F50 - AVERAGE(F$62:F$63)</f>
        <v>3.4000000000000057</v>
      </c>
      <c r="G50" s="36">
        <f>eth_ON!G50 - eth_OFF!G50 - AVERAGE(G$62:G$63)</f>
        <v>2.5999999999999943</v>
      </c>
      <c r="H50" s="36">
        <f>eth_ON!H50 - eth_OFF!H50 - AVERAGE(H$62:H$63)</f>
        <v>4.0499999999999829</v>
      </c>
      <c r="I50" s="36">
        <f>eth_ON!I50 - eth_OFF!I50 - AVERAGE(I$62:I$63)</f>
        <v>4</v>
      </c>
      <c r="J50" s="36">
        <f>eth_ON!J50 - eth_OFF!J50 - AVERAGE(J$62:J$63)</f>
        <v>1.9000000000000057</v>
      </c>
      <c r="K50" s="36">
        <f>eth_ON!K50 - eth_OFF!K50 - AVERAGE(K$62:K$63)</f>
        <v>2.5500000000000114</v>
      </c>
      <c r="L50" s="36">
        <f>eth_ON!L50 - eth_OFF!L50 - AVERAGE(L$62:L$63)</f>
        <v>0.79999999999995453</v>
      </c>
      <c r="M50" s="36">
        <f>eth_ON!M50 - eth_OFF!M50 - AVERAGE(M$62:M$63)</f>
        <v>3.1499999999999488</v>
      </c>
      <c r="N50" s="36">
        <f>eth_ON!N50 - eth_OFF!N50 - AVERAGE(N$62:N$63)</f>
        <v>0.24999999999994316</v>
      </c>
      <c r="O50" s="36">
        <f>eth_ON!O50 - eth_OFF!O50 - AVERAGE(O$62:O$63)</f>
        <v>0.59999999999999432</v>
      </c>
      <c r="P50" s="36">
        <f>eth_ON!P50 - eth_OFF!P50 - AVERAGE(P$62:P$63)</f>
        <v>0.49999999999997158</v>
      </c>
      <c r="Q50" s="36">
        <f>eth_ON!Q50 - eth_OFF!Q50 - AVERAGE(Q$62:Q$63)</f>
        <v>0.14999999999997726</v>
      </c>
      <c r="R50" s="36">
        <f>eth_ON!R50 - eth_OFF!R50 - AVERAGE(R$62:R$63)</f>
        <v>-5.0000000000011369E-2</v>
      </c>
      <c r="S50" s="36">
        <f>eth_ON!S50 - eth_OFF!S50 - AVERAGE(S$62:S$63)</f>
        <v>5.0000000000068212E-2</v>
      </c>
      <c r="T50" s="36">
        <f>eth_ON!T50 - eth_OFF!T50 - AVERAGE(T$62:T$63)</f>
        <v>4.9999999999954525E-2</v>
      </c>
      <c r="U50" s="6" t="str">
        <f>IF(eth_OFF!U50, (eth_ON!U50+500-eth_ON!U$64) - (eth_OFF!U50+500-eth_OFF!U$64) - AVERAGE($B$62:$AK$63), "")</f>
        <v/>
      </c>
      <c r="V50" s="6" t="str">
        <f>IF(eth_OFF!V50, (eth_ON!V50+500-eth_ON!V$64) - (eth_OFF!V50+500-eth_OFF!V$64) - AVERAGE(V$62:V$63), "")</f>
        <v/>
      </c>
      <c r="W50" s="6" t="str">
        <f>IF(eth_OFF!W50, (eth_ON!W50+500-eth_ON!W$64) - (eth_OFF!W50+500-eth_OFF!W$64) - AVERAGE(W$62:W$63), "")</f>
        <v/>
      </c>
      <c r="X50" s="6" t="str">
        <f>IF(eth_OFF!X50, (eth_ON!X50+500-eth_ON!X$64) - (eth_OFF!X50+500-eth_OFF!X$64) - AVERAGE(X$62:X$63), "")</f>
        <v/>
      </c>
      <c r="Y50" s="6" t="str">
        <f>IF(eth_OFF!Y50, (eth_ON!Y50+500-eth_ON!Y$64) - (eth_OFF!Y50+500-eth_OFF!Y$64) - AVERAGE(Y$62:Y$63), "")</f>
        <v/>
      </c>
      <c r="Z50" s="6" t="str">
        <f>IF(eth_OFF!Z50, (eth_ON!Z50+500-eth_ON!Z$64) - (eth_OFF!Z50+500-eth_OFF!Z$64) - AVERAGE(Z$62:Z$63), "")</f>
        <v/>
      </c>
      <c r="AA50" s="6" t="str">
        <f>IF(eth_OFF!AA50, (eth_ON!AA50+500-eth_ON!AA$64) - (eth_OFF!AA50+500-eth_OFF!AA$64) - AVERAGE(AA$62:AA$63), "")</f>
        <v/>
      </c>
      <c r="AB50" s="6" t="str">
        <f>IF(eth_OFF!AB50, (eth_ON!AB50+500-eth_ON!AB$64) - (eth_OFF!AB50+500-eth_OFF!AB$64) - AVERAGE(AB$62:AB$63), "")</f>
        <v/>
      </c>
      <c r="AC50" s="6" t="str">
        <f>IF(eth_OFF!AC50, (eth_ON!AC50+500-eth_ON!AC$64) - (eth_OFF!AC50+500-eth_OFF!AC$64) - AVERAGE(AC$62:AC$63), "")</f>
        <v/>
      </c>
      <c r="AD50" s="6" t="str">
        <f>IF(eth_OFF!AD50, (eth_ON!AD50+500-eth_ON!AD$64) - (eth_OFF!AD50+500-eth_OFF!AD$64) - AVERAGE(AD$62:AD$63), "")</f>
        <v/>
      </c>
      <c r="AE50" s="6" t="str">
        <f>IF(eth_OFF!AE50, (eth_ON!AE50+500-eth_ON!AE$64) - (eth_OFF!AE50+500-eth_OFF!AE$64) - AVERAGE(AE$62:AE$63), "")</f>
        <v/>
      </c>
      <c r="AF50" s="6" t="str">
        <f>IF(eth_OFF!AF50, (eth_ON!AF50+500-eth_ON!AF$64) - (eth_OFF!AF50+500-eth_OFF!AF$64) - AVERAGE(AF$62:AF$63), "")</f>
        <v/>
      </c>
      <c r="AG50" s="7" t="str">
        <f>IF(eth_OFF!AG50, (eth_ON!AG50+500-eth_ON!AG$64) - (eth_OFF!AG50+500-eth_OFF!AG$64) - AVERAGE(AG$62:AG$63), "")</f>
        <v/>
      </c>
      <c r="AH50" s="7" t="str">
        <f>IF(eth_OFF!AH50, (eth_ON!AH50+500-eth_ON!AH$64) - (eth_OFF!AH50+500-eth_OFF!AH$64) - AVERAGE(AH$62:AH$63), "")</f>
        <v/>
      </c>
      <c r="AI50" s="7" t="str">
        <f>IF(eth_OFF!AI50, (eth_ON!AI50+500-eth_ON!AI$64) - (eth_OFF!AI50+500-eth_OFF!AI$64) - AVERAGE(AI$62:AI$63), "")</f>
        <v/>
      </c>
      <c r="AJ50" s="7" t="str">
        <f>IF(eth_OFF!AJ50, (eth_ON!AJ50+500-eth_ON!AJ$64) - (eth_OFF!AJ50+500-eth_OFF!AJ$64) - AVERAGE(AJ$62:AJ$63), "")</f>
        <v/>
      </c>
      <c r="AK50" s="15" t="str">
        <f>IF(eth_OFF!AK50, (eth_ON!AK50+500-eth_ON!AK$64) - (eth_OFF!AK50+500-eth_OFF!AK$64) - AVERAGE(AK$62:AK$63), "")</f>
        <v/>
      </c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1:65">
      <c r="A51" s="1">
        <v>50</v>
      </c>
      <c r="B51" s="36">
        <f>eth_ON!B51 - eth_OFF!B51 - AVERAGE(B$62:B$63)</f>
        <v>2.1999999999999318</v>
      </c>
      <c r="C51" s="36">
        <f>eth_ON!C51 - eth_OFF!C51 - AVERAGE(C$62:C$63)</f>
        <v>2.6499999999999773</v>
      </c>
      <c r="D51" s="36">
        <f>eth_ON!D51 - eth_OFF!D51 - AVERAGE(D$62:D$63)</f>
        <v>2.8000000000000682</v>
      </c>
      <c r="E51" s="36">
        <f>eth_ON!E51 - eth_OFF!E51 - AVERAGE(E$62:E$63)</f>
        <v>1.4499999999999602</v>
      </c>
      <c r="F51" s="36">
        <f>eth_ON!F51 - eth_OFF!F51 - AVERAGE(F$62:F$63)</f>
        <v>2.4999999999999716</v>
      </c>
      <c r="G51" s="36">
        <f>eth_ON!G51 - eth_OFF!G51 - AVERAGE(G$62:G$63)</f>
        <v>2.0000000000000284</v>
      </c>
      <c r="H51" s="36">
        <f>eth_ON!H51 - eth_OFF!H51 - AVERAGE(H$62:H$63)</f>
        <v>1.9500000000000171</v>
      </c>
      <c r="I51" s="36">
        <f>eth_ON!I51 - eth_OFF!I51 - AVERAGE(I$62:I$63)</f>
        <v>1.9000000000000909</v>
      </c>
      <c r="J51" s="36">
        <f>eth_ON!J51 - eth_OFF!J51 - AVERAGE(J$62:J$63)</f>
        <v>1.9000000000000057</v>
      </c>
      <c r="K51" s="36">
        <f>eth_ON!K51 - eth_OFF!K51 - AVERAGE(K$62:K$63)</f>
        <v>1.3500000000000227</v>
      </c>
      <c r="L51" s="36">
        <f>eth_ON!L51 - eth_OFF!L51 - AVERAGE(L$62:L$63)</f>
        <v>1.1999999999999318</v>
      </c>
      <c r="M51" s="36">
        <f>eth_ON!M51 - eth_OFF!M51 - AVERAGE(M$62:M$63)</f>
        <v>1.8499999999999943</v>
      </c>
      <c r="N51" s="36">
        <f>eth_ON!N51 - eth_OFF!N51 - AVERAGE(N$62:N$63)</f>
        <v>2.0500000000000114</v>
      </c>
      <c r="O51" s="36">
        <f>eth_ON!O51 - eth_OFF!O51 - AVERAGE(O$62:O$63)</f>
        <v>1.1000000000000512</v>
      </c>
      <c r="P51" s="36">
        <f>eth_ON!P51 - eth_OFF!P51 - AVERAGE(P$62:P$63)</f>
        <v>1.1999999999999602</v>
      </c>
      <c r="Q51" s="36">
        <f>eth_ON!Q51 - eth_OFF!Q51 - AVERAGE(Q$62:Q$63)</f>
        <v>0.85000000000002274</v>
      </c>
      <c r="R51" s="36">
        <f>eth_ON!R51 - eth_OFF!R51 - AVERAGE(R$62:R$63)</f>
        <v>0.44999999999998863</v>
      </c>
      <c r="S51" s="36">
        <f>eth_ON!S51 - eth_OFF!S51 - AVERAGE(S$62:S$63)</f>
        <v>0.35000000000002274</v>
      </c>
      <c r="T51" s="36">
        <f>eth_ON!T51 - eth_OFF!T51 - AVERAGE(T$62:T$63)</f>
        <v>0.84999999999996589</v>
      </c>
      <c r="U51" s="6" t="str">
        <f>IF(eth_OFF!U51, (eth_ON!U51+500-eth_ON!U$64) - (eth_OFF!U51+500-eth_OFF!U$64) - AVERAGE($B$62:$AK$63), "")</f>
        <v/>
      </c>
      <c r="V51" s="6" t="str">
        <f>IF(eth_OFF!V51, (eth_ON!V51+500-eth_ON!V$64) - (eth_OFF!V51+500-eth_OFF!V$64) - AVERAGE(V$62:V$63), "")</f>
        <v/>
      </c>
      <c r="W51" s="6" t="str">
        <f>IF(eth_OFF!W51, (eth_ON!W51+500-eth_ON!W$64) - (eth_OFF!W51+500-eth_OFF!W$64) - AVERAGE(W$62:W$63), "")</f>
        <v/>
      </c>
      <c r="X51" s="6" t="str">
        <f>IF(eth_OFF!X51, (eth_ON!X51+500-eth_ON!X$64) - (eth_OFF!X51+500-eth_OFF!X$64) - AVERAGE(X$62:X$63), "")</f>
        <v/>
      </c>
      <c r="Y51" s="6" t="str">
        <f>IF(eth_OFF!Y51, (eth_ON!Y51+500-eth_ON!Y$64) - (eth_OFF!Y51+500-eth_OFF!Y$64) - AVERAGE(Y$62:Y$63), "")</f>
        <v/>
      </c>
      <c r="Z51" s="6" t="str">
        <f>IF(eth_OFF!Z51, (eth_ON!Z51+500-eth_ON!Z$64) - (eth_OFF!Z51+500-eth_OFF!Z$64) - AVERAGE(Z$62:Z$63), "")</f>
        <v/>
      </c>
      <c r="AA51" s="6" t="str">
        <f>IF(eth_OFF!AA51, (eth_ON!AA51+500-eth_ON!AA$64) - (eth_OFF!AA51+500-eth_OFF!AA$64) - AVERAGE(AA$62:AA$63), "")</f>
        <v/>
      </c>
      <c r="AB51" s="6" t="str">
        <f>IF(eth_OFF!AB51, (eth_ON!AB51+500-eth_ON!AB$64) - (eth_OFF!AB51+500-eth_OFF!AB$64) - AVERAGE(AB$62:AB$63), "")</f>
        <v/>
      </c>
      <c r="AC51" s="6" t="str">
        <f>IF(eth_OFF!AC51, (eth_ON!AC51+500-eth_ON!AC$64) - (eth_OFF!AC51+500-eth_OFF!AC$64) - AVERAGE(AC$62:AC$63), "")</f>
        <v/>
      </c>
      <c r="AD51" s="6" t="str">
        <f>IF(eth_OFF!AD51, (eth_ON!AD51+500-eth_ON!AD$64) - (eth_OFF!AD51+500-eth_OFF!AD$64) - AVERAGE(AD$62:AD$63), "")</f>
        <v/>
      </c>
      <c r="AE51" s="6" t="str">
        <f>IF(eth_OFF!AE51, (eth_ON!AE51+500-eth_ON!AE$64) - (eth_OFF!AE51+500-eth_OFF!AE$64) - AVERAGE(AE$62:AE$63), "")</f>
        <v/>
      </c>
      <c r="AF51" s="6" t="str">
        <f>IF(eth_OFF!AF51, (eth_ON!AF51+500-eth_ON!AF$64) - (eth_OFF!AF51+500-eth_OFF!AF$64) - AVERAGE(AF$62:AF$63), "")</f>
        <v/>
      </c>
      <c r="AG51" s="7" t="str">
        <f>IF(eth_OFF!AG51, (eth_ON!AG51+500-eth_ON!AG$64) - (eth_OFF!AG51+500-eth_OFF!AG$64) - AVERAGE(AG$62:AG$63), "")</f>
        <v/>
      </c>
      <c r="AH51" s="7" t="str">
        <f>IF(eth_OFF!AH51, (eth_ON!AH51+500-eth_ON!AH$64) - (eth_OFF!AH51+500-eth_OFF!AH$64) - AVERAGE(AH$62:AH$63), "")</f>
        <v/>
      </c>
      <c r="AI51" s="7" t="str">
        <f>IF(eth_OFF!AI51, (eth_ON!AI51+500-eth_ON!AI$64) - (eth_OFF!AI51+500-eth_OFF!AI$64) - AVERAGE(AI$62:AI$63), "")</f>
        <v/>
      </c>
      <c r="AJ51" s="7" t="str">
        <f>IF(eth_OFF!AJ51, (eth_ON!AJ51+500-eth_ON!AJ$64) - (eth_OFF!AJ51+500-eth_OFF!AJ$64) - AVERAGE(AJ$62:AJ$63), "")</f>
        <v/>
      </c>
      <c r="AK51" s="15" t="str">
        <f>IF(eth_OFF!AK51, (eth_ON!AK51+500-eth_ON!AK$64) - (eth_OFF!AK51+500-eth_OFF!AK$64) - AVERAGE(AK$62:AK$63), "")</f>
        <v/>
      </c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1:65">
      <c r="A52" s="1">
        <v>51</v>
      </c>
      <c r="B52" s="36">
        <f>eth_ON!B52 - eth_OFF!B52 - AVERAGE(B$62:B$63)</f>
        <v>1.8000000000000114</v>
      </c>
      <c r="C52" s="36">
        <f>eth_ON!C52 - eth_OFF!C52 - AVERAGE(C$62:C$63)</f>
        <v>1.9499999999999886</v>
      </c>
      <c r="D52" s="36">
        <f>eth_ON!D52 - eth_OFF!D52 - AVERAGE(D$62:D$63)</f>
        <v>2.3000000000000114</v>
      </c>
      <c r="E52" s="36">
        <f>eth_ON!E52 - eth_OFF!E52 - AVERAGE(E$62:E$63)</f>
        <v>1.7499999999999716</v>
      </c>
      <c r="F52" s="36">
        <f>eth_ON!F52 - eth_OFF!F52 - AVERAGE(F$62:F$63)</f>
        <v>2.0000000000000284</v>
      </c>
      <c r="G52" s="36">
        <f>eth_ON!G52 - eth_OFF!G52 - AVERAGE(G$62:G$63)</f>
        <v>1.9000000000000057</v>
      </c>
      <c r="H52" s="36">
        <f>eth_ON!H52 - eth_OFF!H52 - AVERAGE(H$62:H$63)</f>
        <v>3.6500000000000057</v>
      </c>
      <c r="I52" s="36">
        <f>eth_ON!I52 - eth_OFF!I52 - AVERAGE(I$62:I$63)</f>
        <v>1.7000000000000455</v>
      </c>
      <c r="J52" s="36">
        <f>eth_ON!J52 - eth_OFF!J52 - AVERAGE(J$62:J$63)</f>
        <v>0.69999999999996021</v>
      </c>
      <c r="K52" s="36" t="e">
        <f>eth_ON!K52 - eth_OFF!K52 - AVERAGE(K$62:K$63)</f>
        <v>#VALUE!</v>
      </c>
      <c r="L52" s="36">
        <f>eth_ON!L52 - eth_OFF!L52 - AVERAGE(L$62:L$63)</f>
        <v>1.1999999999999318</v>
      </c>
      <c r="M52" s="36">
        <f>eth_ON!M52 - eth_OFF!M52 - AVERAGE(M$62:M$63)</f>
        <v>1.2500000000000284</v>
      </c>
      <c r="N52" s="36">
        <f>eth_ON!N52 - eth_OFF!N52 - AVERAGE(N$62:N$63)</f>
        <v>0.94999999999998863</v>
      </c>
      <c r="O52" s="36">
        <f>eth_ON!O52 - eth_OFF!O52 - AVERAGE(O$62:O$63)</f>
        <v>1.1000000000000512</v>
      </c>
      <c r="P52" s="36">
        <f>eth_ON!P52 - eth_OFF!P52 - AVERAGE(P$62:P$63)</f>
        <v>0.90000000000000568</v>
      </c>
      <c r="Q52" s="36">
        <f>eth_ON!Q52 - eth_OFF!Q52 - AVERAGE(Q$62:Q$63)</f>
        <v>0.55000000000001137</v>
      </c>
      <c r="R52" s="36">
        <f>eth_ON!R52 - eth_OFF!R52 - AVERAGE(R$62:R$63)</f>
        <v>0.35000000000002274</v>
      </c>
      <c r="S52" s="36">
        <f>eth_ON!S52 - eth_OFF!S52 - AVERAGE(S$62:S$63)</f>
        <v>0.35000000000002274</v>
      </c>
      <c r="T52" s="36">
        <f>eth_ON!T52 - eth_OFF!T52 - AVERAGE(T$62:T$63)</f>
        <v>1.0499999999999545</v>
      </c>
      <c r="U52" s="6" t="str">
        <f>IF(eth_OFF!U52, (eth_ON!U52+500-eth_ON!U$64) - (eth_OFF!U52+500-eth_OFF!U$64) - AVERAGE($B$62:$AK$63), "")</f>
        <v/>
      </c>
      <c r="V52" s="6" t="str">
        <f>IF(eth_OFF!V52, (eth_ON!V52+500-eth_ON!V$64) - (eth_OFF!V52+500-eth_OFF!V$64) - AVERAGE(V$62:V$63), "")</f>
        <v/>
      </c>
      <c r="W52" s="6" t="str">
        <f>IF(eth_OFF!W52, (eth_ON!W52+500-eth_ON!W$64) - (eth_OFF!W52+500-eth_OFF!W$64) - AVERAGE(W$62:W$63), "")</f>
        <v/>
      </c>
      <c r="X52" s="6" t="str">
        <f>IF(eth_OFF!X52, (eth_ON!X52+500-eth_ON!X$64) - (eth_OFF!X52+500-eth_OFF!X$64) - AVERAGE(X$62:X$63), "")</f>
        <v/>
      </c>
      <c r="Y52" s="6" t="str">
        <f>IF(eth_OFF!Y52, (eth_ON!Y52+500-eth_ON!Y$64) - (eth_OFF!Y52+500-eth_OFF!Y$64) - AVERAGE(Y$62:Y$63), "")</f>
        <v/>
      </c>
      <c r="Z52" s="6" t="str">
        <f>IF(eth_OFF!Z52, (eth_ON!Z52+500-eth_ON!Z$64) - (eth_OFF!Z52+500-eth_OFF!Z$64) - AVERAGE(Z$62:Z$63), "")</f>
        <v/>
      </c>
      <c r="AA52" s="6" t="str">
        <f>IF(eth_OFF!AA52, (eth_ON!AA52+500-eth_ON!AA$64) - (eth_OFF!AA52+500-eth_OFF!AA$64) - AVERAGE(AA$62:AA$63), "")</f>
        <v/>
      </c>
      <c r="AB52" s="6" t="str">
        <f>IF(eth_OFF!AB52, (eth_ON!AB52+500-eth_ON!AB$64) - (eth_OFF!AB52+500-eth_OFF!AB$64) - AVERAGE(AB$62:AB$63), "")</f>
        <v/>
      </c>
      <c r="AC52" s="6" t="str">
        <f>IF(eth_OFF!AC52, (eth_ON!AC52+500-eth_ON!AC$64) - (eth_OFF!AC52+500-eth_OFF!AC$64) - AVERAGE(AC$62:AC$63), "")</f>
        <v/>
      </c>
      <c r="AD52" s="6" t="str">
        <f>IF(eth_OFF!AD52, (eth_ON!AD52+500-eth_ON!AD$64) - (eth_OFF!AD52+500-eth_OFF!AD$64) - AVERAGE(AD$62:AD$63), "")</f>
        <v/>
      </c>
      <c r="AE52" s="6" t="str">
        <f>IF(eth_OFF!AE52, (eth_ON!AE52+500-eth_ON!AE$64) - (eth_OFF!AE52+500-eth_OFF!AE$64) - AVERAGE(AE$62:AE$63), "")</f>
        <v/>
      </c>
      <c r="AF52" s="6" t="str">
        <f>IF(eth_OFF!AF52, (eth_ON!AF52+500-eth_ON!AF$64) - (eth_OFF!AF52+500-eth_OFF!AF$64) - AVERAGE(AF$62:AF$63), "")</f>
        <v/>
      </c>
      <c r="AG52" s="7" t="str">
        <f>IF(eth_OFF!AG52, (eth_ON!AG52+500-eth_ON!AG$64) - (eth_OFF!AG52+500-eth_OFF!AG$64) - AVERAGE(AG$62:AG$63), "")</f>
        <v/>
      </c>
      <c r="AH52" s="7" t="str">
        <f>IF(eth_OFF!AH52, (eth_ON!AH52+500-eth_ON!AH$64) - (eth_OFF!AH52+500-eth_OFF!AH$64) - AVERAGE(AH$62:AH$63), "")</f>
        <v/>
      </c>
      <c r="AI52" s="7" t="str">
        <f>IF(eth_OFF!AI52, (eth_ON!AI52+500-eth_ON!AI$64) - (eth_OFF!AI52+500-eth_OFF!AI$64) - AVERAGE(AI$62:AI$63), "")</f>
        <v/>
      </c>
      <c r="AJ52" s="7" t="str">
        <f>IF(eth_OFF!AJ52, (eth_ON!AJ52+500-eth_ON!AJ$64) - (eth_OFF!AJ52+500-eth_OFF!AJ$64) - AVERAGE(AJ$62:AJ$63), "")</f>
        <v/>
      </c>
      <c r="AK52" s="15" t="str">
        <f>IF(eth_OFF!AK52, (eth_ON!AK52+500-eth_ON!AK$64) - (eth_OFF!AK52+500-eth_OFF!AK$64) - AVERAGE(AK$62:AK$63), "")</f>
        <v/>
      </c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 spans="1:65">
      <c r="A53" s="1">
        <v>52</v>
      </c>
      <c r="B53" s="36">
        <f>eth_ON!B53 - eth_OFF!B53 - AVERAGE(B$62:B$63)</f>
        <v>0.29999999999995453</v>
      </c>
      <c r="C53" s="36">
        <f>eth_ON!C53 - eth_OFF!C53 - AVERAGE(C$62:C$63)</f>
        <v>1.0500000000000114</v>
      </c>
      <c r="D53" s="36">
        <f>eth_ON!D53 - eth_OFF!D53 - AVERAGE(D$62:D$63)</f>
        <v>1.3000000000000682</v>
      </c>
      <c r="E53" s="36">
        <f>eth_ON!E53 - eth_OFF!E53 - AVERAGE(E$62:E$63)</f>
        <v>1.0500000000000398</v>
      </c>
      <c r="F53" s="36">
        <f>eth_ON!F53 - eth_OFF!F53 - AVERAGE(F$62:F$63)</f>
        <v>1.3000000000000398</v>
      </c>
      <c r="G53" s="36">
        <f>eth_ON!G53 - eth_OFF!G53 - AVERAGE(G$62:G$63)</f>
        <v>0.70000000000001705</v>
      </c>
      <c r="H53" s="36">
        <f>eth_ON!H53 - eth_OFF!H53 - AVERAGE(H$62:H$63)</f>
        <v>0.65000000000000568</v>
      </c>
      <c r="I53" s="36">
        <f>eth_ON!I53 - eth_OFF!I53 - AVERAGE(I$62:I$63)</f>
        <v>1.1000000000000796</v>
      </c>
      <c r="J53" s="36">
        <f>eth_ON!J53 - eth_OFF!J53 - AVERAGE(J$62:J$63)</f>
        <v>1.0000000000000284</v>
      </c>
      <c r="K53" s="36">
        <f>eth_ON!K53 - eth_OFF!K53 - AVERAGE(K$62:K$63)</f>
        <v>1.25</v>
      </c>
      <c r="L53" s="36">
        <f>eth_ON!L53 - eth_OFF!L53 - AVERAGE(L$62:L$63)</f>
        <v>0.49999999999994316</v>
      </c>
      <c r="M53" s="36">
        <f>eth_ON!M53 - eth_OFF!M53 - AVERAGE(M$62:M$63)</f>
        <v>0.44999999999996021</v>
      </c>
      <c r="N53" s="36">
        <f>eth_ON!N53 - eth_OFF!N53 - AVERAGE(N$62:N$63)</f>
        <v>0.34999999999996589</v>
      </c>
      <c r="O53" s="36">
        <f>eth_ON!O53 - eth_OFF!O53 - AVERAGE(O$62:O$63)</f>
        <v>1.0999999999999943</v>
      </c>
      <c r="P53" s="36">
        <f>eth_ON!P53 - eth_OFF!P53 - AVERAGE(P$62:P$63)</f>
        <v>0.69999999999996021</v>
      </c>
      <c r="Q53" s="36">
        <f>eth_ON!Q53 - eth_OFF!Q53 - AVERAGE(Q$62:Q$63)</f>
        <v>0.35000000000002274</v>
      </c>
      <c r="R53" s="36">
        <f>eth_ON!R53 - eth_OFF!R53 - AVERAGE(R$62:R$63)</f>
        <v>-0.25</v>
      </c>
      <c r="S53" s="36">
        <f>eth_ON!S53 - eth_OFF!S53 - AVERAGE(S$62:S$63)</f>
        <v>0.45000000000004547</v>
      </c>
      <c r="T53" s="36">
        <f>eth_ON!T53 - eth_OFF!T53 - AVERAGE(T$62:T$63)</f>
        <v>0.55000000000001137</v>
      </c>
      <c r="U53" s="6" t="str">
        <f>IF(eth_OFF!U53, (eth_ON!U53+500-eth_ON!U$64) - (eth_OFF!U53+500-eth_OFF!U$64) - AVERAGE($B$62:$AK$63), "")</f>
        <v/>
      </c>
      <c r="V53" s="6" t="str">
        <f>IF(eth_OFF!V53, (eth_ON!V53+500-eth_ON!V$64) - (eth_OFF!V53+500-eth_OFF!V$64) - AVERAGE(V$62:V$63), "")</f>
        <v/>
      </c>
      <c r="W53" s="6" t="str">
        <f>IF(eth_OFF!W53, (eth_ON!W53+500-eth_ON!W$64) - (eth_OFF!W53+500-eth_OFF!W$64) - AVERAGE(W$62:W$63), "")</f>
        <v/>
      </c>
      <c r="X53" s="6" t="str">
        <f>IF(eth_OFF!X53, (eth_ON!X53+500-eth_ON!X$64) - (eth_OFF!X53+500-eth_OFF!X$64) - AVERAGE(X$62:X$63), "")</f>
        <v/>
      </c>
      <c r="Y53" s="6" t="str">
        <f>IF(eth_OFF!Y53, (eth_ON!Y53+500-eth_ON!Y$64) - (eth_OFF!Y53+500-eth_OFF!Y$64) - AVERAGE(Y$62:Y$63), "")</f>
        <v/>
      </c>
      <c r="Z53" s="6" t="str">
        <f>IF(eth_OFF!Z53, (eth_ON!Z53+500-eth_ON!Z$64) - (eth_OFF!Z53+500-eth_OFF!Z$64) - AVERAGE(Z$62:Z$63), "")</f>
        <v/>
      </c>
      <c r="AA53" s="6" t="str">
        <f>IF(eth_OFF!AA53, (eth_ON!AA53+500-eth_ON!AA$64) - (eth_OFF!AA53+500-eth_OFF!AA$64) - AVERAGE(AA$62:AA$63), "")</f>
        <v/>
      </c>
      <c r="AB53" s="6" t="str">
        <f>IF(eth_OFF!AB53, (eth_ON!AB53+500-eth_ON!AB$64) - (eth_OFF!AB53+500-eth_OFF!AB$64) - AVERAGE(AB$62:AB$63), "")</f>
        <v/>
      </c>
      <c r="AC53" s="6" t="str">
        <f>IF(eth_OFF!AC53, (eth_ON!AC53+500-eth_ON!AC$64) - (eth_OFF!AC53+500-eth_OFF!AC$64) - AVERAGE(AC$62:AC$63), "")</f>
        <v/>
      </c>
      <c r="AD53" s="6" t="str">
        <f>IF(eth_OFF!AD53, (eth_ON!AD53+500-eth_ON!AD$64) - (eth_OFF!AD53+500-eth_OFF!AD$64) - AVERAGE(AD$62:AD$63), "")</f>
        <v/>
      </c>
      <c r="AE53" s="6" t="str">
        <f>IF(eth_OFF!AE53, (eth_ON!AE53+500-eth_ON!AE$64) - (eth_OFF!AE53+500-eth_OFF!AE$64) - AVERAGE(AE$62:AE$63), "")</f>
        <v/>
      </c>
      <c r="AF53" s="6" t="str">
        <f>IF(eth_OFF!AF53, (eth_ON!AF53+500-eth_ON!AF$64) - (eth_OFF!AF53+500-eth_OFF!AF$64) - AVERAGE(AF$62:AF$63), "")</f>
        <v/>
      </c>
      <c r="AG53" s="7" t="str">
        <f>IF(eth_OFF!AG53, (eth_ON!AG53+500-eth_ON!AG$64) - (eth_OFF!AG53+500-eth_OFF!AG$64) - AVERAGE(AG$62:AG$63), "")</f>
        <v/>
      </c>
      <c r="AH53" s="7" t="str">
        <f>IF(eth_OFF!AH53, (eth_ON!AH53+500-eth_ON!AH$64) - (eth_OFF!AH53+500-eth_OFF!AH$64) - AVERAGE(AH$62:AH$63), "")</f>
        <v/>
      </c>
      <c r="AI53" s="7" t="str">
        <f>IF(eth_OFF!AI53, (eth_ON!AI53+500-eth_ON!AI$64) - (eth_OFF!AI53+500-eth_OFF!AI$64) - AVERAGE(AI$62:AI$63), "")</f>
        <v/>
      </c>
      <c r="AJ53" s="7" t="str">
        <f>IF(eth_OFF!AJ53, (eth_ON!AJ53+500-eth_ON!AJ$64) - (eth_OFF!AJ53+500-eth_OFF!AJ$64) - AVERAGE(AJ$62:AJ$63), "")</f>
        <v/>
      </c>
      <c r="AK53" s="15" t="str">
        <f>IF(eth_OFF!AK53, (eth_ON!AK53+500-eth_ON!AK$64) - (eth_OFF!AK53+500-eth_OFF!AK$64) - AVERAGE(AK$62:AK$63), "")</f>
        <v/>
      </c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 spans="1:65">
      <c r="A54" s="1">
        <v>53</v>
      </c>
      <c r="B54" s="36">
        <f>eth_ON!B54 - eth_OFF!B54 - AVERAGE(B$62:B$63)</f>
        <v>2.8000000000000114</v>
      </c>
      <c r="C54" s="36">
        <f>eth_ON!C54 - eth_OFF!C54 - AVERAGE(C$62:C$63)</f>
        <v>6.1499999999999773</v>
      </c>
      <c r="D54" s="36">
        <f>eth_ON!D54 - eth_OFF!D54 - AVERAGE(D$62:D$63)</f>
        <v>3.6000000000000796</v>
      </c>
      <c r="E54" s="36">
        <f>eth_ON!E54 - eth_OFF!E54 - AVERAGE(E$62:E$63)</f>
        <v>4.6500000000000057</v>
      </c>
      <c r="F54" s="36">
        <f>eth_ON!F54 - eth_OFF!F54 - AVERAGE(F$62:F$63)</f>
        <v>4.4000000000000057</v>
      </c>
      <c r="G54" s="36">
        <f>eth_ON!G54 - eth_OFF!G54 - AVERAGE(G$62:G$63)</f>
        <v>4.0000000000000284</v>
      </c>
      <c r="H54" s="36">
        <f>eth_ON!H54 - eth_OFF!H54 - AVERAGE(H$62:H$63)</f>
        <v>4.9500000000000171</v>
      </c>
      <c r="I54" s="36">
        <f>eth_ON!I54 - eth_OFF!I54 - AVERAGE(I$62:I$63)</f>
        <v>5.7000000000000455</v>
      </c>
      <c r="J54" s="36">
        <f>eth_ON!J54 - eth_OFF!J54 - AVERAGE(J$62:J$63)</f>
        <v>4.5999999999999943</v>
      </c>
      <c r="K54" s="36">
        <f>eth_ON!K54 - eth_OFF!K54 - AVERAGE(K$62:K$63)</f>
        <v>3.5500000000000114</v>
      </c>
      <c r="L54" s="36">
        <f>eth_ON!L54 - eth_OFF!L54 - AVERAGE(L$62:L$63)</f>
        <v>4.5</v>
      </c>
      <c r="M54" s="36">
        <f>eth_ON!M54 - eth_OFF!M54 - AVERAGE(M$62:M$63)</f>
        <v>3.6499999999999488</v>
      </c>
      <c r="N54" s="36">
        <f>eth_ON!N54 - eth_OFF!N54 - AVERAGE(N$62:N$63)</f>
        <v>4.0500000000000114</v>
      </c>
      <c r="O54" s="36">
        <f>eth_ON!O54 - eth_OFF!O54 - AVERAGE(O$62:O$63)</f>
        <v>8.7999999999999829</v>
      </c>
      <c r="P54" s="36">
        <f>eth_ON!P54 - eth_OFF!P54 - AVERAGE(P$62:P$63)</f>
        <v>4.0999999999999943</v>
      </c>
      <c r="Q54" s="36">
        <f>eth_ON!Q54 - eth_OFF!Q54 - AVERAGE(Q$62:Q$63)</f>
        <v>2.0500000000000114</v>
      </c>
      <c r="R54" s="36">
        <f>eth_ON!R54 - eth_OFF!R54 - AVERAGE(R$62:R$63)</f>
        <v>2.9499999999999886</v>
      </c>
      <c r="S54" s="36">
        <f>eth_ON!S54 - eth_OFF!S54 - AVERAGE(S$62:S$63)</f>
        <v>3.4499999999999886</v>
      </c>
      <c r="T54" s="36">
        <f>eth_ON!T54 - eth_OFF!T54 - AVERAGE(T$62:T$63)</f>
        <v>5.1499999999999773</v>
      </c>
      <c r="U54" s="6" t="str">
        <f>IF(eth_OFF!U54, (eth_ON!U54+500-eth_ON!U$64) - (eth_OFF!U54+500-eth_OFF!U$64) - AVERAGE($B$62:$AK$63), "")</f>
        <v/>
      </c>
      <c r="V54" s="6" t="str">
        <f>IF(eth_OFF!V54, (eth_ON!V54+500-eth_ON!V$64) - (eth_OFF!V54+500-eth_OFF!V$64) - AVERAGE(V$62:V$63), "")</f>
        <v/>
      </c>
      <c r="W54" s="6" t="str">
        <f>IF(eth_OFF!W54, (eth_ON!W54+500-eth_ON!W$64) - (eth_OFF!W54+500-eth_OFF!W$64) - AVERAGE(W$62:W$63), "")</f>
        <v/>
      </c>
      <c r="X54" s="6" t="str">
        <f>IF(eth_OFF!X54, (eth_ON!X54+500-eth_ON!X$64) - (eth_OFF!X54+500-eth_OFF!X$64) - AVERAGE(X$62:X$63), "")</f>
        <v/>
      </c>
      <c r="Y54" s="6" t="str">
        <f>IF(eth_OFF!Y54, (eth_ON!Y54+500-eth_ON!Y$64) - (eth_OFF!Y54+500-eth_OFF!Y$64) - AVERAGE(Y$62:Y$63), "")</f>
        <v/>
      </c>
      <c r="Z54" s="6" t="str">
        <f>IF(eth_OFF!Z54, (eth_ON!Z54+500-eth_ON!Z$64) - (eth_OFF!Z54+500-eth_OFF!Z$64) - AVERAGE(Z$62:Z$63), "")</f>
        <v/>
      </c>
      <c r="AA54" s="6" t="str">
        <f>IF(eth_OFF!AA54, (eth_ON!AA54+500-eth_ON!AA$64) - (eth_OFF!AA54+500-eth_OFF!AA$64) - AVERAGE(AA$62:AA$63), "")</f>
        <v/>
      </c>
      <c r="AB54" s="6" t="str">
        <f>IF(eth_OFF!AB54, (eth_ON!AB54+500-eth_ON!AB$64) - (eth_OFF!AB54+500-eth_OFF!AB$64) - AVERAGE(AB$62:AB$63), "")</f>
        <v/>
      </c>
      <c r="AC54" s="6" t="str">
        <f>IF(eth_OFF!AC54, (eth_ON!AC54+500-eth_ON!AC$64) - (eth_OFF!AC54+500-eth_OFF!AC$64) - AVERAGE(AC$62:AC$63), "")</f>
        <v/>
      </c>
      <c r="AD54" s="6" t="str">
        <f>IF(eth_OFF!AD54, (eth_ON!AD54+500-eth_ON!AD$64) - (eth_OFF!AD54+500-eth_OFF!AD$64) - AVERAGE(AD$62:AD$63), "")</f>
        <v/>
      </c>
      <c r="AE54" s="6" t="str">
        <f>IF(eth_OFF!AE54, (eth_ON!AE54+500-eth_ON!AE$64) - (eth_OFF!AE54+500-eth_OFF!AE$64) - AVERAGE(AE$62:AE$63), "")</f>
        <v/>
      </c>
      <c r="AF54" s="6" t="str">
        <f>IF(eth_OFF!AF54, (eth_ON!AF54+500-eth_ON!AF$64) - (eth_OFF!AF54+500-eth_OFF!AF$64) - AVERAGE(AF$62:AF$63), "")</f>
        <v/>
      </c>
      <c r="AG54" s="7" t="str">
        <f>IF(eth_OFF!AG54, (eth_ON!AG54+500-eth_ON!AG$64) - (eth_OFF!AG54+500-eth_OFF!AG$64) - AVERAGE(AG$62:AG$63), "")</f>
        <v/>
      </c>
      <c r="AH54" s="7" t="str">
        <f>IF(eth_OFF!AH54, (eth_ON!AH54+500-eth_ON!AH$64) - (eth_OFF!AH54+500-eth_OFF!AH$64) - AVERAGE(AH$62:AH$63), "")</f>
        <v/>
      </c>
      <c r="AI54" s="7" t="str">
        <f>IF(eth_OFF!AI54, (eth_ON!AI54+500-eth_ON!AI$64) - (eth_OFF!AI54+500-eth_OFF!AI$64) - AVERAGE(AI$62:AI$63), "")</f>
        <v/>
      </c>
      <c r="AJ54" s="7" t="str">
        <f>IF(eth_OFF!AJ54, (eth_ON!AJ54+500-eth_ON!AJ$64) - (eth_OFF!AJ54+500-eth_OFF!AJ$64) - AVERAGE(AJ$62:AJ$63), "")</f>
        <v/>
      </c>
      <c r="AK54" s="15" t="str">
        <f>IF(eth_OFF!AK54, (eth_ON!AK54+500-eth_ON!AK$64) - (eth_OFF!AK54+500-eth_OFF!AK$64) - AVERAGE(AK$62:AK$63), "")</f>
        <v/>
      </c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1:65">
      <c r="A55" s="1">
        <v>54</v>
      </c>
      <c r="B55" s="36">
        <f>eth_ON!B55 - eth_OFF!B55 - AVERAGE(B$62:B$63)</f>
        <v>3.0999999999999659</v>
      </c>
      <c r="C55" s="36">
        <f>eth_ON!C55 - eth_OFF!C55 - AVERAGE(C$62:C$63)</f>
        <v>1.3500000000000227</v>
      </c>
      <c r="D55" s="36">
        <f>eth_ON!D55 - eth_OFF!D55 - AVERAGE(D$62:D$63)</f>
        <v>1.9000000000000341</v>
      </c>
      <c r="E55" s="36">
        <f>eth_ON!E55 - eth_OFF!E55 - AVERAGE(E$62:E$63)</f>
        <v>2.8499999999999943</v>
      </c>
      <c r="F55" s="36">
        <f>eth_ON!F55 - eth_OFF!F55 - AVERAGE(F$62:F$63)</f>
        <v>3.4999999999999716</v>
      </c>
      <c r="G55" s="36">
        <f>eth_ON!G55 - eth_OFF!G55 - AVERAGE(G$62:G$63)</f>
        <v>2.5000000000000284</v>
      </c>
      <c r="H55" s="36">
        <f>eth_ON!H55 - eth_OFF!H55 - AVERAGE(H$62:H$63)</f>
        <v>2.8499999999999943</v>
      </c>
      <c r="I55" s="36">
        <f>eth_ON!I55 - eth_OFF!I55 - AVERAGE(I$62:I$63)</f>
        <v>2.9000000000000341</v>
      </c>
      <c r="J55" s="36">
        <f>eth_ON!J55 - eth_OFF!J55 - AVERAGE(J$62:J$63)</f>
        <v>3.0999999999999943</v>
      </c>
      <c r="K55" s="36">
        <f>eth_ON!K55 - eth_OFF!K55 - AVERAGE(K$62:K$63)</f>
        <v>2.9500000000000455</v>
      </c>
      <c r="L55" s="36">
        <f>eth_ON!L55 - eth_OFF!L55 - AVERAGE(L$62:L$63)</f>
        <v>3.0999999999999659</v>
      </c>
      <c r="M55" s="36">
        <f>eth_ON!M55 - eth_OFF!M55 - AVERAGE(M$62:M$63)</f>
        <v>1.0499999999999829</v>
      </c>
      <c r="N55" s="36">
        <f>eth_ON!N55 - eth_OFF!N55 - AVERAGE(N$62:N$63)</f>
        <v>3.0500000000000114</v>
      </c>
      <c r="O55" s="36">
        <f>eth_ON!O55 - eth_OFF!O55 - AVERAGE(O$62:O$63)</f>
        <v>3.3000000000000398</v>
      </c>
      <c r="P55" s="36">
        <f>eth_ON!P55 - eth_OFF!P55 - AVERAGE(P$62:P$63)</f>
        <v>1.5999999999999943</v>
      </c>
      <c r="Q55" s="36">
        <f>eth_ON!Q55 - eth_OFF!Q55 - AVERAGE(Q$62:Q$63)</f>
        <v>1.6499999999999773</v>
      </c>
      <c r="R55" s="36">
        <f>eth_ON!R55 - eth_OFF!R55 - AVERAGE(R$62:R$63)</f>
        <v>1.5499999999999545</v>
      </c>
      <c r="S55" s="36">
        <f>eth_ON!S55 - eth_OFF!S55 - AVERAGE(S$62:S$63)</f>
        <v>1.2500000000000568</v>
      </c>
      <c r="T55" s="36">
        <f>eth_ON!T55 - eth_OFF!T55 - AVERAGE(T$62:T$63)</f>
        <v>1.25</v>
      </c>
      <c r="U55" s="6" t="str">
        <f>IF(eth_OFF!U55, (eth_ON!U55+500-eth_ON!U$64) - (eth_OFF!U55+500-eth_OFF!U$64) - AVERAGE($B$62:$AK$63), "")</f>
        <v/>
      </c>
      <c r="V55" s="6" t="str">
        <f>IF(eth_OFF!V55, (eth_ON!V55+500-eth_ON!V$64) - (eth_OFF!V55+500-eth_OFF!V$64) - AVERAGE(V$62:V$63), "")</f>
        <v/>
      </c>
      <c r="W55" s="6" t="str">
        <f>IF(eth_OFF!W55, (eth_ON!W55+500-eth_ON!W$64) - (eth_OFF!W55+500-eth_OFF!W$64) - AVERAGE(W$62:W$63), "")</f>
        <v/>
      </c>
      <c r="X55" s="6" t="str">
        <f>IF(eth_OFF!X55, (eth_ON!X55+500-eth_ON!X$64) - (eth_OFF!X55+500-eth_OFF!X$64) - AVERAGE(X$62:X$63), "")</f>
        <v/>
      </c>
      <c r="Y55" s="6" t="str">
        <f>IF(eth_OFF!Y55, (eth_ON!Y55+500-eth_ON!Y$64) - (eth_OFF!Y55+500-eth_OFF!Y$64) - AVERAGE(Y$62:Y$63), "")</f>
        <v/>
      </c>
      <c r="Z55" s="6" t="str">
        <f>IF(eth_OFF!Z55, (eth_ON!Z55+500-eth_ON!Z$64) - (eth_OFF!Z55+500-eth_OFF!Z$64) - AVERAGE(Z$62:Z$63), "")</f>
        <v/>
      </c>
      <c r="AA55" s="6" t="str">
        <f>IF(eth_OFF!AA55, (eth_ON!AA55+500-eth_ON!AA$64) - (eth_OFF!AA55+500-eth_OFF!AA$64) - AVERAGE(AA$62:AA$63), "")</f>
        <v/>
      </c>
      <c r="AB55" s="6" t="str">
        <f>IF(eth_OFF!AB55, (eth_ON!AB55+500-eth_ON!AB$64) - (eth_OFF!AB55+500-eth_OFF!AB$64) - AVERAGE(AB$62:AB$63), "")</f>
        <v/>
      </c>
      <c r="AC55" s="6" t="str">
        <f>IF(eth_OFF!AC55, (eth_ON!AC55+500-eth_ON!AC$64) - (eth_OFF!AC55+500-eth_OFF!AC$64) - AVERAGE(AC$62:AC$63), "")</f>
        <v/>
      </c>
      <c r="AD55" s="6" t="str">
        <f>IF(eth_OFF!AD55, (eth_ON!AD55+500-eth_ON!AD$64) - (eth_OFF!AD55+500-eth_OFF!AD$64) - AVERAGE(AD$62:AD$63), "")</f>
        <v/>
      </c>
      <c r="AE55" s="6" t="str">
        <f>IF(eth_OFF!AE55, (eth_ON!AE55+500-eth_ON!AE$64) - (eth_OFF!AE55+500-eth_OFF!AE$64) - AVERAGE(AE$62:AE$63), "")</f>
        <v/>
      </c>
      <c r="AF55" s="6" t="str">
        <f>IF(eth_OFF!AF55, (eth_ON!AF55+500-eth_ON!AF$64) - (eth_OFF!AF55+500-eth_OFF!AF$64) - AVERAGE(AF$62:AF$63), "")</f>
        <v/>
      </c>
      <c r="AG55" s="7" t="str">
        <f>IF(eth_OFF!AG55, (eth_ON!AG55+500-eth_ON!AG$64) - (eth_OFF!AG55+500-eth_OFF!AG$64) - AVERAGE(AG$62:AG$63), "")</f>
        <v/>
      </c>
      <c r="AH55" s="7" t="str">
        <f>IF(eth_OFF!AH55, (eth_ON!AH55+500-eth_ON!AH$64) - (eth_OFF!AH55+500-eth_OFF!AH$64) - AVERAGE(AH$62:AH$63), "")</f>
        <v/>
      </c>
      <c r="AI55" s="7" t="str">
        <f>IF(eth_OFF!AI55, (eth_ON!AI55+500-eth_ON!AI$64) - (eth_OFF!AI55+500-eth_OFF!AI$64) - AVERAGE(AI$62:AI$63), "")</f>
        <v/>
      </c>
      <c r="AJ55" s="7" t="str">
        <f>IF(eth_OFF!AJ55, (eth_ON!AJ55+500-eth_ON!AJ$64) - (eth_OFF!AJ55+500-eth_OFF!AJ$64) - AVERAGE(AJ$62:AJ$63), "")</f>
        <v/>
      </c>
      <c r="AK55" s="15" t="str">
        <f>IF(eth_OFF!AK55, (eth_ON!AK55+500-eth_ON!AK$64) - (eth_OFF!AK55+500-eth_OFF!AK$64) - AVERAGE(AK$62:AK$63), "")</f>
        <v/>
      </c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1:65">
      <c r="A56" s="1">
        <v>55</v>
      </c>
      <c r="B56" s="36">
        <f>eth_ON!B56 - eth_OFF!B56 - AVERAGE(B$62:B$63)</f>
        <v>2.0999999999999659</v>
      </c>
      <c r="C56" s="36">
        <f>eth_ON!C56 - eth_OFF!C56 - AVERAGE(C$62:C$63)</f>
        <v>1.0500000000000114</v>
      </c>
      <c r="D56" s="36">
        <f>eth_ON!D56 - eth_OFF!D56 - AVERAGE(D$62:D$63)</f>
        <v>0.90000000000003411</v>
      </c>
      <c r="E56" s="36">
        <f>eth_ON!E56 - eth_OFF!E56 - AVERAGE(E$62:E$63)</f>
        <v>0.84999999999999432</v>
      </c>
      <c r="F56" s="36">
        <f>eth_ON!F56 - eth_OFF!F56 - AVERAGE(F$62:F$63)</f>
        <v>1.2999999999999829</v>
      </c>
      <c r="G56" s="36">
        <f>eth_ON!G56 - eth_OFF!G56 - AVERAGE(G$62:G$63)</f>
        <v>1.2999999999999829</v>
      </c>
      <c r="H56" s="36">
        <f>eth_ON!H56 - eth_OFF!H56 - AVERAGE(H$62:H$63)</f>
        <v>1.6500000000000057</v>
      </c>
      <c r="I56" s="36">
        <f>eth_ON!I56 - eth_OFF!I56 - AVERAGE(I$62:I$63)</f>
        <v>4.3000000000000682</v>
      </c>
      <c r="J56" s="36">
        <f>eth_ON!J56 - eth_OFF!J56 - AVERAGE(J$62:J$63)</f>
        <v>0.79999999999998295</v>
      </c>
      <c r="K56" s="36">
        <f>eth_ON!K56 - eth_OFF!K56 - AVERAGE(K$62:K$63)</f>
        <v>0.75</v>
      </c>
      <c r="L56" s="36">
        <f>eth_ON!L56 - eth_OFF!L56 - AVERAGE(L$62:L$63)</f>
        <v>0.60000000000002274</v>
      </c>
      <c r="M56" s="36">
        <f>eth_ON!M56 - eth_OFF!M56 - AVERAGE(M$62:M$63)</f>
        <v>0.54999999999998295</v>
      </c>
      <c r="N56" s="36">
        <f>eth_ON!N56 - eth_OFF!N56 - AVERAGE(N$62:N$63)</f>
        <v>0.34999999999996589</v>
      </c>
      <c r="O56" s="36">
        <f>eth_ON!O56 - eth_OFF!O56 - AVERAGE(O$62:O$63)</f>
        <v>0.90000000000000568</v>
      </c>
      <c r="P56" s="36">
        <f>eth_ON!P56 - eth_OFF!P56 - AVERAGE(P$62:P$63)</f>
        <v>0.79999999999998295</v>
      </c>
      <c r="Q56" s="36">
        <f>eth_ON!Q56 - eth_OFF!Q56 - AVERAGE(Q$62:Q$63)</f>
        <v>0.25</v>
      </c>
      <c r="R56" s="36">
        <f>eth_ON!R56 - eth_OFF!R56 - AVERAGE(R$62:R$63)</f>
        <v>-5.0000000000011369E-2</v>
      </c>
      <c r="S56" s="36">
        <f>eth_ON!S56 - eth_OFF!S56 - AVERAGE(S$62:S$63)</f>
        <v>0.25</v>
      </c>
      <c r="T56" s="36">
        <f>eth_ON!T56 - eth_OFF!T56 - AVERAGE(T$62:T$63)</f>
        <v>0.25</v>
      </c>
      <c r="U56" s="6" t="str">
        <f>IF(eth_OFF!U56, (eth_ON!U56+500-eth_ON!U$64) - (eth_OFF!U56+500-eth_OFF!U$64) - AVERAGE($B$62:$AK$63), "")</f>
        <v/>
      </c>
      <c r="V56" s="6" t="str">
        <f>IF(eth_OFF!V56, (eth_ON!V56+500-eth_ON!V$64) - (eth_OFF!V56+500-eth_OFF!V$64) - AVERAGE(V$62:V$63), "")</f>
        <v/>
      </c>
      <c r="W56" s="6" t="str">
        <f>IF(eth_OFF!W56, (eth_ON!W56+500-eth_ON!W$64) - (eth_OFF!W56+500-eth_OFF!W$64) - AVERAGE(W$62:W$63), "")</f>
        <v/>
      </c>
      <c r="X56" s="6" t="str">
        <f>IF(eth_OFF!X56, (eth_ON!X56+500-eth_ON!X$64) - (eth_OFF!X56+500-eth_OFF!X$64) - AVERAGE(X$62:X$63), "")</f>
        <v/>
      </c>
      <c r="Y56" s="6" t="str">
        <f>IF(eth_OFF!Y56, (eth_ON!Y56+500-eth_ON!Y$64) - (eth_OFF!Y56+500-eth_OFF!Y$64) - AVERAGE(Y$62:Y$63), "")</f>
        <v/>
      </c>
      <c r="Z56" s="6" t="str">
        <f>IF(eth_OFF!Z56, (eth_ON!Z56+500-eth_ON!Z$64) - (eth_OFF!Z56+500-eth_OFF!Z$64) - AVERAGE(Z$62:Z$63), "")</f>
        <v/>
      </c>
      <c r="AA56" s="6" t="str">
        <f>IF(eth_OFF!AA56, (eth_ON!AA56+500-eth_ON!AA$64) - (eth_OFF!AA56+500-eth_OFF!AA$64) - AVERAGE(AA$62:AA$63), "")</f>
        <v/>
      </c>
      <c r="AB56" s="6" t="str">
        <f>IF(eth_OFF!AB56, (eth_ON!AB56+500-eth_ON!AB$64) - (eth_OFF!AB56+500-eth_OFF!AB$64) - AVERAGE(AB$62:AB$63), "")</f>
        <v/>
      </c>
      <c r="AC56" s="6" t="str">
        <f>IF(eth_OFF!AC56, (eth_ON!AC56+500-eth_ON!AC$64) - (eth_OFF!AC56+500-eth_OFF!AC$64) - AVERAGE(AC$62:AC$63), "")</f>
        <v/>
      </c>
      <c r="AD56" s="6" t="str">
        <f>IF(eth_OFF!AD56, (eth_ON!AD56+500-eth_ON!AD$64) - (eth_OFF!AD56+500-eth_OFF!AD$64) - AVERAGE(AD$62:AD$63), "")</f>
        <v/>
      </c>
      <c r="AE56" s="6" t="str">
        <f>IF(eth_OFF!AE56, (eth_ON!AE56+500-eth_ON!AE$64) - (eth_OFF!AE56+500-eth_OFF!AE$64) - AVERAGE(AE$62:AE$63), "")</f>
        <v/>
      </c>
      <c r="AF56" s="6" t="str">
        <f>IF(eth_OFF!AF56, (eth_ON!AF56+500-eth_ON!AF$64) - (eth_OFF!AF56+500-eth_OFF!AF$64) - AVERAGE(AF$62:AF$63), "")</f>
        <v/>
      </c>
      <c r="AG56" s="7" t="str">
        <f>IF(eth_OFF!AG56, (eth_ON!AG56+500-eth_ON!AG$64) - (eth_OFF!AG56+500-eth_OFF!AG$64) - AVERAGE(AG$62:AG$63), "")</f>
        <v/>
      </c>
      <c r="AH56" s="7" t="str">
        <f>IF(eth_OFF!AH56, (eth_ON!AH56+500-eth_ON!AH$64) - (eth_OFF!AH56+500-eth_OFF!AH$64) - AVERAGE(AH$62:AH$63), "")</f>
        <v/>
      </c>
      <c r="AI56" s="7" t="str">
        <f>IF(eth_OFF!AI56, (eth_ON!AI56+500-eth_ON!AI$64) - (eth_OFF!AI56+500-eth_OFF!AI$64) - AVERAGE(AI$62:AI$63), "")</f>
        <v/>
      </c>
      <c r="AJ56" s="7" t="str">
        <f>IF(eth_OFF!AJ56, (eth_ON!AJ56+500-eth_ON!AJ$64) - (eth_OFF!AJ56+500-eth_OFF!AJ$64) - AVERAGE(AJ$62:AJ$63), "")</f>
        <v/>
      </c>
      <c r="AK56" s="15" t="str">
        <f>IF(eth_OFF!AK56, (eth_ON!AK56+500-eth_ON!AK$64) - (eth_OFF!AK56+500-eth_OFF!AK$64) - AVERAGE(AK$62:AK$63), "")</f>
        <v/>
      </c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 spans="1:65">
      <c r="A57" s="1">
        <v>56</v>
      </c>
      <c r="B57" s="36">
        <f>eth_ON!B57 - eth_OFF!B57 - AVERAGE(B$62:B$63)</f>
        <v>1.3999999999999773</v>
      </c>
      <c r="C57" s="36">
        <f>eth_ON!C57 - eth_OFF!C57 - AVERAGE(C$62:C$63)</f>
        <v>1.4499999999999886</v>
      </c>
      <c r="D57" s="36">
        <f>eth_ON!D57 - eth_OFF!D57 - AVERAGE(D$62:D$63)</f>
        <v>1.3000000000000114</v>
      </c>
      <c r="E57" s="36">
        <f>eth_ON!E57 - eth_OFF!E57 - AVERAGE(E$62:E$63)</f>
        <v>1.5499999999999829</v>
      </c>
      <c r="F57" s="36">
        <f>eth_ON!F57 - eth_OFF!F57 - AVERAGE(F$62:F$63)</f>
        <v>2.1000000000000512</v>
      </c>
      <c r="G57" s="36">
        <f>eth_ON!G57 - eth_OFF!G57 - AVERAGE(G$62:G$63)</f>
        <v>1.6000000000000512</v>
      </c>
      <c r="H57" s="36">
        <f>eth_ON!H57 - eth_OFF!H57 - AVERAGE(H$62:H$63)</f>
        <v>2.0499999999999829</v>
      </c>
      <c r="I57" s="36">
        <f>eth_ON!I57 - eth_OFF!I57 - AVERAGE(I$62:I$63)</f>
        <v>1.2000000000000455</v>
      </c>
      <c r="J57" s="36">
        <f>eth_ON!J57 - eth_OFF!J57 - AVERAGE(J$62:J$63)</f>
        <v>1.7999999999999829</v>
      </c>
      <c r="K57" s="36">
        <f>eth_ON!K57 - eth_OFF!K57 - AVERAGE(K$62:K$63)</f>
        <v>0.35000000000002274</v>
      </c>
      <c r="L57" s="36">
        <f>eth_ON!L57 - eth_OFF!L57 - AVERAGE(L$62:L$63)</f>
        <v>0.59999999999996589</v>
      </c>
      <c r="M57" s="36">
        <f>eth_ON!M57 - eth_OFF!M57 - AVERAGE(M$62:M$63)</f>
        <v>0.95000000000001705</v>
      </c>
      <c r="N57" s="36">
        <f>eth_ON!N57 - eth_OFF!N57 - AVERAGE(N$62:N$63)</f>
        <v>0.34999999999996589</v>
      </c>
      <c r="O57" s="36">
        <f>eth_ON!O57 - eth_OFF!O57 - AVERAGE(O$62:O$63)</f>
        <v>1.0999999999999943</v>
      </c>
      <c r="P57" s="36">
        <f>eth_ON!P57 - eth_OFF!P57 - AVERAGE(P$62:P$63)</f>
        <v>0.89999999999994884</v>
      </c>
      <c r="Q57" s="36">
        <f>eth_ON!Q57 - eth_OFF!Q57 - AVERAGE(Q$62:Q$63)</f>
        <v>0.64999999999997726</v>
      </c>
      <c r="R57" s="36">
        <f>eth_ON!R57 - eth_OFF!R57 - AVERAGE(R$62:R$63)</f>
        <v>0.34999999999996589</v>
      </c>
      <c r="S57" s="36">
        <f>eth_ON!S57 - eth_OFF!S57 - AVERAGE(S$62:S$63)</f>
        <v>-4.9999999999954525E-2</v>
      </c>
      <c r="T57" s="36">
        <f>eth_ON!T57 - eth_OFF!T57 - AVERAGE(T$62:T$63)</f>
        <v>0.55000000000001137</v>
      </c>
      <c r="U57" s="6" t="str">
        <f>IF(eth_OFF!U57, (eth_ON!U57+500-eth_ON!U$64) - (eth_OFF!U57+500-eth_OFF!U$64) - AVERAGE($B$62:$AK$63), "")</f>
        <v/>
      </c>
      <c r="V57" s="6" t="str">
        <f>IF(eth_OFF!V57, (eth_ON!V57+500-eth_ON!V$64) - (eth_OFF!V57+500-eth_OFF!V$64) - AVERAGE(V$62:V$63), "")</f>
        <v/>
      </c>
      <c r="W57" s="6" t="str">
        <f>IF(eth_OFF!W57, (eth_ON!W57+500-eth_ON!W$64) - (eth_OFF!W57+500-eth_OFF!W$64) - AVERAGE(W$62:W$63), "")</f>
        <v/>
      </c>
      <c r="X57" s="6" t="str">
        <f>IF(eth_OFF!X57, (eth_ON!X57+500-eth_ON!X$64) - (eth_OFF!X57+500-eth_OFF!X$64) - AVERAGE(X$62:X$63), "")</f>
        <v/>
      </c>
      <c r="Y57" s="6" t="str">
        <f>IF(eth_OFF!Y57, (eth_ON!Y57+500-eth_ON!Y$64) - (eth_OFF!Y57+500-eth_OFF!Y$64) - AVERAGE(Y$62:Y$63), "")</f>
        <v/>
      </c>
      <c r="Z57" s="6" t="str">
        <f>IF(eth_OFF!Z57, (eth_ON!Z57+500-eth_ON!Z$64) - (eth_OFF!Z57+500-eth_OFF!Z$64) - AVERAGE(Z$62:Z$63), "")</f>
        <v/>
      </c>
      <c r="AA57" s="6" t="str">
        <f>IF(eth_OFF!AA57, (eth_ON!AA57+500-eth_ON!AA$64) - (eth_OFF!AA57+500-eth_OFF!AA$64) - AVERAGE(AA$62:AA$63), "")</f>
        <v/>
      </c>
      <c r="AB57" s="6" t="str">
        <f>IF(eth_OFF!AB57, (eth_ON!AB57+500-eth_ON!AB$64) - (eth_OFF!AB57+500-eth_OFF!AB$64) - AVERAGE(AB$62:AB$63), "")</f>
        <v/>
      </c>
      <c r="AC57" s="6" t="str">
        <f>IF(eth_OFF!AC57, (eth_ON!AC57+500-eth_ON!AC$64) - (eth_OFF!AC57+500-eth_OFF!AC$64) - AVERAGE(AC$62:AC$63), "")</f>
        <v/>
      </c>
      <c r="AD57" s="6" t="str">
        <f>IF(eth_OFF!AD57, (eth_ON!AD57+500-eth_ON!AD$64) - (eth_OFF!AD57+500-eth_OFF!AD$64) - AVERAGE(AD$62:AD$63), "")</f>
        <v/>
      </c>
      <c r="AE57" s="6" t="str">
        <f>IF(eth_OFF!AE57, (eth_ON!AE57+500-eth_ON!AE$64) - (eth_OFF!AE57+500-eth_OFF!AE$64) - AVERAGE(AE$62:AE$63), "")</f>
        <v/>
      </c>
      <c r="AF57" s="6" t="str">
        <f>IF(eth_OFF!AF57, (eth_ON!AF57+500-eth_ON!AF$64) - (eth_OFF!AF57+500-eth_OFF!AF$64) - AVERAGE(AF$62:AF$63), "")</f>
        <v/>
      </c>
      <c r="AG57" s="7" t="str">
        <f>IF(eth_OFF!AG57, (eth_ON!AG57+500-eth_ON!AG$64) - (eth_OFF!AG57+500-eth_OFF!AG$64) - AVERAGE(AG$62:AG$63), "")</f>
        <v/>
      </c>
      <c r="AH57" s="7" t="str">
        <f>IF(eth_OFF!AH57, (eth_ON!AH57+500-eth_ON!AH$64) - (eth_OFF!AH57+500-eth_OFF!AH$64) - AVERAGE(AH$62:AH$63), "")</f>
        <v/>
      </c>
      <c r="AI57" s="7" t="str">
        <f>IF(eth_OFF!AI57, (eth_ON!AI57+500-eth_ON!AI$64) - (eth_OFF!AI57+500-eth_OFF!AI$64) - AVERAGE(AI$62:AI$63), "")</f>
        <v/>
      </c>
      <c r="AJ57" s="7" t="str">
        <f>IF(eth_OFF!AJ57, (eth_ON!AJ57+500-eth_ON!AJ$64) - (eth_OFF!AJ57+500-eth_OFF!AJ$64) - AVERAGE(AJ$62:AJ$63), "")</f>
        <v/>
      </c>
      <c r="AK57" s="15" t="str">
        <f>IF(eth_OFF!AK57, (eth_ON!AK57+500-eth_ON!AK$64) - (eth_OFF!AK57+500-eth_OFF!AK$64) - AVERAGE(AK$62:AK$63), "")</f>
        <v/>
      </c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 spans="1:65">
      <c r="A58" s="1">
        <v>57</v>
      </c>
      <c r="B58" s="36">
        <f>eth_ON!B58 - eth_OFF!B58 - AVERAGE(B$62:B$63)</f>
        <v>2.8000000000000114</v>
      </c>
      <c r="C58" s="36">
        <f>eth_ON!C58 - eth_OFF!C58 - AVERAGE(C$62:C$63)</f>
        <v>2.8500000000000227</v>
      </c>
      <c r="D58" s="36">
        <f>eth_ON!D58 - eth_OFF!D58 - AVERAGE(D$62:D$63)</f>
        <v>2.8000000000000682</v>
      </c>
      <c r="E58" s="36">
        <f>eth_ON!E58 - eth_OFF!E58 - AVERAGE(E$62:E$63)</f>
        <v>1.4500000000000171</v>
      </c>
      <c r="F58" s="36">
        <f>eth_ON!F58 - eth_OFF!F58 - AVERAGE(F$62:F$63)</f>
        <v>2.0999999999999943</v>
      </c>
      <c r="G58" s="36">
        <f>eth_ON!G58 - eth_OFF!G58 - AVERAGE(G$62:G$63)</f>
        <v>3.5000000000000284</v>
      </c>
      <c r="H58" s="36">
        <f>eth_ON!H58 - eth_OFF!H58 - AVERAGE(H$62:H$63)</f>
        <v>2.7500000000000284</v>
      </c>
      <c r="I58" s="36">
        <f>eth_ON!I58 - eth_OFF!I58 - AVERAGE(I$62:I$63)</f>
        <v>2.9000000000000909</v>
      </c>
      <c r="J58" s="36">
        <f>eth_ON!J58 - eth_OFF!J58 - AVERAGE(J$62:J$63)</f>
        <v>1.5999999999999943</v>
      </c>
      <c r="K58" s="36">
        <f>eth_ON!K58 - eth_OFF!K58 - AVERAGE(K$62:K$63)</f>
        <v>1.0500000000000114</v>
      </c>
      <c r="L58" s="36">
        <f>eth_ON!L58 - eth_OFF!L58 - AVERAGE(L$62:L$63)</f>
        <v>0.19999999999993179</v>
      </c>
      <c r="M58" s="36">
        <f>eth_ON!M58 - eth_OFF!M58 - AVERAGE(M$62:M$63)</f>
        <v>1.6499999999999488</v>
      </c>
      <c r="N58" s="36">
        <f>eth_ON!N58 - eth_OFF!N58 - AVERAGE(N$62:N$63)</f>
        <v>-0.14999999999997726</v>
      </c>
      <c r="O58" s="36">
        <f>eth_ON!O58 - eth_OFF!O58 - AVERAGE(O$62:O$63)</f>
        <v>0.40000000000000568</v>
      </c>
      <c r="P58" s="36">
        <f>eth_ON!P58 - eth_OFF!P58 - AVERAGE(P$62:P$63)</f>
        <v>0.39999999999994884</v>
      </c>
      <c r="Q58" s="36">
        <f>eth_ON!Q58 - eth_OFF!Q58 - AVERAGE(Q$62:Q$63)</f>
        <v>5.0000000000011369E-2</v>
      </c>
      <c r="R58" s="36">
        <f>eth_ON!R58 - eth_OFF!R58 - AVERAGE(R$62:R$63)</f>
        <v>-5.0000000000011369E-2</v>
      </c>
      <c r="S58" s="36">
        <f>eth_ON!S58 - eth_OFF!S58 - AVERAGE(S$62:S$63)</f>
        <v>0.14999999999997726</v>
      </c>
      <c r="T58" s="36">
        <f>eth_ON!T58 - eth_OFF!T58 - AVERAGE(T$62:T$63)</f>
        <v>4.9999999999954525E-2</v>
      </c>
      <c r="U58" s="6" t="str">
        <f>IF(eth_OFF!U58, (eth_ON!U58+500-eth_ON!U$64) - (eth_OFF!U58+500-eth_OFF!U$64) - AVERAGE($B$62:$AK$63), "")</f>
        <v/>
      </c>
      <c r="V58" s="6" t="str">
        <f>IF(eth_OFF!V58, (eth_ON!V58+500-eth_ON!V$64) - (eth_OFF!V58+500-eth_OFF!V$64) - AVERAGE(V$62:V$63), "")</f>
        <v/>
      </c>
      <c r="W58" s="6" t="str">
        <f>IF(eth_OFF!W58, (eth_ON!W58+500-eth_ON!W$64) - (eth_OFF!W58+500-eth_OFF!W$64) - AVERAGE(W$62:W$63), "")</f>
        <v/>
      </c>
      <c r="X58" s="6" t="str">
        <f>IF(eth_OFF!X58, (eth_ON!X58+500-eth_ON!X$64) - (eth_OFF!X58+500-eth_OFF!X$64) - AVERAGE(X$62:X$63), "")</f>
        <v/>
      </c>
      <c r="Y58" s="6" t="str">
        <f>IF(eth_OFF!Y58, (eth_ON!Y58+500-eth_ON!Y$64) - (eth_OFF!Y58+500-eth_OFF!Y$64) - AVERAGE(Y$62:Y$63), "")</f>
        <v/>
      </c>
      <c r="Z58" s="6" t="str">
        <f>IF(eth_OFF!Z58, (eth_ON!Z58+500-eth_ON!Z$64) - (eth_OFF!Z58+500-eth_OFF!Z$64) - AVERAGE(Z$62:Z$63), "")</f>
        <v/>
      </c>
      <c r="AA58" s="6" t="str">
        <f>IF(eth_OFF!AA58, (eth_ON!AA58+500-eth_ON!AA$64) - (eth_OFF!AA58+500-eth_OFF!AA$64) - AVERAGE(AA$62:AA$63), "")</f>
        <v/>
      </c>
      <c r="AB58" s="6" t="str">
        <f>IF(eth_OFF!AB58, (eth_ON!AB58+500-eth_ON!AB$64) - (eth_OFF!AB58+500-eth_OFF!AB$64) - AVERAGE(AB$62:AB$63), "")</f>
        <v/>
      </c>
      <c r="AC58" s="6" t="str">
        <f>IF(eth_OFF!AC58, (eth_ON!AC58+500-eth_ON!AC$64) - (eth_OFF!AC58+500-eth_OFF!AC$64) - AVERAGE(AC$62:AC$63), "")</f>
        <v/>
      </c>
      <c r="AD58" s="6" t="str">
        <f>IF(eth_OFF!AD58, (eth_ON!AD58+500-eth_ON!AD$64) - (eth_OFF!AD58+500-eth_OFF!AD$64) - AVERAGE(AD$62:AD$63), "")</f>
        <v/>
      </c>
      <c r="AE58" s="6" t="str">
        <f>IF(eth_OFF!AE58, (eth_ON!AE58+500-eth_ON!AE$64) - (eth_OFF!AE58+500-eth_OFF!AE$64) - AVERAGE(AE$62:AE$63), "")</f>
        <v/>
      </c>
      <c r="AF58" s="6" t="str">
        <f>IF(eth_OFF!AF58, (eth_ON!AF58+500-eth_ON!AF$64) - (eth_OFF!AF58+500-eth_OFF!AF$64) - AVERAGE(AF$62:AF$63), "")</f>
        <v/>
      </c>
      <c r="AG58" s="7" t="str">
        <f>IF(eth_OFF!AG58, (eth_ON!AG58+500-eth_ON!AG$64) - (eth_OFF!AG58+500-eth_OFF!AG$64) - AVERAGE(AG$62:AG$63), "")</f>
        <v/>
      </c>
      <c r="AH58" s="7" t="str">
        <f>IF(eth_OFF!AH58, (eth_ON!AH58+500-eth_ON!AH$64) - (eth_OFF!AH58+500-eth_OFF!AH$64) - AVERAGE(AH$62:AH$63), "")</f>
        <v/>
      </c>
      <c r="AI58" s="7" t="str">
        <f>IF(eth_OFF!AI58, (eth_ON!AI58+500-eth_ON!AI$64) - (eth_OFF!AI58+500-eth_OFF!AI$64) - AVERAGE(AI$62:AI$63), "")</f>
        <v/>
      </c>
      <c r="AJ58" s="7" t="str">
        <f>IF(eth_OFF!AJ58, (eth_ON!AJ58+500-eth_ON!AJ$64) - (eth_OFF!AJ58+500-eth_OFF!AJ$64) - AVERAGE(AJ$62:AJ$63), "")</f>
        <v/>
      </c>
      <c r="AK58" s="15" t="str">
        <f>IF(eth_OFF!AK58, (eth_ON!AK58+500-eth_ON!AK$64) - (eth_OFF!AK58+500-eth_OFF!AK$64) - AVERAGE(AK$62:AK$63), "")</f>
        <v/>
      </c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</row>
    <row r="59" spans="1:65">
      <c r="A59" s="1">
        <v>58</v>
      </c>
      <c r="B59" s="36">
        <f>eth_ON!B59 - eth_OFF!B59 - AVERAGE(B$62:B$63)</f>
        <v>0.39999999999997726</v>
      </c>
      <c r="C59" s="36">
        <f>eth_ON!C59 - eth_OFF!C59 - AVERAGE(C$62:C$63)</f>
        <v>-5.0000000000011369E-2</v>
      </c>
      <c r="D59" s="36">
        <f>eth_ON!D59 - eth_OFF!D59 - AVERAGE(D$62:D$63)</f>
        <v>0.5</v>
      </c>
      <c r="E59" s="36">
        <f>eth_ON!E59 - eth_OFF!E59 - AVERAGE(E$62:E$63)</f>
        <v>0.15000000000000568</v>
      </c>
      <c r="F59" s="36">
        <f>eth_ON!F59 - eth_OFF!F59 - AVERAGE(F$62:F$63)</f>
        <v>2.8421709430404007E-14</v>
      </c>
      <c r="G59" s="36">
        <f>eth_ON!G59 - eth_OFF!G59 - AVERAGE(G$62:G$63)</f>
        <v>0.20000000000001705</v>
      </c>
      <c r="H59" s="36">
        <f>eth_ON!H59 - eth_OFF!H59 - AVERAGE(H$62:H$63)</f>
        <v>0.44999999999996021</v>
      </c>
      <c r="I59" s="36">
        <f>eth_ON!I59 - eth_OFF!I59 - AVERAGE(I$62:I$63)</f>
        <v>0.10000000000002274</v>
      </c>
      <c r="J59" s="36">
        <f>eth_ON!J59 - eth_OFF!J59 - AVERAGE(J$62:J$63)</f>
        <v>0.20000000000001705</v>
      </c>
      <c r="K59" s="36">
        <f>eth_ON!K59 - eth_OFF!K59 - AVERAGE(K$62:K$63)</f>
        <v>-4.9999999999954525E-2</v>
      </c>
      <c r="L59" s="36">
        <f>eth_ON!L59 - eth_OFF!L59 - AVERAGE(L$62:L$63)</f>
        <v>-5.6843418860808015E-14</v>
      </c>
      <c r="M59" s="36">
        <f>eth_ON!M59 - eth_OFF!M59 - AVERAGE(M$62:M$63)</f>
        <v>-0.35000000000005116</v>
      </c>
      <c r="N59" s="36">
        <f>eth_ON!N59 - eth_OFF!N59 - AVERAGE(N$62:N$63)</f>
        <v>-0.15000000000003411</v>
      </c>
      <c r="O59" s="36">
        <f>eth_ON!O59 - eth_OFF!O59 - AVERAGE(O$62:O$63)</f>
        <v>9.9999999999994316E-2</v>
      </c>
      <c r="P59" s="36">
        <f>eth_ON!P59 - eth_OFF!P59 - AVERAGE(P$62:P$63)</f>
        <v>-2.8421709430404007E-14</v>
      </c>
      <c r="Q59" s="36">
        <f>eth_ON!Q59 - eth_OFF!Q59 - AVERAGE(Q$62:Q$63)</f>
        <v>-4.9999999999954525E-2</v>
      </c>
      <c r="R59" s="36">
        <f>eth_ON!R59 - eth_OFF!R59 - AVERAGE(R$62:R$63)</f>
        <v>5.0000000000011369E-2</v>
      </c>
      <c r="S59" s="36">
        <f>eth_ON!S59 - eth_OFF!S59 - AVERAGE(S$62:S$63)</f>
        <v>-4.9999999999954525E-2</v>
      </c>
      <c r="T59" s="36">
        <f>eth_ON!T59 - eth_OFF!T59 - AVERAGE(T$62:T$63)</f>
        <v>0.14999999999997726</v>
      </c>
      <c r="U59" s="6" t="str">
        <f>IF(eth_OFF!U59, (eth_ON!U59+500-eth_ON!U$64) - (eth_OFF!U59+500-eth_OFF!U$64) - AVERAGE($B$62:$AK$63), "")</f>
        <v/>
      </c>
      <c r="V59" s="6" t="str">
        <f>IF(eth_OFF!V59, (eth_ON!V59+500-eth_ON!V$64) - (eth_OFF!V59+500-eth_OFF!V$64) - AVERAGE(V$62:V$63), "")</f>
        <v/>
      </c>
      <c r="W59" s="6" t="str">
        <f>IF(eth_OFF!W59, (eth_ON!W59+500-eth_ON!W$64) - (eth_OFF!W59+500-eth_OFF!W$64) - AVERAGE(W$62:W$63), "")</f>
        <v/>
      </c>
      <c r="X59" s="6" t="str">
        <f>IF(eth_OFF!X59, (eth_ON!X59+500-eth_ON!X$64) - (eth_OFF!X59+500-eth_OFF!X$64) - AVERAGE(X$62:X$63), "")</f>
        <v/>
      </c>
      <c r="Y59" s="6" t="str">
        <f>IF(eth_OFF!Y59, (eth_ON!Y59+500-eth_ON!Y$64) - (eth_OFF!Y59+500-eth_OFF!Y$64) - AVERAGE(Y$62:Y$63), "")</f>
        <v/>
      </c>
      <c r="Z59" s="6" t="str">
        <f>IF(eth_OFF!Z59, (eth_ON!Z59+500-eth_ON!Z$64) - (eth_OFF!Z59+500-eth_OFF!Z$64) - AVERAGE(Z$62:Z$63), "")</f>
        <v/>
      </c>
      <c r="AA59" s="6" t="str">
        <f>IF(eth_OFF!AA59, (eth_ON!AA59+500-eth_ON!AA$64) - (eth_OFF!AA59+500-eth_OFF!AA$64) - AVERAGE(AA$62:AA$63), "")</f>
        <v/>
      </c>
      <c r="AB59" s="6" t="str">
        <f>IF(eth_OFF!AB59, (eth_ON!AB59+500-eth_ON!AB$64) - (eth_OFF!AB59+500-eth_OFF!AB$64) - AVERAGE(AB$62:AB$63), "")</f>
        <v/>
      </c>
      <c r="AC59" s="6" t="str">
        <f>IF(eth_OFF!AC59, (eth_ON!AC59+500-eth_ON!AC$64) - (eth_OFF!AC59+500-eth_OFF!AC$64) - AVERAGE(AC$62:AC$63), "")</f>
        <v/>
      </c>
      <c r="AD59" s="6" t="str">
        <f>IF(eth_OFF!AD59, (eth_ON!AD59+500-eth_ON!AD$64) - (eth_OFF!AD59+500-eth_OFF!AD$64) - AVERAGE(AD$62:AD$63), "")</f>
        <v/>
      </c>
      <c r="AE59" s="6" t="str">
        <f>IF(eth_OFF!AE59, (eth_ON!AE59+500-eth_ON!AE$64) - (eth_OFF!AE59+500-eth_OFF!AE$64) - AVERAGE(AE$62:AE$63), "")</f>
        <v/>
      </c>
      <c r="AF59" s="6" t="str">
        <f>IF(eth_OFF!AF59, (eth_ON!AF59+500-eth_ON!AF$64) - (eth_OFF!AF59+500-eth_OFF!AF$64) - AVERAGE(AF$62:AF$63), "")</f>
        <v/>
      </c>
      <c r="AG59" s="7" t="str">
        <f>IF(eth_OFF!AG59, (eth_ON!AG59+500-eth_ON!AG$64) - (eth_OFF!AG59+500-eth_OFF!AG$64) - AVERAGE(AG$62:AG$63), "")</f>
        <v/>
      </c>
      <c r="AH59" s="7" t="str">
        <f>IF(eth_OFF!AH59, (eth_ON!AH59+500-eth_ON!AH$64) - (eth_OFF!AH59+500-eth_OFF!AH$64) - AVERAGE(AH$62:AH$63), "")</f>
        <v/>
      </c>
      <c r="AI59" s="7" t="str">
        <f>IF(eth_OFF!AI59, (eth_ON!AI59+500-eth_ON!AI$64) - (eth_OFF!AI59+500-eth_OFF!AI$64) - AVERAGE(AI$62:AI$63), "")</f>
        <v/>
      </c>
      <c r="AJ59" s="7" t="str">
        <f>IF(eth_OFF!AJ59, (eth_ON!AJ59+500-eth_ON!AJ$64) - (eth_OFF!AJ59+500-eth_OFF!AJ$64) - AVERAGE(AJ$62:AJ$63), "")</f>
        <v/>
      </c>
      <c r="AK59" s="15" t="str">
        <f>IF(eth_OFF!AK59, (eth_ON!AK59+500-eth_ON!AK$64) - (eth_OFF!AK59+500-eth_OFF!AK$64) - AVERAGE(AK$62:AK$63), "")</f>
        <v/>
      </c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</row>
    <row r="60" spans="1:65">
      <c r="A60" s="1">
        <v>59</v>
      </c>
      <c r="B60" s="36">
        <f>eth_ON!B60 - eth_OFF!B60 - AVERAGE(B$62:B$63)</f>
        <v>2.8999999999999204</v>
      </c>
      <c r="C60" s="36">
        <f>eth_ON!C60 - eth_OFF!C60 - AVERAGE(C$62:C$63)</f>
        <v>2.0500000000000114</v>
      </c>
      <c r="D60" s="36">
        <f>eth_ON!D60 - eth_OFF!D60 - AVERAGE(D$62:D$63)</f>
        <v>2.3000000000000114</v>
      </c>
      <c r="E60" s="36">
        <f>eth_ON!E60 - eth_OFF!E60 - AVERAGE(E$62:E$63)</f>
        <v>3.0499999999999829</v>
      </c>
      <c r="F60" s="36">
        <f>eth_ON!F60 - eth_OFF!F60 - AVERAGE(F$62:F$63)</f>
        <v>2.3000000000000398</v>
      </c>
      <c r="G60" s="36">
        <f>eth_ON!G60 - eth_OFF!G60 - AVERAGE(G$62:G$63)</f>
        <v>2.0000000000000284</v>
      </c>
      <c r="H60" s="36">
        <f>eth_ON!H60 - eth_OFF!H60 - AVERAGE(H$62:H$63)</f>
        <v>3.0499999999999829</v>
      </c>
      <c r="I60" s="36">
        <f>eth_ON!I60 - eth_OFF!I60 - AVERAGE(I$62:I$63)</f>
        <v>3.4000000000000341</v>
      </c>
      <c r="J60" s="36">
        <f>eth_ON!J60 - eth_OFF!J60 - AVERAGE(J$62:J$63)</f>
        <v>3.5000000000000284</v>
      </c>
      <c r="K60" s="36">
        <f>eth_ON!K60 - eth_OFF!K60 - AVERAGE(K$62:K$63)</f>
        <v>2.0500000000000114</v>
      </c>
      <c r="L60" s="36">
        <f>eth_ON!L60 - eth_OFF!L60 - AVERAGE(L$62:L$63)</f>
        <v>1.6999999999999886</v>
      </c>
      <c r="M60" s="36">
        <f>eth_ON!M60 - eth_OFF!M60 - AVERAGE(M$62:M$63)</f>
        <v>1.7500000000000284</v>
      </c>
      <c r="N60" s="36">
        <f>eth_ON!N60 - eth_OFF!N60 - AVERAGE(N$62:N$63)</f>
        <v>1.5499999999999545</v>
      </c>
      <c r="O60" s="36">
        <f>eth_ON!O60 - eth_OFF!O60 - AVERAGE(O$62:O$63)</f>
        <v>3.1000000000000512</v>
      </c>
      <c r="P60" s="36">
        <f>eth_ON!P60 - eth_OFF!P60 - AVERAGE(P$62:P$63)</f>
        <v>2.3999999999999488</v>
      </c>
      <c r="Q60" s="36">
        <f>eth_ON!Q60 - eth_OFF!Q60 - AVERAGE(Q$62:Q$63)</f>
        <v>1.3499999999999659</v>
      </c>
      <c r="R60" s="36">
        <f>eth_ON!R60 - eth_OFF!R60 - AVERAGE(R$62:R$63)</f>
        <v>1.25</v>
      </c>
      <c r="S60" s="36">
        <f>eth_ON!S60 - eth_OFF!S60 - AVERAGE(S$62:S$63)</f>
        <v>1.25</v>
      </c>
      <c r="T60" s="36">
        <f>eth_ON!T60 - eth_OFF!T60 - AVERAGE(T$62:T$63)</f>
        <v>1.25</v>
      </c>
      <c r="U60" s="6" t="str">
        <f>IF(eth_OFF!U60, (eth_ON!U60+500-eth_ON!U$64) - (eth_OFF!U60+500-eth_OFF!U$64) - AVERAGE($B$62:$AK$63), "")</f>
        <v/>
      </c>
      <c r="V60" s="6" t="str">
        <f>IF(eth_OFF!V60, (eth_ON!V60+500-eth_ON!V$64) - (eth_OFF!V60+500-eth_OFF!V$64) - AVERAGE(V$62:V$63), "")</f>
        <v/>
      </c>
      <c r="W60" s="6" t="str">
        <f>IF(eth_OFF!W60, (eth_ON!W60+500-eth_ON!W$64) - (eth_OFF!W60+500-eth_OFF!W$64) - AVERAGE(W$62:W$63), "")</f>
        <v/>
      </c>
      <c r="X60" s="6" t="str">
        <f>IF(eth_OFF!X60, (eth_ON!X60+500-eth_ON!X$64) - (eth_OFF!X60+500-eth_OFF!X$64) - AVERAGE(X$62:X$63), "")</f>
        <v/>
      </c>
      <c r="Y60" s="6" t="str">
        <f>IF(eth_OFF!Y60, (eth_ON!Y60+500-eth_ON!Y$64) - (eth_OFF!Y60+500-eth_OFF!Y$64) - AVERAGE(Y$62:Y$63), "")</f>
        <v/>
      </c>
      <c r="Z60" s="6" t="str">
        <f>IF(eth_OFF!Z60, (eth_ON!Z60+500-eth_ON!Z$64) - (eth_OFF!Z60+500-eth_OFF!Z$64) - AVERAGE(Z$62:Z$63), "")</f>
        <v/>
      </c>
      <c r="AA60" s="6" t="str">
        <f>IF(eth_OFF!AA60, (eth_ON!AA60+500-eth_ON!AA$64) - (eth_OFF!AA60+500-eth_OFF!AA$64) - AVERAGE(AA$62:AA$63), "")</f>
        <v/>
      </c>
      <c r="AB60" s="6" t="str">
        <f>IF(eth_OFF!AB60, (eth_ON!AB60+500-eth_ON!AB$64) - (eth_OFF!AB60+500-eth_OFF!AB$64) - AVERAGE(AB$62:AB$63), "")</f>
        <v/>
      </c>
      <c r="AC60" s="6" t="str">
        <f>IF(eth_OFF!AC60, (eth_ON!AC60+500-eth_ON!AC$64) - (eth_OFF!AC60+500-eth_OFF!AC$64) - AVERAGE(AC$62:AC$63), "")</f>
        <v/>
      </c>
      <c r="AD60" s="6" t="str">
        <f>IF(eth_OFF!AD60, (eth_ON!AD60+500-eth_ON!AD$64) - (eth_OFF!AD60+500-eth_OFF!AD$64) - AVERAGE(AD$62:AD$63), "")</f>
        <v/>
      </c>
      <c r="AE60" s="6" t="str">
        <f>IF(eth_OFF!AE60, (eth_ON!AE60+500-eth_ON!AE$64) - (eth_OFF!AE60+500-eth_OFF!AE$64) - AVERAGE(AE$62:AE$63), "")</f>
        <v/>
      </c>
      <c r="AF60" s="6" t="str">
        <f>IF(eth_OFF!AF60, (eth_ON!AF60+500-eth_ON!AF$64) - (eth_OFF!AF60+500-eth_OFF!AF$64) - AVERAGE(AF$62:AF$63), "")</f>
        <v/>
      </c>
      <c r="AG60" s="7" t="str">
        <f>IF(eth_OFF!AG60, (eth_ON!AG60+500-eth_ON!AG$64) - (eth_OFF!AG60+500-eth_OFF!AG$64) - AVERAGE(AG$62:AG$63), "")</f>
        <v/>
      </c>
      <c r="AH60" s="7" t="str">
        <f>IF(eth_OFF!AH60, (eth_ON!AH60+500-eth_ON!AH$64) - (eth_OFF!AH60+500-eth_OFF!AH$64) - AVERAGE(AH$62:AH$63), "")</f>
        <v/>
      </c>
      <c r="AI60" s="7" t="str">
        <f>IF(eth_OFF!AI60, (eth_ON!AI60+500-eth_ON!AI$64) - (eth_OFF!AI60+500-eth_OFF!AI$64) - AVERAGE(AI$62:AI$63), "")</f>
        <v/>
      </c>
      <c r="AJ60" s="7" t="str">
        <f>IF(eth_OFF!AJ60, (eth_ON!AJ60+500-eth_ON!AJ$64) - (eth_OFF!AJ60+500-eth_OFF!AJ$64) - AVERAGE(AJ$62:AJ$63), "")</f>
        <v/>
      </c>
      <c r="AK60" s="15" t="str">
        <f>IF(eth_OFF!AK60, (eth_ON!AK60+500-eth_ON!AK$64) - (eth_OFF!AK60+500-eth_OFF!AK$64) - AVERAGE(AK$62:AK$63), "")</f>
        <v/>
      </c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</row>
    <row r="61" spans="1:65" s="9" customFormat="1">
      <c r="A61" s="11">
        <v>60</v>
      </c>
      <c r="B61" s="36">
        <f>eth_ON!B61 - eth_OFF!B61 - AVERAGE(B$62:B$63)</f>
        <v>6</v>
      </c>
      <c r="C61" s="36">
        <f>eth_ON!C61 - eth_OFF!C61 - AVERAGE(C$62:C$63)</f>
        <v>6.0499999999999545</v>
      </c>
      <c r="D61" s="36">
        <f>eth_ON!D61 - eth_OFF!D61 - AVERAGE(D$62:D$63)</f>
        <v>6.0000000000000568</v>
      </c>
      <c r="E61" s="36">
        <f>eth_ON!E61 - eth_OFF!E61 - AVERAGE(E$62:E$63)</f>
        <v>4.6499999999999488</v>
      </c>
      <c r="F61" s="36">
        <f>eth_ON!F61 - eth_OFF!F61 - AVERAGE(F$62:F$63)</f>
        <v>5.1999999999999602</v>
      </c>
      <c r="G61" s="36">
        <f>eth_ON!G61 - eth_OFF!G61 - AVERAGE(G$62:G$63)</f>
        <v>3.6000000000000512</v>
      </c>
      <c r="H61" s="36">
        <f>eth_ON!H61 - eth_OFF!H61 - AVERAGE(H$62:H$63)</f>
        <v>3.8499999999999943</v>
      </c>
      <c r="I61" s="36">
        <f>eth_ON!I61 - eth_OFF!I61 - AVERAGE(I$62:I$63)</f>
        <v>6</v>
      </c>
      <c r="J61" s="36">
        <f>eth_ON!J61 - eth_OFF!J61 - AVERAGE(J$62:J$63)</f>
        <v>5.2999999999999829</v>
      </c>
      <c r="K61" s="36">
        <f>eth_ON!K61 - eth_OFF!K61 - AVERAGE(K$62:K$63)</f>
        <v>4.6499999999999773</v>
      </c>
      <c r="L61" s="36">
        <f>eth_ON!L61 - eth_OFF!L61 - AVERAGE(L$62:L$63)</f>
        <v>6.0999999999999659</v>
      </c>
      <c r="M61" s="36">
        <f>eth_ON!M61 - eth_OFF!M61 - AVERAGE(M$62:M$63)</f>
        <v>4.8499999999999943</v>
      </c>
      <c r="N61" s="36">
        <f>eth_ON!N61 - eth_OFF!N61 - AVERAGE(N$62:N$63)</f>
        <v>6.6499999999999773</v>
      </c>
      <c r="O61" s="36">
        <f>eth_ON!O61 - eth_OFF!O61 - AVERAGE(O$62:O$63)</f>
        <v>5.0000000000000284</v>
      </c>
      <c r="P61" s="36">
        <f>eth_ON!P61 - eth_OFF!P61 - AVERAGE(P$62:P$63)</f>
        <v>5.7999999999999829</v>
      </c>
      <c r="Q61" s="36">
        <f>eth_ON!Q61 - eth_OFF!Q61 - AVERAGE(Q$62:Q$63)</f>
        <v>2.3500000000000227</v>
      </c>
      <c r="R61" s="36">
        <f>eth_ON!R61 - eth_OFF!R61 - AVERAGE(R$62:R$63)</f>
        <v>3.4499999999999886</v>
      </c>
      <c r="S61" s="36">
        <f>eth_ON!S61 - eth_OFF!S61 - AVERAGE(S$62:S$63)</f>
        <v>4.0500000000000114</v>
      </c>
      <c r="T61" s="36">
        <f>eth_ON!T61 - eth_OFF!T61 - AVERAGE(T$62:T$63)</f>
        <v>4.8500000000000227</v>
      </c>
      <c r="U61" s="6" t="str">
        <f>IF(eth_OFF!U61, (eth_ON!U61+500-eth_ON!U$64) - (eth_OFF!U61+500-eth_OFF!U$64) - AVERAGE($B$62:$AK$63), "")</f>
        <v/>
      </c>
      <c r="V61" s="14" t="str">
        <f>IF(eth_OFF!V61, (eth_ON!V61+500-eth_ON!V$64) - (eth_OFF!V61+500-eth_OFF!V$64) - AVERAGE(V$62:V$63), "")</f>
        <v/>
      </c>
      <c r="W61" s="14" t="str">
        <f>IF(eth_OFF!W61, (eth_ON!W61+500-eth_ON!W$64) - (eth_OFF!W61+500-eth_OFF!W$64) - AVERAGE(W$62:W$63), "")</f>
        <v/>
      </c>
      <c r="X61" s="14" t="str">
        <f>IF(eth_OFF!X61, (eth_ON!X61+500-eth_ON!X$64) - (eth_OFF!X61+500-eth_OFF!X$64) - AVERAGE(X$62:X$63), "")</f>
        <v/>
      </c>
      <c r="Y61" s="14" t="str">
        <f>IF(eth_OFF!Y61, (eth_ON!Y61+500-eth_ON!Y$64) - (eth_OFF!Y61+500-eth_OFF!Y$64) - AVERAGE(Y$62:Y$63), "")</f>
        <v/>
      </c>
      <c r="Z61" s="14" t="str">
        <f>IF(eth_OFF!Z61, (eth_ON!Z61+500-eth_ON!Z$64) - (eth_OFF!Z61+500-eth_OFF!Z$64) - AVERAGE(Z$62:Z$63), "")</f>
        <v/>
      </c>
      <c r="AA61" s="14" t="str">
        <f>IF(eth_OFF!AA61, (eth_ON!AA61+500-eth_ON!AA$64) - (eth_OFF!AA61+500-eth_OFF!AA$64) - AVERAGE(AA$62:AA$63), "")</f>
        <v/>
      </c>
      <c r="AB61" s="14" t="str">
        <f>IF(eth_OFF!AB61, (eth_ON!AB61+500-eth_ON!AB$64) - (eth_OFF!AB61+500-eth_OFF!AB$64) - AVERAGE(AB$62:AB$63), "")</f>
        <v/>
      </c>
      <c r="AC61" s="14" t="str">
        <f>IF(eth_OFF!AC61, (eth_ON!AC61+500-eth_ON!AC$64) - (eth_OFF!AC61+500-eth_OFF!AC$64) - AVERAGE(AC$62:AC$63), "")</f>
        <v/>
      </c>
      <c r="AD61" s="14" t="str">
        <f>IF(eth_OFF!AD61, (eth_ON!AD61+500-eth_ON!AD$64) - (eth_OFF!AD61+500-eth_OFF!AD$64) - AVERAGE(AD$62:AD$63), "")</f>
        <v/>
      </c>
      <c r="AE61" s="14" t="str">
        <f>IF(eth_OFF!AE61, (eth_ON!AE61+500-eth_ON!AE$64) - (eth_OFF!AE61+500-eth_OFF!AE$64) - AVERAGE(AE$62:AE$63), "")</f>
        <v/>
      </c>
      <c r="AF61" s="14" t="str">
        <f>IF(eth_OFF!AF61, (eth_ON!AF61+500-eth_ON!AF$64) - (eth_OFF!AF61+500-eth_OFF!AF$64) - AVERAGE(AF$62:AF$63), "")</f>
        <v/>
      </c>
      <c r="AG61" s="12" t="str">
        <f>IF(eth_OFF!AG61, (eth_ON!AG61+500-eth_ON!AG$64) - (eth_OFF!AG61+500-eth_OFF!AG$64) - AVERAGE(AG$62:AG$63), "")</f>
        <v/>
      </c>
      <c r="AH61" s="12" t="str">
        <f>IF(eth_OFF!AH61, (eth_ON!AH61+500-eth_ON!AH$64) - (eth_OFF!AH61+500-eth_OFF!AH$64) - AVERAGE(AH$62:AH$63), "")</f>
        <v/>
      </c>
      <c r="AI61" s="12" t="str">
        <f>IF(eth_OFF!AI61, (eth_ON!AI61+500-eth_ON!AI$64) - (eth_OFF!AI61+500-eth_OFF!AI$64) - AVERAGE(AI$62:AI$63), "")</f>
        <v/>
      </c>
      <c r="AJ61" s="12" t="str">
        <f>IF(eth_OFF!AJ61, (eth_ON!AJ61+500-eth_ON!AJ$64) - (eth_OFF!AJ61+500-eth_OFF!AJ$64) - AVERAGE(AJ$62:AJ$63), "")</f>
        <v/>
      </c>
      <c r="AK61" s="17" t="str">
        <f>IF(eth_OFF!AK61, (eth_ON!AK61+500-eth_ON!AK$64) - (eth_OFF!AK61+500-eth_OFF!AK$64) - AVERAGE(AK$62:AK$63), "")</f>
        <v/>
      </c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</row>
    <row r="62" spans="1:65">
      <c r="A62" s="16" t="s">
        <v>75</v>
      </c>
      <c r="B62" s="36">
        <f>eth_ON!B62 - eth_OFF!B62</f>
        <v>0.60000000000002274</v>
      </c>
      <c r="C62" s="36">
        <f>eth_ON!C62 - eth_OFF!C62</f>
        <v>0.19999999999998863</v>
      </c>
      <c r="D62" s="36">
        <f>eth_ON!D62 - eth_OFF!D62</f>
        <v>9.9999999999965894E-2</v>
      </c>
      <c r="E62" s="36">
        <f>eth_ON!E62 - eth_OFF!E62</f>
        <v>0.30000000000001137</v>
      </c>
      <c r="F62" s="36">
        <f>eth_ON!F62 - eth_OFF!F62</f>
        <v>0.19999999999998863</v>
      </c>
      <c r="G62" s="36">
        <f>eth_ON!G62 - eth_OFF!G62</f>
        <v>0.29999999999995453</v>
      </c>
      <c r="H62" s="36">
        <f>eth_ON!H62 - eth_OFF!H62</f>
        <v>0.5</v>
      </c>
      <c r="I62" s="36">
        <f>eth_ON!I62 - eth_OFF!I62</f>
        <v>0.29999999999995453</v>
      </c>
      <c r="J62" s="36">
        <f>eth_ON!J62 - eth_OFF!J62</f>
        <v>0.60000000000002274</v>
      </c>
      <c r="K62" s="36">
        <f>eth_ON!K62 - eth_OFF!K62</f>
        <v>0.19999999999998863</v>
      </c>
      <c r="L62" s="36">
        <f>eth_ON!L62 - eth_OFF!L62</f>
        <v>0.10000000000002274</v>
      </c>
      <c r="M62" s="36">
        <f>eth_ON!M62 - eth_OFF!M62</f>
        <v>0.30000000000001137</v>
      </c>
      <c r="N62" s="36">
        <f>eth_ON!N62 - eth_OFF!N62</f>
        <v>0.40000000000003411</v>
      </c>
      <c r="O62" s="36">
        <f>eth_ON!O62 - eth_OFF!O62</f>
        <v>0.29999999999995453</v>
      </c>
      <c r="P62" s="36">
        <f>eth_ON!P62 - eth_OFF!P62</f>
        <v>0.10000000000002274</v>
      </c>
      <c r="Q62" s="36">
        <f>eth_ON!Q62 - eth_OFF!Q62</f>
        <v>0.19999999999998863</v>
      </c>
      <c r="R62" s="36">
        <f>eth_ON!R62 - eth_OFF!R62</f>
        <v>0.60000000000002274</v>
      </c>
      <c r="S62" s="36">
        <f>eth_ON!S62 - eth_OFF!S62</f>
        <v>0.19999999999998863</v>
      </c>
      <c r="T62" s="36">
        <f>eth_ON!T62 - eth_OFF!T62</f>
        <v>0.10000000000002274</v>
      </c>
      <c r="U62" s="27" t="str">
        <f>IF(eth_OFF!U62, (eth_ON!U62+500-eth_ON!U$64) - (eth_OFF!U62+500-eth_OFF!U$64), "")</f>
        <v/>
      </c>
      <c r="V62" s="6" t="str">
        <f>IF(eth_OFF!V62, (eth_ON!V62+500-eth_ON!V$64) - (eth_OFF!V62+500-eth_OFF!V$64), "")</f>
        <v/>
      </c>
      <c r="W62" s="6" t="str">
        <f>IF(eth_OFF!W62, (eth_ON!W62+500-eth_ON!W$64) - (eth_OFF!W62+500-eth_OFF!W$64), "")</f>
        <v/>
      </c>
      <c r="X62" s="6" t="str">
        <f>IF(eth_OFF!X62, (eth_ON!X62+500-eth_ON!X$64) - (eth_OFF!X62+500-eth_OFF!X$64), "")</f>
        <v/>
      </c>
      <c r="Y62" s="6" t="str">
        <f>IF(eth_OFF!Y62, (eth_ON!Y62+500-eth_ON!Y$64) - (eth_OFF!Y62+500-eth_OFF!Y$64), "")</f>
        <v/>
      </c>
      <c r="Z62" s="6" t="str">
        <f>IF(eth_OFF!Z62, (eth_ON!Z62+500-eth_ON!Z$64) - (eth_OFF!Z62+500-eth_OFF!Z$64), "")</f>
        <v/>
      </c>
      <c r="AA62" s="6" t="str">
        <f>IF(eth_OFF!AA62, (eth_ON!AA62+500-eth_ON!AA$64) - (eth_OFF!AA62+500-eth_OFF!AA$64), "")</f>
        <v/>
      </c>
      <c r="AB62" s="6" t="str">
        <f>IF(eth_OFF!AB62, (eth_ON!AB62+500-eth_ON!AB$64) - (eth_OFF!AB62+500-eth_OFF!AB$64), "")</f>
        <v/>
      </c>
      <c r="AC62" s="6" t="str">
        <f>IF(eth_OFF!AC62, (eth_ON!AC62+500-eth_ON!AC$64) - (eth_OFF!AC62+500-eth_OFF!AC$64), "")</f>
        <v/>
      </c>
      <c r="AD62" s="6" t="str">
        <f>IF(eth_OFF!AD62, (eth_ON!AD62+500-eth_ON!AD$64) - (eth_OFF!AD62+500-eth_OFF!AD$64), "")</f>
        <v/>
      </c>
      <c r="AE62" s="6" t="str">
        <f>IF(eth_OFF!AE62, (eth_ON!AE62+500-eth_ON!AE$64) - (eth_OFF!AE62+500-eth_OFF!AE$64), "")</f>
        <v/>
      </c>
      <c r="AF62" s="6" t="str">
        <f>IF(eth_OFF!AF62, (eth_ON!AF62+500-eth_ON!AF$64) - (eth_OFF!AF62+500-eth_OFF!AF$64), "")</f>
        <v/>
      </c>
      <c r="AG62" s="7" t="str">
        <f>IF(eth_OFF!AG62, (eth_ON!AG62+500-eth_ON!AG$64) - (eth_OFF!AG62+500-eth_OFF!AG$64), "")</f>
        <v/>
      </c>
      <c r="AH62" s="7" t="str">
        <f>IF(eth_OFF!AH62, (eth_ON!AH62+500-eth_ON!AH$64) - (eth_OFF!AH62+500-eth_OFF!AH$64), "")</f>
        <v/>
      </c>
      <c r="AI62" s="7" t="str">
        <f>IF(eth_OFF!AI62, (eth_ON!AI62+500-eth_ON!AI$64) - (eth_OFF!AI62+500-eth_OFF!AI$64), "")</f>
        <v/>
      </c>
      <c r="AJ62" s="7" t="str">
        <f>IF(eth_OFF!AJ62, (eth_ON!AJ62+500-eth_ON!AJ$64) - (eth_OFF!AJ62+500-eth_OFF!AJ$64), "")</f>
        <v/>
      </c>
      <c r="AK62" s="15" t="str">
        <f>IF(eth_OFF!AK62, (eth_ON!AK62+500-eth_ON!AK$64) - (eth_OFF!AK62+500-eth_OFF!AK$64), "")</f>
        <v/>
      </c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</row>
    <row r="63" spans="1:65">
      <c r="A63" s="16" t="s">
        <v>76</v>
      </c>
      <c r="B63" s="36">
        <f>eth_ON!B63 - eth_OFF!B63</f>
        <v>0.20000000000004547</v>
      </c>
      <c r="C63" s="36">
        <f>eth_ON!C63 - eth_OFF!C63</f>
        <v>0.30000000000001137</v>
      </c>
      <c r="D63" s="36">
        <f>eth_ON!D63 - eth_OFF!D63</f>
        <v>9.9999999999965894E-2</v>
      </c>
      <c r="E63" s="36">
        <f>eth_ON!E63 - eth_OFF!E63</f>
        <v>0</v>
      </c>
      <c r="F63" s="36">
        <f>eth_ON!F63 - eth_OFF!F63</f>
        <v>0</v>
      </c>
      <c r="G63" s="36">
        <f>eth_ON!G63 - eth_OFF!G63</f>
        <v>0.30000000000001137</v>
      </c>
      <c r="H63" s="36">
        <f>eth_ON!H63 - eth_OFF!H63</f>
        <v>0.19999999999998863</v>
      </c>
      <c r="I63" s="36">
        <f>eth_ON!I63 - eth_OFF!I63</f>
        <v>0.29999999999995453</v>
      </c>
      <c r="J63" s="36">
        <f>eth_ON!J63 - eth_OFF!J63</f>
        <v>0.19999999999998863</v>
      </c>
      <c r="K63" s="36">
        <f>eth_ON!K63 - eth_OFF!K63</f>
        <v>9.9999999999965894E-2</v>
      </c>
      <c r="L63" s="36">
        <f>eth_ON!L63 - eth_OFF!L63</f>
        <v>0.10000000000002274</v>
      </c>
      <c r="M63" s="36">
        <f>eth_ON!M63 - eth_OFF!M63</f>
        <v>0.60000000000002274</v>
      </c>
      <c r="N63" s="36">
        <f>eth_ON!N63 - eth_OFF!N63</f>
        <v>0.30000000000001137</v>
      </c>
      <c r="O63" s="36">
        <f>eth_ON!O63 - eth_OFF!O63</f>
        <v>0.30000000000001137</v>
      </c>
      <c r="P63" s="36">
        <f>eth_ON!P63 - eth_OFF!P63</f>
        <v>-9.9999999999965894E-2</v>
      </c>
      <c r="Q63" s="36">
        <f>eth_ON!Q63 - eth_OFF!Q63</f>
        <v>0.30000000000001137</v>
      </c>
      <c r="R63" s="36">
        <f>eth_ON!R63 - eth_OFF!R63</f>
        <v>0.5</v>
      </c>
      <c r="S63" s="36">
        <f>eth_ON!S63 - eth_OFF!S63</f>
        <v>9.9999999999965894E-2</v>
      </c>
      <c r="T63" s="36">
        <f>eth_ON!T63 - eth_OFF!T63</f>
        <v>0</v>
      </c>
      <c r="U63" s="27" t="str">
        <f>IF(eth_OFF!U63, (eth_ON!U63+500-eth_ON!U$64) - (eth_OFF!U63+500-eth_OFF!U$64), "")</f>
        <v/>
      </c>
      <c r="V63" s="6" t="str">
        <f>IF(eth_OFF!V63, (eth_ON!V63+500-eth_ON!V$64) - (eth_OFF!V63+500-eth_OFF!V$64), "")</f>
        <v/>
      </c>
      <c r="W63" s="6" t="str">
        <f>IF(eth_OFF!W63, (eth_ON!W63+500-eth_ON!W$64) - (eth_OFF!W63+500-eth_OFF!W$64), "")</f>
        <v/>
      </c>
      <c r="X63" s="6" t="str">
        <f>IF(eth_OFF!X63, (eth_ON!X63+500-eth_ON!X$64) - (eth_OFF!X63+500-eth_OFF!X$64), "")</f>
        <v/>
      </c>
      <c r="Y63" s="6" t="str">
        <f>IF(eth_OFF!Y63, (eth_ON!Y63+500-eth_ON!Y$64) - (eth_OFF!Y63+500-eth_OFF!Y$64), "")</f>
        <v/>
      </c>
      <c r="Z63" s="6" t="str">
        <f>IF(eth_OFF!Z63, (eth_ON!Z63+500-eth_ON!Z$64) - (eth_OFF!Z63+500-eth_OFF!Z$64), "")</f>
        <v/>
      </c>
      <c r="AA63" s="6" t="str">
        <f>IF(eth_OFF!AA63, (eth_ON!AA63+500-eth_ON!AA$64) - (eth_OFF!AA63+500-eth_OFF!AA$64), "")</f>
        <v/>
      </c>
      <c r="AB63" s="6" t="str">
        <f>IF(eth_OFF!AB63, (eth_ON!AB63+500-eth_ON!AB$64) - (eth_OFF!AB63+500-eth_OFF!AB$64), "")</f>
        <v/>
      </c>
      <c r="AC63" s="6" t="str">
        <f>IF(eth_OFF!AC63, (eth_ON!AC63+500-eth_ON!AC$64) - (eth_OFF!AC63+500-eth_OFF!AC$64), "")</f>
        <v/>
      </c>
      <c r="AD63" s="6" t="str">
        <f>IF(eth_OFF!AD63, (eth_ON!AD63+500-eth_ON!AD$64) - (eth_OFF!AD63+500-eth_OFF!AD$64), "")</f>
        <v/>
      </c>
      <c r="AE63" s="6" t="str">
        <f>IF(eth_OFF!AE63, (eth_ON!AE63+500-eth_ON!AE$64) - (eth_OFF!AE63+500-eth_OFF!AE$64), "")</f>
        <v/>
      </c>
      <c r="AF63" s="6" t="str">
        <f>IF(eth_OFF!AF63, (eth_ON!AF63+500-eth_ON!AF$64) - (eth_OFF!AF63+500-eth_OFF!AF$64), "")</f>
        <v/>
      </c>
      <c r="AG63" s="7" t="str">
        <f>IF(eth_OFF!AG63, (eth_ON!AG63+500-eth_ON!AG$64) - (eth_OFF!AG63+500-eth_OFF!AG$64), "")</f>
        <v/>
      </c>
      <c r="AH63" s="7" t="str">
        <f>IF(eth_OFF!AH63, (eth_ON!AH63+500-eth_ON!AH$64) - (eth_OFF!AH63+500-eth_OFF!AH$64), "")</f>
        <v/>
      </c>
      <c r="AI63" s="7" t="str">
        <f>IF(eth_OFF!AI63, (eth_ON!AI63+500-eth_ON!AI$64) - (eth_OFF!AI63+500-eth_OFF!AI$64), "")</f>
        <v/>
      </c>
      <c r="AJ63" s="7" t="str">
        <f>IF(eth_OFF!AJ63, (eth_ON!AJ63+500-eth_ON!AJ$64) - (eth_OFF!AJ63+500-eth_OFF!AJ$64), "")</f>
        <v/>
      </c>
      <c r="AK63" s="15" t="str">
        <f>IF(eth_OFF!AK63, (eth_ON!AK63+500-eth_ON!AK$64) - (eth_OFF!AK63+500-eth_OFF!AK$64), "")</f>
        <v/>
      </c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</row>
    <row r="64" spans="1:65">
      <c r="O64" s="6"/>
      <c r="P64" s="6"/>
      <c r="Q64" s="77"/>
      <c r="R64" s="6"/>
      <c r="S64" s="6"/>
      <c r="T64" s="6"/>
      <c r="U64" s="27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</sheetData>
  <conditionalFormatting sqref="B2:AM61">
    <cfRule type="colorScale" priority="1">
      <colorScale>
        <cfvo type="num" val="-1"/>
        <cfvo type="num" val="0"/>
        <cfvo type="num" val="20"/>
        <color rgb="FFFF0000"/>
        <color rgb="FFFFEB84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E607-EDC5-4D73-895A-70B58A501608}">
  <dimension ref="A1:Y63"/>
  <sheetViews>
    <sheetView workbookViewId="0">
      <selection activeCell="U25" sqref="U25"/>
    </sheetView>
  </sheetViews>
  <sheetFormatPr defaultColWidth="7.453125" defaultRowHeight="14.5"/>
  <cols>
    <col min="1" max="1" width="7.54296875" style="16" bestFit="1" customWidth="1"/>
    <col min="2" max="5" width="7.54296875" bestFit="1" customWidth="1"/>
    <col min="6" max="6" width="7.54296875" style="16" bestFit="1" customWidth="1"/>
    <col min="7" max="9" width="7.54296875" bestFit="1" customWidth="1"/>
    <col min="10" max="10" width="7.81640625" bestFit="1" customWidth="1"/>
    <col min="11" max="11" width="7.81640625" style="16" bestFit="1" customWidth="1"/>
    <col min="12" max="15" width="7.81640625" bestFit="1" customWidth="1"/>
    <col min="16" max="16" width="7.81640625" style="16" bestFit="1" customWidth="1"/>
    <col min="17" max="20" width="7.81640625" bestFit="1" customWidth="1"/>
  </cols>
  <sheetData>
    <row r="1" spans="1:25" s="3" customFormat="1">
      <c r="A1" s="3" t="s">
        <v>1</v>
      </c>
      <c r="B1" s="32">
        <v>45957</v>
      </c>
      <c r="C1" s="32">
        <v>45958</v>
      </c>
      <c r="D1" s="32">
        <v>45959</v>
      </c>
      <c r="E1" s="32">
        <v>45960</v>
      </c>
      <c r="F1" s="66">
        <v>45961</v>
      </c>
      <c r="G1" s="30">
        <v>45964</v>
      </c>
      <c r="H1" s="30">
        <v>45965</v>
      </c>
      <c r="I1" s="30">
        <v>45966</v>
      </c>
      <c r="J1" s="30">
        <v>45967</v>
      </c>
      <c r="K1" s="31">
        <v>45968</v>
      </c>
      <c r="L1" s="30">
        <v>45971</v>
      </c>
      <c r="M1" s="30">
        <v>45972</v>
      </c>
      <c r="N1" s="30">
        <v>45973</v>
      </c>
      <c r="O1" s="30">
        <v>45974</v>
      </c>
      <c r="P1" s="31">
        <v>45975</v>
      </c>
      <c r="Q1" s="30">
        <v>45978</v>
      </c>
      <c r="R1" s="30">
        <v>45979</v>
      </c>
      <c r="S1" s="30">
        <v>45980</v>
      </c>
      <c r="T1" s="30">
        <v>45981</v>
      </c>
    </row>
    <row r="2" spans="1:25" s="39" customFormat="1">
      <c r="A2" s="41">
        <v>1</v>
      </c>
      <c r="B2" s="39">
        <f>E_g!B2/(rat_weight!B2/1000)*0.1578</f>
        <v>1.588958333333321</v>
      </c>
      <c r="C2" s="39">
        <f>E_g!C2/(rat_weight!C2/1000)*0.1578</f>
        <v>1.8903124999999941</v>
      </c>
      <c r="D2" s="39">
        <f>E_g!D2/(rat_weight!D2/1000)*0.1578</f>
        <v>1.8081250000000062</v>
      </c>
      <c r="E2" s="39">
        <f>E_g!E2/(rat_weight!E2/1000)*0.1578</f>
        <v>2.0546875000000155</v>
      </c>
      <c r="F2" s="39">
        <f>E_g!F2/(rat_weight!F2/1000)*0.1578</f>
        <v>1.5889583333333364</v>
      </c>
      <c r="G2" s="39">
        <f>E_g!G2/(rat_weight!G2/1000)*0.1578</f>
        <v>1.357419354838745</v>
      </c>
      <c r="H2" s="39">
        <f>E_g!H2/(rat_weight!H2/1000)*0.1578</f>
        <v>1.7816129032258097</v>
      </c>
      <c r="I2" s="39">
        <f>E_g!I2/(rat_weight!I2/1000)*0.1578</f>
        <v>1.9230107526881912</v>
      </c>
      <c r="J2" s="39">
        <f>E_g!J2/(rat_weight!J2/1000)*0.1578</f>
        <v>0.73526881720429138</v>
      </c>
      <c r="K2" s="39">
        <f>E_g!K2/(rat_weight!K2/1000)*0.1578</f>
        <v>1.7816129032258257</v>
      </c>
      <c r="L2" s="39">
        <f>E_g!L2/(rat_weight!L2/1000)*0.1578</f>
        <v>2.4276923076922952</v>
      </c>
      <c r="M2" s="39">
        <f>E_g!M2/(rat_weight!M2/1000)*0.1578</f>
        <v>1.0207342657342626</v>
      </c>
      <c r="N2" s="39">
        <f>E_g!N2/(rat_weight!N2/1000)*0.1578</f>
        <v>1.3517832167832107</v>
      </c>
      <c r="O2" s="39">
        <f>E_g!O2/(rat_weight!O2/1000)*0.1578</f>
        <v>1.2690209790209697</v>
      </c>
      <c r="P2" s="39">
        <f>E_g!P2/(rat_weight!P2/1000)*0.1578</f>
        <v>1.7655944055943835</v>
      </c>
      <c r="Q2" s="39">
        <f>E_g!Q2/(rat_weight!Q2/1000)*0.1578</f>
        <v>0.41093750000000001</v>
      </c>
      <c r="R2" s="39">
        <f>E_g!R2/(rat_weight!R2/1000)*0.1578</f>
        <v>8.2187499999987548E-2</v>
      </c>
      <c r="S2" s="39">
        <f>E_g!S2/(rat_weight!S2/1000)*0.1578</f>
        <v>0.84927083333333964</v>
      </c>
      <c r="T2" s="39">
        <f>E_g!T2/(rat_weight!T2/1000)*0.1578</f>
        <v>0.52052083333332722</v>
      </c>
      <c r="X2" s="39" t="str">
        <f>E_g!AJ2</f>
        <v/>
      </c>
      <c r="Y2" s="39" t="str">
        <f>E_g!AK2</f>
        <v/>
      </c>
    </row>
    <row r="3" spans="1:25" s="39" customFormat="1">
      <c r="A3" s="41">
        <v>2</v>
      </c>
      <c r="B3" s="39">
        <f>E_g!B3/(rat_weight!B3/1000)*0.1578</f>
        <v>1.3005494505494506</v>
      </c>
      <c r="C3" s="39">
        <f>E_g!C3/(rat_weight!C3/1000)*0.1578</f>
        <v>1.1704945054945253</v>
      </c>
      <c r="D3" s="39">
        <f>E_g!D3/(rat_weight!D3/1000)*0.1578</f>
        <v>0.9537362637362834</v>
      </c>
      <c r="E3" s="39">
        <f>E_g!E3/(rat_weight!E3/1000)*0.1578</f>
        <v>1.6040109890109842</v>
      </c>
      <c r="F3" s="39">
        <f>E_g!F3/(rat_weight!F3/1000)*0.1578</f>
        <v>1.3872527472527423</v>
      </c>
      <c r="G3" s="39">
        <f>E_g!G3/(rat_weight!G3/1000)*0.1578</f>
        <v>0.96433333333337823</v>
      </c>
      <c r="H3" s="39">
        <f>E_g!H3/(rat_weight!H3/1000)*0.1578</f>
        <v>0.7451666666667115</v>
      </c>
      <c r="I3" s="39">
        <f>E_g!I3/(rat_weight!I3/1000)*0.1578</f>
        <v>1.490333333333373</v>
      </c>
      <c r="J3" s="39">
        <f>E_g!J3/(rat_weight!J3/1000)*0.1578</f>
        <v>0.70133333333331838</v>
      </c>
      <c r="K3" s="39">
        <f>E_g!K3/(rat_weight!K3/1000)*0.1578</f>
        <v>1.70949999999999</v>
      </c>
      <c r="L3" s="39">
        <f>E_g!L3/(rat_weight!L3/1000)*0.1578</f>
        <v>1.0970053475935444</v>
      </c>
      <c r="M3" s="39">
        <f>E_g!M3/(rat_weight!M3/1000)*0.1578</f>
        <v>1.1391978609625619</v>
      </c>
      <c r="N3" s="39">
        <f>E_g!N3/(rat_weight!N3/1000)*0.1578</f>
        <v>1.2235828877005253</v>
      </c>
      <c r="O3" s="39">
        <f>E_g!O3/(rat_weight!O3/1000)*0.1578</f>
        <v>0.59069518716578984</v>
      </c>
      <c r="P3" s="39">
        <f>E_g!P3/(rat_weight!P3/1000)*0.1578</f>
        <v>0.92823529411764216</v>
      </c>
      <c r="Q3" s="39">
        <f>E_g!Q3/(rat_weight!Q3/1000)*0.1578</f>
        <v>0.39232044198894039</v>
      </c>
      <c r="R3" s="39">
        <f>E_g!R3/(rat_weight!R3/1000)*0.1578</f>
        <v>-0.13077348066301317</v>
      </c>
      <c r="S3" s="39">
        <f>E_g!S3/(rat_weight!S3/1000)*0.1578</f>
        <v>-4.3591160220954828E-2</v>
      </c>
      <c r="T3" s="39">
        <f>E_g!T3/(rat_weight!T3/1000)*0.1578</f>
        <v>0.3051381215469316</v>
      </c>
    </row>
    <row r="4" spans="1:25" s="39" customFormat="1">
      <c r="A4" s="41">
        <v>3</v>
      </c>
      <c r="B4" s="39">
        <f>E_g!B4/(rat_weight!B4/1000)*0.1578</f>
        <v>0.70253424657533325</v>
      </c>
      <c r="C4" s="39">
        <f>E_g!C4/(rat_weight!C4/1000)*0.1578</f>
        <v>1.2834760273972603</v>
      </c>
      <c r="D4" s="39">
        <f>E_g!D4/(rat_weight!D4/1000)*0.1578</f>
        <v>0.43232876712329382</v>
      </c>
      <c r="E4" s="39">
        <f>E_g!E4/(rat_weight!E4/1000)*0.1578</f>
        <v>0.85114726027397414</v>
      </c>
      <c r="F4" s="39">
        <f>E_g!F4/(rat_weight!F4/1000)*0.1578</f>
        <v>0.72955479452055261</v>
      </c>
      <c r="G4" s="39">
        <f>E_g!G4/(rat_weight!G4/1000)*0.1578</f>
        <v>0.58840677966102151</v>
      </c>
      <c r="H4" s="39">
        <f>E_g!H4/(rat_weight!H4/1000)*0.1578</f>
        <v>1.2169322033898413</v>
      </c>
      <c r="I4" s="39">
        <f>E_g!I4/(rat_weight!I4/1000)*0.1578</f>
        <v>1.765220338983057</v>
      </c>
      <c r="J4" s="39">
        <f>E_g!J4/(rat_weight!J4/1000)*0.1578</f>
        <v>0.45467796610169953</v>
      </c>
      <c r="K4" s="39">
        <f>E_g!K4/(rat_weight!K4/1000)*0.1578</f>
        <v>0.76225423728814168</v>
      </c>
      <c r="L4" s="39">
        <f>E_g!L4/(rat_weight!L4/1000)*0.1578</f>
        <v>0.74010050251255077</v>
      </c>
      <c r="M4" s="39">
        <f>E_g!M4/(rat_weight!M4/1000)*0.1578</f>
        <v>1.0176381909547574</v>
      </c>
      <c r="N4" s="39">
        <f>E_g!N4/(rat_weight!N4/1000)*0.1578</f>
        <v>1.0969346733668282</v>
      </c>
      <c r="O4" s="39">
        <f>E_g!O4/(rat_weight!O4/1000)*0.1578</f>
        <v>1.0572864321608115</v>
      </c>
      <c r="P4" s="39">
        <f>E_g!P4/(rat_weight!P4/1000)*0.1578</f>
        <v>0.6872361809045211</v>
      </c>
      <c r="Q4" s="39">
        <f>E_g!Q4/(rat_weight!Q4/1000)*0.1578</f>
        <v>0.8368181818181909</v>
      </c>
      <c r="R4" s="39">
        <f>E_g!R4/(rat_weight!R4/1000)*0.1578</f>
        <v>0.54459595959596263</v>
      </c>
      <c r="S4" s="39">
        <f>E_g!S4/(rat_weight!S4/1000)*0.1578</f>
        <v>0.96964646464647364</v>
      </c>
      <c r="T4" s="39">
        <f>E_g!T4/(rat_weight!T4/1000)*0.1578</f>
        <v>0.78368686868686577</v>
      </c>
    </row>
    <row r="5" spans="1:25" s="39" customFormat="1">
      <c r="A5" s="41">
        <v>4</v>
      </c>
      <c r="B5" s="39">
        <f>E_g!B5/(rat_weight!B5/1000)*0.1578</f>
        <v>1.9475316455696088</v>
      </c>
      <c r="C5" s="39">
        <f>E_g!C5/(rat_weight!C5/1000)*0.1578</f>
        <v>1.1235759493670885</v>
      </c>
      <c r="D5" s="39">
        <f>E_g!D5/(rat_weight!D5/1000)*0.1578</f>
        <v>1.0486708860759606</v>
      </c>
      <c r="E5" s="39">
        <f>E_g!E5/(rat_weight!E5/1000)*0.1578</f>
        <v>1.9725000000000084</v>
      </c>
      <c r="F5" s="39">
        <f>E_g!F5/(rat_weight!F5/1000)*0.1578</f>
        <v>1.6978481012658255</v>
      </c>
      <c r="G5" s="39">
        <f>E_g!G5/(rat_weight!G5/1000)*0.1578</f>
        <v>1.2523809523809382</v>
      </c>
      <c r="H5" s="39">
        <f>E_g!H5/(rat_weight!H5/1000)*0.1578</f>
        <v>1.5780000000000027</v>
      </c>
      <c r="I5" s="39">
        <f>E_g!I5/(rat_weight!I5/1000)*0.1578</f>
        <v>2.1540952380952723</v>
      </c>
      <c r="J5" s="39">
        <f>E_g!J5/(rat_weight!J5/1000)*0.1578</f>
        <v>1.0019047619047476</v>
      </c>
      <c r="K5" s="39">
        <f>E_g!K5/(rat_weight!K5/1000)*0.1578</f>
        <v>1.5279047619047958</v>
      </c>
      <c r="L5" s="39">
        <f>E_g!L5/(rat_weight!L5/1000)*0.1578</f>
        <v>1.8034285714285543</v>
      </c>
      <c r="M5" s="39">
        <f>E_g!M5/(rat_weight!M5/1000)*0.1578</f>
        <v>1.3776190476190335</v>
      </c>
      <c r="N5" s="39">
        <f>E_g!N5/(rat_weight!N5/1000)*0.1578</f>
        <v>1.7282857142857087</v>
      </c>
      <c r="O5" s="39">
        <f>E_g!O5/(rat_weight!O5/1000)*0.1578</f>
        <v>1.5028571428571285</v>
      </c>
      <c r="P5" s="39">
        <f>E_g!P5/(rat_weight!P5/1000)*0.1578</f>
        <v>1.2523809523809382</v>
      </c>
      <c r="Q5" s="39">
        <f>E_g!Q5/(rat_weight!Q5/1000)*0.1578</f>
        <v>1.3603448275862067</v>
      </c>
      <c r="R5" s="39">
        <f>E_g!R5/(rat_weight!R5/1000)*0.1578</f>
        <v>1.211943573667706</v>
      </c>
      <c r="S5" s="39">
        <f>E_g!S5/(rat_weight!S5/1000)*0.1578</f>
        <v>1.9044827586207007</v>
      </c>
      <c r="T5" s="39">
        <f>E_g!T5/(rat_weight!T5/1000)*0.1578</f>
        <v>1.4098119122257164</v>
      </c>
    </row>
    <row r="6" spans="1:25" s="39" customFormat="1">
      <c r="A6" s="41">
        <v>5</v>
      </c>
      <c r="B6" s="39">
        <f>E_g!B6/(rat_weight!B6/1000)*0.1578</f>
        <v>2.5742251223482251E-2</v>
      </c>
      <c r="C6" s="39">
        <f>E_g!C6/(rat_weight!C6/1000)*0.1578</f>
        <v>-1.2871125611733808E-2</v>
      </c>
      <c r="D6" s="39">
        <f>E_g!D6/(rat_weight!D6/1000)*0.1578</f>
        <v>5.1484502446993756E-2</v>
      </c>
      <c r="E6" s="39">
        <f>E_g!E6/(rat_weight!E6/1000)*0.1578</f>
        <v>1.2871125611741125E-2</v>
      </c>
      <c r="F6" s="39">
        <f>E_g!F6/(rat_weight!F6/1000)*0.1578</f>
        <v>0.10296900489396558</v>
      </c>
      <c r="G6" s="39">
        <f>E_g!G6/(rat_weight!G6/1000)*0.1578</f>
        <v>7.2105237108002446E-15</v>
      </c>
      <c r="H6" s="39">
        <f>E_g!H6/(rat_weight!H6/1000)*0.1578</f>
        <v>8.8794212218648069E-2</v>
      </c>
      <c r="I6" s="39">
        <f>E_g!I6/(rat_weight!I6/1000)*0.1578</f>
        <v>0.10147909967847966</v>
      </c>
      <c r="J6" s="39">
        <f>E_g!J6/(rat_weight!J6/1000)*0.1578</f>
        <v>2.5369774919612707E-2</v>
      </c>
      <c r="K6" s="39">
        <f>E_g!K6/(rat_weight!K6/1000)*0.1578</f>
        <v>3.8054662379429872E-2</v>
      </c>
      <c r="L6" s="39">
        <f>E_g!L6/(rat_weight!L6/1000)*0.1578</f>
        <v>2.485039370079305E-2</v>
      </c>
      <c r="M6" s="39">
        <f>E_g!M6/(rat_weight!M6/1000)*0.1578</f>
        <v>-6.212598425196144E-2</v>
      </c>
      <c r="N6" s="39">
        <f>E_g!N6/(rat_weight!N6/1000)*0.1578</f>
        <v>3.727559055117545E-2</v>
      </c>
      <c r="O6" s="39">
        <f>E_g!O6/(rat_weight!O6/1000)*0.1578</f>
        <v>7.0629066899492155E-15</v>
      </c>
      <c r="P6" s="39">
        <f>E_g!P6/(rat_weight!P6/1000)*0.1578</f>
        <v>0.14910236220472298</v>
      </c>
      <c r="Q6" s="39">
        <f>E_g!Q6/(rat_weight!Q6/1000)*0.1578</f>
        <v>3.6811819595639832E-2</v>
      </c>
      <c r="R6" s="39">
        <f>E_g!R6/(rat_weight!R6/1000)*0.1578</f>
        <v>-0.11043545878693345</v>
      </c>
      <c r="S6" s="39">
        <f>E_g!S6/(rat_weight!S6/1000)*0.1578</f>
        <v>1.2270606531884594E-2</v>
      </c>
      <c r="T6" s="39">
        <f>E_g!T6/(rat_weight!T6/1000)*0.1578</f>
        <v>6.1353032659409015E-2</v>
      </c>
    </row>
    <row r="7" spans="1:25" s="39" customFormat="1">
      <c r="A7" s="41">
        <v>6</v>
      </c>
      <c r="B7" s="39">
        <f>E_g!B7/(rat_weight!B7/1000)*0.1578</f>
        <v>0.94261061946902247</v>
      </c>
      <c r="C7" s="39">
        <f>E_g!C7/(rat_weight!C7/1000)*0.1578</f>
        <v>1.2393584070796499</v>
      </c>
      <c r="D7" s="39">
        <f>E_g!D7/(rat_weight!D7/1000)*0.1578</f>
        <v>1.5011946902655104</v>
      </c>
      <c r="E7" s="39">
        <f>E_g!E7/(rat_weight!E7/1000)*0.1578</f>
        <v>1.6233849557522142</v>
      </c>
      <c r="F7" s="39">
        <f>E_g!F7/(rat_weight!F7/1000)*0.1578</f>
        <v>0.73314159292035186</v>
      </c>
      <c r="G7" s="39">
        <f>E_g!G7/(rat_weight!G7/1000)*0.1578</f>
        <v>1.1049452954048198</v>
      </c>
      <c r="H7" s="39">
        <f>E_g!H7/(rat_weight!H7/1000)*0.1578</f>
        <v>1.2948577680525262</v>
      </c>
      <c r="I7" s="39">
        <f>E_g!I7/(rat_weight!I7/1000)*0.1578</f>
        <v>1.6228884026258361</v>
      </c>
      <c r="J7" s="39">
        <f>E_g!J7/(rat_weight!J7/1000)*0.1578</f>
        <v>0.86323851203500113</v>
      </c>
      <c r="K7" s="39">
        <f>E_g!K7/(rat_weight!K7/1000)*0.1578</f>
        <v>0.56973741794309929</v>
      </c>
      <c r="L7" s="39">
        <f>E_g!L7/(rat_weight!L7/1000)*0.1578</f>
        <v>1.0859354838709638</v>
      </c>
      <c r="M7" s="39">
        <f>E_g!M7/(rat_weight!M7/1000)*0.1578</f>
        <v>0.35632258064515548</v>
      </c>
      <c r="N7" s="39">
        <f>E_g!N7/(rat_weight!N7/1000)*0.1578</f>
        <v>0.76354838709677419</v>
      </c>
      <c r="O7" s="39">
        <f>E_g!O7/(rat_weight!O7/1000)*0.1578</f>
        <v>0.13574193548389218</v>
      </c>
      <c r="P7" s="39">
        <f>E_g!P7/(rat_weight!P7/1000)*0.1578</f>
        <v>0.57690322580643805</v>
      </c>
      <c r="Q7" s="39">
        <f>E_g!Q7/(rat_weight!Q7/1000)*0.1578</f>
        <v>0.1510851063829749</v>
      </c>
      <c r="R7" s="39">
        <f>E_g!R7/(rat_weight!R7/1000)*0.1578</f>
        <v>0.18465957446808892</v>
      </c>
      <c r="S7" s="39">
        <f>E_g!S7/(rat_weight!S7/1000)*0.1578</f>
        <v>0.21823404255320294</v>
      </c>
      <c r="T7" s="39">
        <f>E_g!T7/(rat_weight!T7/1000)*0.1578</f>
        <v>0.5539787234042477</v>
      </c>
    </row>
    <row r="8" spans="1:25" s="39" customFormat="1">
      <c r="A8" s="41">
        <v>7</v>
      </c>
      <c r="B8" s="39">
        <f>E_g!B8/(rat_weight!B8/1000)*0.1578</f>
        <v>1.6582372881355749</v>
      </c>
      <c r="C8" s="39">
        <f>E_g!C8/(rat_weight!C8/1000)*0.1578</f>
        <v>0.6151525423728692</v>
      </c>
      <c r="D8" s="39">
        <f>E_g!D8/(rat_weight!D8/1000)*0.1578</f>
        <v>1.28379661016951</v>
      </c>
      <c r="E8" s="39">
        <f>E_g!E8/(rat_weight!E8/1000)*0.1578</f>
        <v>1.2570508474576241</v>
      </c>
      <c r="F8" s="39">
        <f>E_g!F8/(rat_weight!F8/1000)*0.1578</f>
        <v>0.85586440677965803</v>
      </c>
      <c r="G8" s="39">
        <f>E_g!G8/(rat_weight!G8/1000)*0.1578</f>
        <v>0.75142857142857444</v>
      </c>
      <c r="H8" s="39">
        <f>E_g!H8/(rat_weight!H8/1000)*0.1578</f>
        <v>2.1201020408163358</v>
      </c>
      <c r="I8" s="39">
        <f>E_g!I8/(rat_weight!I8/1000)*0.1578</f>
        <v>1.7175510204081879</v>
      </c>
      <c r="J8" s="39">
        <f>E_g!J8/(rat_weight!J8/1000)*0.1578</f>
        <v>1.8248979591836767</v>
      </c>
      <c r="K8" s="39">
        <f>E_g!K8/(rat_weight!K8/1000)*0.1578</f>
        <v>0.77826530612244282</v>
      </c>
      <c r="L8" s="39">
        <f>E_g!L8/(rat_weight!L8/1000)*0.1578</f>
        <v>1.7186138613861148</v>
      </c>
      <c r="M8" s="39">
        <f>E_g!M8/(rat_weight!M8/1000)*0.1578</f>
        <v>1.2759405940594148</v>
      </c>
      <c r="N8" s="39">
        <f>E_g!N8/(rat_weight!N8/1000)*0.1578</f>
        <v>0.80722772277225363</v>
      </c>
      <c r="O8" s="39">
        <f>E_g!O8/(rat_weight!O8/1000)*0.1578</f>
        <v>0.52079207920793558</v>
      </c>
      <c r="P8" s="39">
        <f>E_g!P8/(rat_weight!P8/1000)*0.1578</f>
        <v>1.2499009900989833</v>
      </c>
      <c r="Q8" s="39">
        <f>E_g!Q8/(rat_weight!Q8/1000)*0.1578</f>
        <v>0.48990196078430781</v>
      </c>
      <c r="R8" s="39">
        <f>E_g!R8/(rat_weight!R8/1000)*0.1578</f>
        <v>0.79931372549020185</v>
      </c>
      <c r="S8" s="39">
        <f>E_g!S8/(rat_weight!S8/1000)*0.1578</f>
        <v>0.90245098039215688</v>
      </c>
      <c r="T8" s="39">
        <f>E_g!T8/(rat_weight!T8/1000)*0.1578</f>
        <v>1.2634313725490136</v>
      </c>
    </row>
    <row r="9" spans="1:25" s="39" customFormat="1">
      <c r="A9" s="41">
        <v>8</v>
      </c>
      <c r="B9" s="39">
        <f>E_g!B9/(rat_weight!B9/1000)*0.1578</f>
        <v>0.54315217391303694</v>
      </c>
      <c r="C9" s="39">
        <f>E_g!C9/(rat_weight!C9/1000)*0.1578</f>
        <v>0.75755434782609654</v>
      </c>
      <c r="D9" s="39">
        <f>E_g!D9/(rat_weight!D9/1000)*0.1578</f>
        <v>1.0577173913043445</v>
      </c>
      <c r="E9" s="39">
        <f>E_g!E9/(rat_weight!E9/1000)*0.1578</f>
        <v>0.90048913043476786</v>
      </c>
      <c r="F9" s="39">
        <f>E_g!F9/(rat_weight!F9/1000)*0.1578</f>
        <v>0.94336956521738624</v>
      </c>
      <c r="G9" s="39">
        <f>E_g!G9/(rat_weight!G9/1000)*0.1578</f>
        <v>0.53348754448398727</v>
      </c>
      <c r="H9" s="39">
        <f>E_g!H9/(rat_weight!H9/1000)*0.1578</f>
        <v>1.0529359430605061</v>
      </c>
      <c r="I9" s="39">
        <f>E_g!I9/(rat_weight!I9/1000)*0.1578</f>
        <v>0.98274021352314755</v>
      </c>
      <c r="J9" s="39">
        <f>E_g!J9/(rat_weight!J9/1000)*0.1578</f>
        <v>0.89850533807828048</v>
      </c>
      <c r="K9" s="39">
        <f>E_g!K9/(rat_weight!K9/1000)*0.1578</f>
        <v>1.2494839857651212</v>
      </c>
      <c r="L9" s="39">
        <f>E_g!L9/(rat_weight!L9/1000)*0.1578</f>
        <v>1.3477580071174247</v>
      </c>
      <c r="M9" s="39">
        <f>E_g!M9/(rat_weight!M9/1000)*0.1578</f>
        <v>1.5302669039145795</v>
      </c>
      <c r="N9" s="39">
        <f>E_g!N9/(rat_weight!N9/1000)*0.1578</f>
        <v>1.2775622775800584</v>
      </c>
      <c r="O9" s="39">
        <f>E_g!O9/(rat_weight!O9/1000)*0.1578</f>
        <v>1.0950533807829357</v>
      </c>
      <c r="P9" s="39">
        <f>E_g!P9/(rat_weight!P9/1000)*0.1578</f>
        <v>0.67387900355870445</v>
      </c>
      <c r="Q9" s="39">
        <f>E_g!Q9/(rat_weight!Q9/1000)*0.1578</f>
        <v>0.82683836589697735</v>
      </c>
      <c r="R9" s="39">
        <f>E_g!R9/(rat_weight!R9/1000)*0.1578</f>
        <v>0.93895204262878085</v>
      </c>
      <c r="S9" s="39">
        <f>E_g!S9/(rat_weight!S9/1000)*0.1578</f>
        <v>0.65866785079929591</v>
      </c>
      <c r="T9" s="39">
        <f>E_g!T9/(rat_weight!T9/1000)*0.1578</f>
        <v>0.65866785079928003</v>
      </c>
    </row>
    <row r="10" spans="1:25" s="39" customFormat="1">
      <c r="A10" s="41">
        <v>9</v>
      </c>
      <c r="B10" s="39">
        <f>E_g!B10/(rat_weight!B10/1000)*0.1578</f>
        <v>7.3395348837184279E-2</v>
      </c>
      <c r="C10" s="39">
        <f>E_g!C10/(rat_weight!C10/1000)*0.1578</f>
        <v>-1.8348837209306496E-2</v>
      </c>
      <c r="D10" s="39">
        <f>E_g!D10/(rat_weight!D10/1000)*0.1578</f>
        <v>3.6697674418612991E-2</v>
      </c>
      <c r="E10" s="39">
        <f>E_g!E10/(rat_weight!E10/1000)*0.1578</f>
        <v>-1.8348837209316928E-2</v>
      </c>
      <c r="F10" s="39">
        <f>E_g!F10/(rat_weight!F10/1000)*0.1578</f>
        <v>0.22018604651164669</v>
      </c>
      <c r="G10" s="39">
        <f>E_g!G10/(rat_weight!G10/1000)*0.1578</f>
        <v>0.10427312775331779</v>
      </c>
      <c r="H10" s="39">
        <f>E_g!H10/(rat_weight!H10/1000)*0.1578</f>
        <v>1.7378854625564488E-2</v>
      </c>
      <c r="I10" s="39">
        <f>E_g!I10/(rat_weight!I10/1000)*0.1578</f>
        <v>6.9515418502218443E-2</v>
      </c>
      <c r="J10" s="39">
        <f>E_g!J10/(rat_weight!J10/1000)*0.1578</f>
        <v>6.9515418502188814E-2</v>
      </c>
      <c r="K10" s="39">
        <f>E_g!K10/(rat_weight!K10/1000)*0.1578</f>
        <v>5.2136563876663836E-2</v>
      </c>
      <c r="L10" s="39">
        <f>E_g!L10/(rat_weight!L10/1000)*0.1578</f>
        <v>0.14184269662920543</v>
      </c>
      <c r="M10" s="39">
        <f>E_g!M10/(rat_weight!M10/1000)*0.1578</f>
        <v>-8.8651685393268509E-2</v>
      </c>
      <c r="N10" s="39">
        <f>E_g!N10/(rat_weight!N10/1000)*0.1578</f>
        <v>8.8651685393238269E-2</v>
      </c>
      <c r="O10" s="39">
        <f>E_g!O10/(rat_weight!O10/1000)*0.1578</f>
        <v>-1.007852977105113E-14</v>
      </c>
      <c r="P10" s="39">
        <f>E_g!P10/(rat_weight!P10/1000)*0.1578</f>
        <v>0.10638202247190406</v>
      </c>
      <c r="Q10" s="39">
        <f>E_g!Q10/(rat_weight!Q10/1000)*0.1578</f>
        <v>1.7494456762753421E-2</v>
      </c>
      <c r="R10" s="39">
        <f>E_g!R10/(rat_weight!R10/1000)*0.1578</f>
        <v>-1.7494456762753421E-2</v>
      </c>
      <c r="S10" s="39">
        <f>E_g!S10/(rat_weight!S10/1000)*0.1578</f>
        <v>1.7494456762753421E-2</v>
      </c>
      <c r="T10" s="39">
        <f>E_g!T10/(rat_weight!T10/1000)*0.1578</f>
        <v>0.12246119733923418</v>
      </c>
    </row>
    <row r="11" spans="1:25" s="39" customFormat="1">
      <c r="A11" s="41">
        <v>10</v>
      </c>
      <c r="B11" s="39">
        <f>E_g!B11/(rat_weight!B11/1000)*0.1578</f>
        <v>-1.5709091937365157E-14</v>
      </c>
      <c r="C11" s="39">
        <f>E_g!C11/(rat_weight!C11/1000)*0.1578</f>
        <v>-1.3817863397551304E-2</v>
      </c>
      <c r="D11" s="39">
        <f>E_g!D11/(rat_weight!D11/1000)*0.1578</f>
        <v>0.13817863397548161</v>
      </c>
      <c r="E11" s="39">
        <f>E_g!E11/(rat_weight!E11/1000)*0.1578</f>
        <v>0.12436077057793817</v>
      </c>
      <c r="F11" s="39">
        <f>E_g!F11/(rat_weight!F11/1000)*0.1578</f>
        <v>2.7635726795094753E-2</v>
      </c>
      <c r="G11" s="39">
        <f>E_g!G11/(rat_weight!G11/1000)*0.1578</f>
        <v>5.4320137693636299E-2</v>
      </c>
      <c r="H11" s="39">
        <f>E_g!H11/(rat_weight!H11/1000)*0.1578</f>
        <v>9.5060240963869322E-2</v>
      </c>
      <c r="I11" s="39">
        <f>E_g!I11/(rat_weight!I11/1000)*0.1578</f>
        <v>0.13580034423409462</v>
      </c>
      <c r="J11" s="39">
        <f>E_g!J11/(rat_weight!J11/1000)*0.1578</f>
        <v>5.4320137693636299E-2</v>
      </c>
      <c r="K11" s="39">
        <f>E_g!K11/(rat_weight!K11/1000)*0.1578</f>
        <v>4.0740103270233023E-2</v>
      </c>
      <c r="L11" s="39">
        <f>E_g!L11/(rat_weight!L11/1000)*0.1578</f>
        <v>8.1620689655160047E-2</v>
      </c>
      <c r="M11" s="39">
        <f>E_g!M11/(rat_weight!M11/1000)*0.1578</f>
        <v>-9.5224137931032932E-2</v>
      </c>
      <c r="N11" s="39">
        <f>E_g!N11/(rat_weight!N11/1000)*0.1578</f>
        <v>9.5224137931025216E-2</v>
      </c>
      <c r="O11" s="39">
        <f>E_g!O11/(rat_weight!O11/1000)*0.1578</f>
        <v>-7.732665082961643E-15</v>
      </c>
      <c r="P11" s="39">
        <f>E_g!P11/(rat_weight!P11/1000)*0.1578</f>
        <v>0.1632413793103433</v>
      </c>
      <c r="Q11" s="39">
        <f>E_g!Q11/(rat_weight!Q11/1000)*0.1578</f>
        <v>4.0255102040810231E-2</v>
      </c>
      <c r="R11" s="39">
        <f>E_g!R11/(rat_weight!R11/1000)*0.1578</f>
        <v>1.3418367346926573E-2</v>
      </c>
      <c r="S11" s="39">
        <f>E_g!S11/(rat_weight!S11/1000)*0.1578</f>
        <v>4.0255102040810231E-2</v>
      </c>
      <c r="T11" s="39">
        <f>E_g!T11/(rat_weight!T11/1000)*0.1578</f>
        <v>0.14760204081632958</v>
      </c>
    </row>
    <row r="12" spans="1:25" s="39" customFormat="1">
      <c r="A12" s="41">
        <v>11</v>
      </c>
      <c r="B12" s="39">
        <f>E_g!B12/(rat_weight!B12/1000)*0.1578</f>
        <v>2.4822471910111958</v>
      </c>
      <c r="C12" s="39">
        <f>E_g!C12/(rat_weight!C12/1000)*0.1578</f>
        <v>2.2606179775281001</v>
      </c>
      <c r="D12" s="39">
        <f>E_g!D12/(rat_weight!D12/1000)*0.1578</f>
        <v>2.5708988764045246</v>
      </c>
      <c r="E12" s="39">
        <f>E_g!E12/(rat_weight!E12/1000)*0.1578</f>
        <v>1.9946629213482894</v>
      </c>
      <c r="F12" s="39">
        <f>E_g!F12/(rat_weight!F12/1000)*0.1578</f>
        <v>1.5957303370786871</v>
      </c>
      <c r="G12" s="39">
        <f>E_g!G12/(rat_weight!G12/1000)*0.1578</f>
        <v>2.4486206896551881</v>
      </c>
      <c r="H12" s="39">
        <f>E_g!H12/(rat_weight!H12/1000)*0.1578</f>
        <v>1.8591379310345189</v>
      </c>
      <c r="I12" s="39">
        <f>E_g!I12/(rat_weight!I12/1000)*0.1578</f>
        <v>2.357931034482831</v>
      </c>
      <c r="J12" s="39">
        <f>E_g!J12/(rat_weight!J12/1000)*0.1578</f>
        <v>0.90689655172411221</v>
      </c>
      <c r="K12" s="39">
        <f>E_g!K12/(rat_weight!K12/1000)*0.1578</f>
        <v>0.22672413793108603</v>
      </c>
      <c r="L12" s="39">
        <f>E_g!L12/(rat_weight!L12/1000)*0.1578</f>
        <v>2.0621590909091014</v>
      </c>
      <c r="M12" s="39">
        <f>E_g!M12/(rat_weight!M12/1000)*0.1578</f>
        <v>0.31380681818181311</v>
      </c>
      <c r="N12" s="39">
        <f>E_g!N12/(rat_weight!N12/1000)*0.1578</f>
        <v>1.3897159090908684</v>
      </c>
      <c r="O12" s="39">
        <f>E_g!O12/(rat_weight!O12/1000)*0.1578</f>
        <v>0.98625000000004592</v>
      </c>
      <c r="P12" s="39">
        <f>E_g!P12/(rat_weight!P12/1000)*0.1578</f>
        <v>1.7035227272727325</v>
      </c>
      <c r="Q12" s="39">
        <f>E_g!Q12/(rat_weight!Q12/1000)*0.1578</f>
        <v>0.49312500000001019</v>
      </c>
      <c r="R12" s="39">
        <f>E_g!R12/(rat_weight!R12/1000)*0.1578</f>
        <v>0.40346590909089891</v>
      </c>
      <c r="S12" s="39">
        <f>E_g!S12/(rat_weight!S12/1000)*0.1578</f>
        <v>0.94142045454546475</v>
      </c>
      <c r="T12" s="39">
        <f>E_g!T12/(rat_weight!T12/1000)*0.1578</f>
        <v>0.40346590909089891</v>
      </c>
    </row>
    <row r="13" spans="1:25" s="39" customFormat="1">
      <c r="A13" s="41">
        <v>12</v>
      </c>
      <c r="B13" s="39">
        <f>E_g!B13/(rat_weight!B13/1000)*0.1578</f>
        <v>1.9541795665634396</v>
      </c>
      <c r="C13" s="39">
        <f>E_g!C13/(rat_weight!C13/1000)*0.1578</f>
        <v>1.9297523219814183</v>
      </c>
      <c r="D13" s="39">
        <f>E_g!D13/(rat_weight!D13/1000)*0.1578</f>
        <v>2.2473065015479987</v>
      </c>
      <c r="E13" s="39">
        <f>E_g!E13/(rat_weight!E13/1000)*0.1578</f>
        <v>1.6366253869969012</v>
      </c>
      <c r="F13" s="39">
        <f>E_g!F13/(rat_weight!F13/1000)*0.1578</f>
        <v>2.5404334365325156</v>
      </c>
      <c r="G13" s="39">
        <f>E_g!G13/(rat_weight!G13/1000)*0.1578</f>
        <v>0.94283018867924806</v>
      </c>
      <c r="H13" s="39">
        <f>E_g!H13/(rat_weight!H13/1000)*0.1578</f>
        <v>0.8683962264151085</v>
      </c>
      <c r="I13" s="39">
        <f>E_g!I13/(rat_weight!I13/1000)*0.1578</f>
        <v>1.141320754717015</v>
      </c>
      <c r="J13" s="39">
        <f>E_g!J13/(rat_weight!J13/1000)*0.1578</f>
        <v>0.89320754716980288</v>
      </c>
      <c r="K13" s="39">
        <f>E_g!K13/(rat_weight!K13/1000)*0.1578</f>
        <v>1.0172641509434017</v>
      </c>
      <c r="L13" s="39">
        <f>E_g!L13/(rat_weight!L13/1000)*0.1578</f>
        <v>0.74200626959247651</v>
      </c>
      <c r="M13" s="39">
        <f>E_g!M13/(rat_weight!M13/1000)*0.1578</f>
        <v>0.81620689655169876</v>
      </c>
      <c r="N13" s="39">
        <f>E_g!N13/(rat_weight!N13/1000)*0.1578</f>
        <v>1.1624764890281962</v>
      </c>
      <c r="O13" s="39">
        <f>E_g!O13/(rat_weight!O13/1000)*0.1578</f>
        <v>0.69253918495298084</v>
      </c>
      <c r="P13" s="39">
        <f>E_g!P13/(rat_weight!P13/1000)*0.1578</f>
        <v>0.93987460815044488</v>
      </c>
      <c r="Q13" s="39">
        <f>E_g!Q13/(rat_weight!Q13/1000)*0.1578</f>
        <v>0.46555900621120239</v>
      </c>
      <c r="R13" s="39">
        <f>E_g!R13/(rat_weight!R13/1000)*0.1578</f>
        <v>0.17152173913044591</v>
      </c>
      <c r="S13" s="39">
        <f>E_g!S13/(rat_weight!S13/1000)*0.1578</f>
        <v>0.17152173913044591</v>
      </c>
      <c r="T13" s="39">
        <f>E_g!T13/(rat_weight!T13/1000)*0.1578</f>
        <v>0.61257763975155277</v>
      </c>
    </row>
    <row r="14" spans="1:25" s="39" customFormat="1">
      <c r="A14" s="41">
        <v>13</v>
      </c>
      <c r="B14" s="39">
        <f>E_g!B14/(rat_weight!B14/1000)*0.1578</f>
        <v>2.2690196078431253</v>
      </c>
      <c r="C14" s="39">
        <f>E_g!C14/(rat_weight!C14/1000)*0.1578</f>
        <v>2.0369607843137492</v>
      </c>
      <c r="D14" s="39">
        <f>E_g!D14/(rat_weight!D14/1000)*0.1578</f>
        <v>2.114313725490208</v>
      </c>
      <c r="E14" s="39">
        <f>E_g!E14/(rat_weight!E14/1000)*0.1578</f>
        <v>1.7275490196078402</v>
      </c>
      <c r="F14" s="39">
        <f>E_g!F14/(rat_weight!F14/1000)*0.1578</f>
        <v>1.3923529411764501</v>
      </c>
      <c r="G14" s="39">
        <f>E_g!G14/(rat_weight!G14/1000)*0.1578</f>
        <v>2.6641558441558528</v>
      </c>
      <c r="H14" s="39">
        <f>E_g!H14/(rat_weight!H14/1000)*0.1578</f>
        <v>2.1774350649350795</v>
      </c>
      <c r="I14" s="39">
        <f>E_g!I14/(rat_weight!I14/1000)*0.1578</f>
        <v>2.9203246753246987</v>
      </c>
      <c r="J14" s="39">
        <f>E_g!J14/(rat_weight!J14/1000)*0.1578</f>
        <v>1.3320779220779191</v>
      </c>
      <c r="K14" s="39">
        <f>E_g!K14/(rat_weight!K14/1000)*0.1578</f>
        <v>2.7922402597402542</v>
      </c>
      <c r="L14" s="39">
        <f>E_g!L14/(rat_weight!L14/1000)*0.1578</f>
        <v>2.2980582524271553</v>
      </c>
      <c r="M14" s="39">
        <f>E_g!M14/(rat_weight!M14/1000)*0.1578</f>
        <v>1.4554368932038808</v>
      </c>
      <c r="N14" s="39">
        <f>E_g!N14/(rat_weight!N14/1000)*0.1578</f>
        <v>2.6299999999999883</v>
      </c>
      <c r="O14" s="39">
        <f>E_g!O14/(rat_weight!O14/1000)*0.1578</f>
        <v>2.4001941747572904</v>
      </c>
      <c r="P14" s="39">
        <f>E_g!P14/(rat_weight!P14/1000)*0.1578</f>
        <v>2.5023300970873814</v>
      </c>
      <c r="Q14" s="39">
        <f>E_g!Q14/(rat_weight!Q14/1000)*0.1578</f>
        <v>1.0537133550488365</v>
      </c>
      <c r="R14" s="39">
        <f>E_g!R14/(rat_weight!R14/1000)*0.1578</f>
        <v>0.17990228013027562</v>
      </c>
      <c r="S14" s="39">
        <f>E_g!S14/(rat_weight!S14/1000)*0.1578</f>
        <v>0.89951140065146573</v>
      </c>
      <c r="T14" s="39">
        <f>E_g!T14/(rat_weight!T14/1000)*0.1578</f>
        <v>1.0023127035830559</v>
      </c>
    </row>
    <row r="15" spans="1:25" s="39" customFormat="1">
      <c r="A15" s="41">
        <v>14</v>
      </c>
      <c r="B15" s="39">
        <f>E_g!B15/(rat_weight!B15/1000)*0.1578</f>
        <v>1.8612307692307324</v>
      </c>
      <c r="C15" s="39">
        <f>E_g!C15/(rat_weight!C15/1000)*0.1578</f>
        <v>1.9016923076922798</v>
      </c>
      <c r="D15" s="39">
        <f>E_g!D15/(rat_weight!D15/1000)*0.1578</f>
        <v>1.780307692307729</v>
      </c>
      <c r="E15" s="39">
        <f>E_g!E15/(rat_weight!E15/1000)*0.1578</f>
        <v>1.4161538461538692</v>
      </c>
      <c r="F15" s="39">
        <f>E_g!F15/(rat_weight!F15/1000)*0.1578</f>
        <v>1.5375384615384662</v>
      </c>
      <c r="G15" s="39">
        <f>E_g!G15/(rat_weight!G15/1000)*0.1578</f>
        <v>1.3827835051546531</v>
      </c>
      <c r="H15" s="39">
        <f>E_g!H15/(rat_weight!H15/1000)*0.1578</f>
        <v>1.6674742268041558</v>
      </c>
      <c r="I15" s="39">
        <f>E_g!I15/(rat_weight!I15/1000)*0.1578</f>
        <v>1.6268041237113862</v>
      </c>
      <c r="J15" s="39">
        <f>E_g!J15/(rat_weight!J15/1000)*0.1578</f>
        <v>1.7894845360824418</v>
      </c>
      <c r="K15" s="39">
        <f>E_g!K15/(rat_weight!K15/1000)*0.1578</f>
        <v>1.5047938144330082</v>
      </c>
      <c r="L15" s="39">
        <f>E_g!L15/(rat_weight!L15/1000)*0.1578</f>
        <v>2.231515151515115</v>
      </c>
      <c r="M15" s="39">
        <f>E_g!M15/(rat_weight!M15/1000)*0.1578</f>
        <v>1.3149999999999591</v>
      </c>
      <c r="N15" s="39">
        <f>E_g!N15/(rat_weight!N15/1000)*0.1578</f>
        <v>2.1916666666666211</v>
      </c>
      <c r="O15" s="39">
        <f>E_g!O15/(rat_weight!O15/1000)*0.1578</f>
        <v>0.95636363636364996</v>
      </c>
      <c r="P15" s="39">
        <f>E_g!P15/(rat_weight!P15/1000)*0.1578</f>
        <v>1.4345454545454408</v>
      </c>
      <c r="Q15" s="39">
        <f>E_g!Q15/(rat_weight!Q15/1000)*0.1578</f>
        <v>0.60076142131979693</v>
      </c>
      <c r="R15" s="39">
        <f>E_g!R15/(rat_weight!R15/1000)*0.1578</f>
        <v>0.28035532994921125</v>
      </c>
      <c r="S15" s="39">
        <f>E_g!S15/(rat_weight!S15/1000)*0.1578</f>
        <v>0.44055837563452682</v>
      </c>
      <c r="T15" s="39">
        <f>E_g!T15/(rat_weight!T15/1000)*0.1578</f>
        <v>0.36045685279186906</v>
      </c>
    </row>
    <row r="16" spans="1:25" s="39" customFormat="1">
      <c r="A16" s="41">
        <v>15</v>
      </c>
      <c r="B16" s="39">
        <f>E_g!B16/(rat_weight!B16/1000)*0.1578</f>
        <v>0.21984520123837065</v>
      </c>
      <c r="C16" s="39">
        <f>E_g!C16/(rat_weight!C16/1000)*0.1578</f>
        <v>0.15877708978327618</v>
      </c>
      <c r="D16" s="39">
        <f>E_g!D16/(rat_weight!D16/1000)*0.1578</f>
        <v>0.31755417956656623</v>
      </c>
      <c r="E16" s="39">
        <f>E_g!E16/(rat_weight!E16/1000)*0.1578</f>
        <v>0.18320433436531811</v>
      </c>
      <c r="F16" s="39">
        <f>E_g!F16/(rat_weight!F16/1000)*0.1578</f>
        <v>0.1954179566563426</v>
      </c>
      <c r="G16" s="39">
        <f>E_g!G16/(rat_weight!G16/1000)*0.1578</f>
        <v>0.4825688073394564</v>
      </c>
      <c r="H16" s="39">
        <f>E_g!H16/(rat_weight!H16/1000)*0.1578</f>
        <v>0.37399082568808295</v>
      </c>
      <c r="I16" s="39">
        <f>E_g!I16/(rat_weight!I16/1000)*0.1578</f>
        <v>0.21715596330276052</v>
      </c>
      <c r="J16" s="39">
        <f>E_g!J16/(rat_weight!J16/1000)*0.1578</f>
        <v>-2.4128440366984819E-2</v>
      </c>
      <c r="K16" s="39">
        <f>E_g!K16/(rat_weight!K16/1000)*0.1578</f>
        <v>0.13270642201835137</v>
      </c>
      <c r="L16" s="39">
        <f>E_g!L16/(rat_weight!L16/1000)*0.1578</f>
        <v>0.44749253731342747</v>
      </c>
      <c r="M16" s="39">
        <f>E_g!M16/(rat_weight!M16/1000)*0.1578</f>
        <v>-8.2432835820894182E-2</v>
      </c>
      <c r="N16" s="39">
        <f>E_g!N16/(rat_weight!N16/1000)*0.1578</f>
        <v>5.8880597014925366E-2</v>
      </c>
      <c r="O16" s="39">
        <f>E_g!O16/(rat_weight!O16/1000)*0.1578</f>
        <v>-2.3552238805968805E-2</v>
      </c>
      <c r="P16" s="39">
        <f>E_g!P16/(rat_weight!P16/1000)*0.1578</f>
        <v>4.7104477611930921E-2</v>
      </c>
      <c r="Q16" s="39">
        <f>E_g!Q16/(rat_weight!Q16/1000)*0.1578</f>
        <v>-1.184684684684954E-2</v>
      </c>
      <c r="R16" s="39">
        <f>E_g!R16/(rat_weight!R16/1000)*0.1578</f>
        <v>-5.9234234234234226E-2</v>
      </c>
      <c r="S16" s="39">
        <f>E_g!S16/(rat_weight!S16/1000)*0.1578</f>
        <v>3.5540540540548615E-2</v>
      </c>
      <c r="T16" s="39">
        <f>E_g!T16/(rat_weight!T16/1000)*0.1578</f>
        <v>0.10662162162161892</v>
      </c>
    </row>
    <row r="17" spans="1:20" s="39" customFormat="1">
      <c r="A17" s="41">
        <v>16</v>
      </c>
      <c r="B17" s="39">
        <f>E_g!B17/(rat_weight!B17/1000)*0.1578</f>
        <v>0.28690909090908362</v>
      </c>
      <c r="C17" s="39">
        <f>E_g!C17/(rat_weight!C17/1000)*0.1578</f>
        <v>0.39848484848484844</v>
      </c>
      <c r="D17" s="39">
        <f>E_g!D17/(rat_weight!D17/1000)*0.1578</f>
        <v>0.76509090909091992</v>
      </c>
      <c r="E17" s="39">
        <f>E_g!E17/(rat_weight!E17/1000)*0.1578</f>
        <v>0.43036363636363456</v>
      </c>
      <c r="F17" s="39">
        <f>E_g!F17/(rat_weight!F17/1000)*0.1578</f>
        <v>0.66945454545454353</v>
      </c>
      <c r="G17" s="39">
        <f>E_g!G17/(rat_weight!G17/1000)*0.1578</f>
        <v>0.62125984251969391</v>
      </c>
      <c r="H17" s="39">
        <f>E_g!H17/(rat_weight!H17/1000)*0.1578</f>
        <v>0.72998031496062821</v>
      </c>
      <c r="I17" s="39">
        <f>E_g!I17/(rat_weight!I17/1000)*0.1578</f>
        <v>0.93188976377954524</v>
      </c>
      <c r="J17" s="39">
        <f>E_g!J17/(rat_weight!J17/1000)*0.1578</f>
        <v>0.24850393700786869</v>
      </c>
      <c r="K17" s="39">
        <f>E_g!K17/(rat_weight!K17/1000)*0.1578</f>
        <v>0.63679133858268067</v>
      </c>
      <c r="L17" s="39">
        <f>E_g!L17/(rat_weight!L17/1000)*0.1578</f>
        <v>0.74551181102361497</v>
      </c>
      <c r="M17" s="39">
        <f>E_g!M17/(rat_weight!M17/1000)*0.1578</f>
        <v>-4.6594488188978142E-2</v>
      </c>
      <c r="N17" s="39">
        <f>E_g!N17/(rat_weight!N17/1000)*0.1578</f>
        <v>4.6594488188969316E-2</v>
      </c>
      <c r="O17" s="39">
        <f>E_g!O17/(rat_weight!O17/1000)*0.1578</f>
        <v>0.21744094488189505</v>
      </c>
      <c r="P17" s="39">
        <f>E_g!P17/(rat_weight!P17/1000)*0.1578</f>
        <v>0.55913385826771123</v>
      </c>
      <c r="Q17" s="39">
        <f>E_g!Q17/(rat_weight!Q17/1000)*0.1578</f>
        <v>1.5440313111549498E-2</v>
      </c>
      <c r="R17" s="39">
        <f>E_g!R17/(rat_weight!R17/1000)*0.1578</f>
        <v>-1.5440313111549498E-2</v>
      </c>
      <c r="S17" s="39">
        <f>E_g!S17/(rat_weight!S17/1000)*0.1578</f>
        <v>-1.5440313111531946E-2</v>
      </c>
      <c r="T17" s="39">
        <f>E_g!T17/(rat_weight!T17/1000)*0.1578</f>
        <v>4.6320939334630946E-2</v>
      </c>
    </row>
    <row r="18" spans="1:20" s="39" customFormat="1">
      <c r="A18" s="41">
        <v>17</v>
      </c>
      <c r="B18" s="39">
        <f>E_g!B18/(rat_weight!B18/1000)*0.1578</f>
        <v>1.2273333333333298</v>
      </c>
      <c r="C18" s="39">
        <f>E_g!C18/(rat_weight!C18/1000)*0.1578</f>
        <v>1.6802777777777775</v>
      </c>
      <c r="D18" s="39">
        <f>E_g!D18/(rat_weight!D18/1000)*0.1578</f>
        <v>1.3442222222222286</v>
      </c>
      <c r="E18" s="39">
        <f>E_g!E18/(rat_weight!E18/1000)*0.1578</f>
        <v>1.1250555555555537</v>
      </c>
      <c r="F18" s="39">
        <f>E_g!F18/(rat_weight!F18/1000)*0.1578</f>
        <v>0.96433333333334492</v>
      </c>
      <c r="G18" s="39">
        <f>E_g!G18/(rat_weight!G18/1000)*0.1578</f>
        <v>1.2138461538461587</v>
      </c>
      <c r="H18" s="39">
        <f>E_g!H18/(rat_weight!H18/1000)*0.1578</f>
        <v>1.2571978021978003</v>
      </c>
      <c r="I18" s="39">
        <f>E_g!I18/(rat_weight!I18/1000)*0.1578</f>
        <v>1.4161538461538559</v>
      </c>
      <c r="J18" s="39">
        <f>E_g!J18/(rat_weight!J18/1000)*0.1578</f>
        <v>0.8092307692307642</v>
      </c>
      <c r="K18" s="39">
        <f>E_g!K18/(rat_weight!K18/1000)*0.1578</f>
        <v>1.1704945054945251</v>
      </c>
      <c r="L18" s="39">
        <f>E_g!L18/(rat_weight!L18/1000)*0.1578</f>
        <v>2.1192740471869262</v>
      </c>
      <c r="M18" s="39">
        <f>E_g!M18/(rat_weight!M18/1000)*0.1578</f>
        <v>1.1598729582577083</v>
      </c>
      <c r="N18" s="39">
        <f>E_g!N18/(rat_weight!N18/1000)*0.1578</f>
        <v>1.2171506352087114</v>
      </c>
      <c r="O18" s="39">
        <f>E_g!O18/(rat_weight!O18/1000)*0.1578</f>
        <v>0.74460980036297464</v>
      </c>
      <c r="P18" s="39">
        <f>E_g!P18/(rat_weight!P18/1000)*0.1578</f>
        <v>0.8018874773139697</v>
      </c>
      <c r="Q18" s="39">
        <f>E_g!Q18/(rat_weight!Q18/1000)*0.1578</f>
        <v>0.97564516129031931</v>
      </c>
      <c r="R18" s="39">
        <f>E_g!R18/(rat_weight!R18/1000)*0.1578</f>
        <v>0.55145161290322253</v>
      </c>
      <c r="S18" s="39">
        <f>E_g!S18/(rat_weight!S18/1000)*0.1578</f>
        <v>0.94736559139785581</v>
      </c>
      <c r="T18" s="39">
        <f>E_g!T18/(rat_weight!T18/1000)*0.1578</f>
        <v>0.94736559139783971</v>
      </c>
    </row>
    <row r="19" spans="1:20" s="39" customFormat="1">
      <c r="A19" s="41">
        <v>18</v>
      </c>
      <c r="B19" s="39">
        <f>E_g!B19/(rat_weight!B19/1000)*0.1578</f>
        <v>1.6665346534653407</v>
      </c>
      <c r="C19" s="39">
        <f>E_g!C19/(rat_weight!C19/1000)*0.1578</f>
        <v>1.5884158415841645</v>
      </c>
      <c r="D19" s="39">
        <f>E_g!D19/(rat_weight!D19/1000)*0.1578</f>
        <v>1.6665346534653702</v>
      </c>
      <c r="E19" s="39">
        <f>E_g!E19/(rat_weight!E19/1000)*0.1578</f>
        <v>2.3175247524752267</v>
      </c>
      <c r="F19" s="39">
        <f>E_g!F19/(rat_weight!F19/1000)*0.1578</f>
        <v>1.3019801980197871</v>
      </c>
      <c r="G19" s="39">
        <f>E_g!G19/(rat_weight!G19/1000)*0.1578</f>
        <v>0.62701986754967776</v>
      </c>
      <c r="H19" s="39">
        <f>E_g!H19/(rat_weight!H19/1000)*0.1578</f>
        <v>1.0189072847682208</v>
      </c>
      <c r="I19" s="39">
        <f>E_g!I19/(rat_weight!I19/1000)*0.1578</f>
        <v>1.2540397350993555</v>
      </c>
      <c r="J19" s="39">
        <f>E_g!J19/(rat_weight!J19/1000)*0.1578</f>
        <v>1.6720529801324593</v>
      </c>
      <c r="K19" s="39">
        <f>E_g!K19/(rat_weight!K19/1000)*0.1578</f>
        <v>1.5936754966887476</v>
      </c>
      <c r="L19" s="39">
        <f>E_g!L19/(rat_weight!L19/1000)*0.1578</f>
        <v>1.5675496688741424</v>
      </c>
      <c r="M19" s="39">
        <f>E_g!M19/(rat_weight!M19/1000)*0.1578</f>
        <v>1.8549337748344281</v>
      </c>
      <c r="N19" s="39">
        <f>E_g!N19/(rat_weight!N19/1000)*0.1578</f>
        <v>2.4819536423841062</v>
      </c>
      <c r="O19" s="39">
        <f>E_g!O19/(rat_weight!O19/1000)*0.1578</f>
        <v>1.5675496688741573</v>
      </c>
      <c r="P19" s="39">
        <f>E_g!P19/(rat_weight!P19/1000)*0.1578</f>
        <v>1.4630463576158554</v>
      </c>
      <c r="Q19" s="39">
        <f>E_g!Q19/(rat_weight!Q19/1000)*0.1578</f>
        <v>0.38425324675324674</v>
      </c>
      <c r="R19" s="39">
        <f>E_g!R19/(rat_weight!R19/1000)*0.1578</f>
        <v>0.94782467532465775</v>
      </c>
      <c r="S19" s="39">
        <f>E_g!S19/(rat_weight!S19/1000)*0.1578</f>
        <v>0.89659090909090899</v>
      </c>
      <c r="T19" s="39">
        <f>E_g!T19/(rat_weight!T19/1000)*0.1578</f>
        <v>1.3576948051947935</v>
      </c>
    </row>
    <row r="20" spans="1:20" s="39" customFormat="1">
      <c r="A20" s="41">
        <v>19</v>
      </c>
      <c r="B20" s="39">
        <f>E_g!B20/(rat_weight!B20/1000)*0.1578</f>
        <v>0.62241299303941811</v>
      </c>
      <c r="C20" s="39">
        <f>E_g!C20/(rat_weight!C20/1000)*0.1578</f>
        <v>0.38443155452436611</v>
      </c>
      <c r="D20" s="39">
        <f>E_g!D20/(rat_weight!D20/1000)*0.1578</f>
        <v>0.14645011600929322</v>
      </c>
      <c r="E20" s="39">
        <f>E_g!E20/(rat_weight!E20/1000)*0.1578</f>
        <v>0.34781902552202715</v>
      </c>
      <c r="F20" s="39">
        <f>E_g!F20/(rat_weight!F20/1000)*0.1578</f>
        <v>0.14645011600928282</v>
      </c>
      <c r="G20" s="39">
        <f>E_g!G20/(rat_weight!G20/1000)*0.1578</f>
        <v>0.22814457831327248</v>
      </c>
      <c r="H20" s="39">
        <f>E_g!H20/(rat_weight!H20/1000)*0.1578</f>
        <v>0.20913253012047545</v>
      </c>
      <c r="I20" s="39">
        <f>E_g!I20/(rat_weight!I20/1000)*0.1578</f>
        <v>0.11407228915665245</v>
      </c>
      <c r="J20" s="39">
        <f>E_g!J20/(rat_weight!J20/1000)*0.1578</f>
        <v>0.30419277108433085</v>
      </c>
      <c r="K20" s="39">
        <f>E_g!K20/(rat_weight!K20/1000)*0.1578</f>
        <v>0.17110843373495704</v>
      </c>
      <c r="L20" s="39">
        <f>E_g!L20/(rat_weight!L20/1000)*0.1578</f>
        <v>0.4849645390070752</v>
      </c>
      <c r="M20" s="39">
        <f>E_g!M20/(rat_weight!M20/1000)*0.1578</f>
        <v>1.8652482269497183E-2</v>
      </c>
      <c r="N20" s="39">
        <f>E_g!N20/(rat_weight!N20/1000)*0.1578</f>
        <v>0.16787234042552768</v>
      </c>
      <c r="O20" s="39">
        <f>E_g!O20/(rat_weight!O20/1000)*0.1578</f>
        <v>-1.0602708624391849E-14</v>
      </c>
      <c r="P20" s="39">
        <f>E_g!P20/(rat_weight!P20/1000)*0.1578</f>
        <v>0.11191489361701491</v>
      </c>
      <c r="Q20" s="39">
        <f>E_g!Q20/(rat_weight!Q20/1000)*0.1578</f>
        <v>1.7770270270274311E-2</v>
      </c>
      <c r="R20" s="39">
        <f>E_g!R20/(rat_weight!R20/1000)*0.1578</f>
        <v>-1.7770270270274311E-2</v>
      </c>
      <c r="S20" s="39">
        <f>E_g!S20/(rat_weight!S20/1000)*0.1578</f>
        <v>5.331081081082293E-2</v>
      </c>
      <c r="T20" s="39">
        <f>E_g!T20/(rat_weight!T20/1000)*0.1578</f>
        <v>5.3310810810802731E-2</v>
      </c>
    </row>
    <row r="21" spans="1:20" s="39" customFormat="1">
      <c r="A21" s="41">
        <v>20</v>
      </c>
      <c r="B21" s="39">
        <f>E_g!B21/(rat_weight!B21/1000)*0.1578</f>
        <v>2.7443478260860209E-2</v>
      </c>
      <c r="C21" s="39">
        <f>E_g!C21/(rat_weight!C21/1000)*0.1578</f>
        <v>6.8608695652173923E-2</v>
      </c>
      <c r="D21" s="39">
        <f>E_g!D21/(rat_weight!D21/1000)*0.1578</f>
        <v>8.233043478261183E-2</v>
      </c>
      <c r="E21" s="39">
        <f>E_g!E21/(rat_weight!E21/1000)*0.1578</f>
        <v>0.12349565217391772</v>
      </c>
      <c r="F21" s="39">
        <f>E_g!F21/(rat_weight!F21/1000)*0.1578</f>
        <v>8.2330434782604017E-2</v>
      </c>
      <c r="G21" s="39">
        <f>E_g!G21/(rat_weight!G21/1000)*0.1578</f>
        <v>5.3764906303241385E-2</v>
      </c>
      <c r="H21" s="39">
        <f>E_g!H21/(rat_weight!H21/1000)*0.1578</f>
        <v>-1.3441226575804615E-2</v>
      </c>
      <c r="I21" s="39">
        <f>E_g!I21/(rat_weight!I21/1000)*0.1578</f>
        <v>5.3764906303249024E-2</v>
      </c>
      <c r="J21" s="39">
        <f>E_g!J21/(rat_weight!J21/1000)*0.1578</f>
        <v>2.6882453151616872E-2</v>
      </c>
      <c r="K21" s="39">
        <f>E_g!K21/(rat_weight!K21/1000)*0.1578</f>
        <v>6.7206132879045991E-2</v>
      </c>
      <c r="L21" s="39">
        <f>E_g!L21/(rat_weight!L21/1000)*0.1578</f>
        <v>0.10572864321607439</v>
      </c>
      <c r="M21" s="39">
        <f>E_g!M21/(rat_weight!M21/1000)*0.1578</f>
        <v>-0.11894472361809495</v>
      </c>
      <c r="N21" s="39">
        <f>E_g!N21/(rat_weight!N21/1000)*0.1578</f>
        <v>9.2512562814061339E-2</v>
      </c>
      <c r="O21" s="39">
        <f>E_g!O21/(rat_weight!O21/1000)*0.1578</f>
        <v>-2.6432160804018598E-2</v>
      </c>
      <c r="P21" s="39">
        <f>E_g!P21/(rat_weight!P21/1000)*0.1578</f>
        <v>7.9296482412055794E-2</v>
      </c>
      <c r="Q21" s="39">
        <f>E_g!Q21/(rat_weight!Q21/1000)*0.1578</f>
        <v>1.3019801980186178E-2</v>
      </c>
      <c r="R21" s="39">
        <f>E_g!R21/(rat_weight!R21/1000)*0.1578</f>
        <v>6.5099009900990101E-2</v>
      </c>
      <c r="S21" s="39">
        <f>E_g!S21/(rat_weight!S21/1000)*0.1578</f>
        <v>1.3019801980215781E-2</v>
      </c>
      <c r="T21" s="39">
        <f>E_g!T21/(rat_weight!T21/1000)*0.1578</f>
        <v>9.1138613861377255E-2</v>
      </c>
    </row>
    <row r="22" spans="1:20" s="39" customFormat="1">
      <c r="A22" s="41">
        <v>21</v>
      </c>
      <c r="B22" s="39">
        <f>E_g!B22/(rat_weight!B22/1000)*0.1578</f>
        <v>1.4345454545454448</v>
      </c>
      <c r="C22" s="39">
        <f>E_g!C22/(rat_weight!C22/1000)*0.1578</f>
        <v>1.5611229946523777</v>
      </c>
      <c r="D22" s="39">
        <f>E_g!D22/(rat_weight!D22/1000)*0.1578</f>
        <v>1.9408556149732716</v>
      </c>
      <c r="E22" s="39">
        <f>E_g!E22/(rat_weight!E22/1000)*0.1578</f>
        <v>2.1518181818181672</v>
      </c>
      <c r="F22" s="39">
        <f>E_g!F22/(rat_weight!F22/1000)*0.1578</f>
        <v>1.603315508021395</v>
      </c>
      <c r="G22" s="39">
        <f>E_g!G22/(rat_weight!G22/1000)*0.1578</f>
        <v>1.8108196721311918</v>
      </c>
      <c r="H22" s="39">
        <f>E_g!H22/(rat_weight!H22/1000)*0.1578</f>
        <v>0.81918032786886719</v>
      </c>
      <c r="I22" s="39">
        <f>E_g!I22/(rat_weight!I22/1000)*0.1578</f>
        <v>1.3796721311476094</v>
      </c>
      <c r="J22" s="39">
        <f>E_g!J22/(rat_weight!J22/1000)*0.1578</f>
        <v>1.1209836065573622</v>
      </c>
      <c r="K22" s="39">
        <f>E_g!K22/(rat_weight!K22/1000)*0.1578</f>
        <v>1.4227868852459311</v>
      </c>
      <c r="L22" s="39">
        <f>E_g!L22/(rat_weight!L22/1000)*0.1578</f>
        <v>1.9102105263157514</v>
      </c>
      <c r="M22" s="39">
        <f>E_g!M22/(rat_weight!M22/1000)*0.1578</f>
        <v>1.2042631578947509</v>
      </c>
      <c r="N22" s="39">
        <f>E_g!N22/(rat_weight!N22/1000)*0.1578</f>
        <v>2.0347894736842012</v>
      </c>
      <c r="O22" s="39">
        <f>E_g!O22/(rat_weight!O22/1000)*0.1578</f>
        <v>1.4949473684210854</v>
      </c>
      <c r="P22" s="39">
        <f>E_g!P22/(rat_weight!P22/1000)*0.1578</f>
        <v>1.1627368421052207</v>
      </c>
      <c r="Q22" s="39">
        <f>E_g!Q22/(rat_weight!Q22/1000)*0.1578</f>
        <v>0.71727272727274638</v>
      </c>
      <c r="R22" s="39">
        <f>E_g!R22/(rat_weight!R22/1000)*0.1578</f>
        <v>0.29534759358290691</v>
      </c>
      <c r="S22" s="39">
        <f>E_g!S22/(rat_weight!S22/1000)*0.1578</f>
        <v>0.54850267379682016</v>
      </c>
      <c r="T22" s="39">
        <f>E_g!T22/(rat_weight!T22/1000)*0.1578</f>
        <v>1.2235828877005253</v>
      </c>
    </row>
    <row r="23" spans="1:20" s="39" customFormat="1">
      <c r="A23" s="41">
        <v>22</v>
      </c>
      <c r="B23" s="39">
        <f>E_g!B23/(rat_weight!B23/1000)*0.1578</f>
        <v>1.1938815789473449</v>
      </c>
      <c r="C23" s="39">
        <f>E_g!C23/(rat_weight!C23/1000)*0.1578</f>
        <v>1.8427302631579006</v>
      </c>
      <c r="D23" s="39">
        <f>E_g!D23/(rat_weight!D23/1000)*0.1578</f>
        <v>1.2976973684210822</v>
      </c>
      <c r="E23" s="39">
        <f>E_g!E23/(rat_weight!E23/1000)*0.1578</f>
        <v>1.3236513157894647</v>
      </c>
      <c r="F23" s="39">
        <f>E_g!F23/(rat_weight!F23/1000)*0.1578</f>
        <v>1.8167763157894588</v>
      </c>
      <c r="G23" s="39">
        <f>E_g!G23/(rat_weight!G23/1000)*0.1578</f>
        <v>1.1899672131147747</v>
      </c>
      <c r="H23" s="39">
        <f>E_g!H23/(rat_weight!H23/1000)*0.1578</f>
        <v>1.526262295081976</v>
      </c>
      <c r="I23" s="39">
        <f>E_g!I23/(rat_weight!I23/1000)*0.1578</f>
        <v>2.5868852459016689</v>
      </c>
      <c r="J23" s="39">
        <f>E_g!J23/(rat_weight!J23/1000)*0.1578</f>
        <v>1.2934426229508345</v>
      </c>
      <c r="K23" s="39">
        <f>E_g!K23/(rat_weight!K23/1000)*0.1578</f>
        <v>1.2675737704917973</v>
      </c>
      <c r="L23" s="39">
        <f>E_g!L23/(rat_weight!L23/1000)*0.1578</f>
        <v>1.7706930693069189</v>
      </c>
      <c r="M23" s="39">
        <f>E_g!M23/(rat_weight!M23/1000)*0.1578</f>
        <v>0.96346534653465055</v>
      </c>
      <c r="N23" s="39">
        <f>E_g!N23/(rat_weight!N23/1000)*0.1578</f>
        <v>1.4842574257425565</v>
      </c>
      <c r="O23" s="39">
        <f>E_g!O23/(rat_weight!O23/1000)*0.1578</f>
        <v>1.2499009900990128</v>
      </c>
      <c r="P23" s="39">
        <f>E_g!P23/(rat_weight!P23/1000)*0.1578</f>
        <v>1.4582178217821695</v>
      </c>
      <c r="Q23" s="39">
        <f>E_g!Q23/(rat_weight!Q23/1000)*0.1578</f>
        <v>0.38054662379421217</v>
      </c>
      <c r="R23" s="39">
        <f>E_g!R23/(rat_weight!R23/1000)*0.1578</f>
        <v>0.17758842443731057</v>
      </c>
      <c r="S23" s="39">
        <f>E_g!S23/(rat_weight!S23/1000)*0.1578</f>
        <v>0.68498392282959353</v>
      </c>
      <c r="T23" s="39">
        <f>E_g!T23/(rat_weight!T23/1000)*0.1578</f>
        <v>0.68498392282959353</v>
      </c>
    </row>
    <row r="24" spans="1:20" s="39" customFormat="1">
      <c r="A24" s="41">
        <v>23</v>
      </c>
      <c r="B24" s="39">
        <f>E_g!B24/(rat_weight!B24/1000)*0.1578</f>
        <v>1.4591095890410593</v>
      </c>
      <c r="C24" s="39">
        <f>E_g!C24/(rat_weight!C24/1000)*0.1578</f>
        <v>1.2159246575342466</v>
      </c>
      <c r="D24" s="39">
        <f>E_g!D24/(rat_weight!D24/1000)*0.1578</f>
        <v>1.0808219178082192</v>
      </c>
      <c r="E24" s="39">
        <f>E_g!E24/(rat_weight!E24/1000)*0.1578</f>
        <v>1.3240068493150472</v>
      </c>
      <c r="F24" s="39">
        <f>E_g!F24/(rat_weight!F24/1000)*0.1578</f>
        <v>1.5131506849314977</v>
      </c>
      <c r="G24" s="39">
        <f>E_g!G24/(rat_weight!G24/1000)*0.1578</f>
        <v>1.0374394463668162</v>
      </c>
      <c r="H24" s="39">
        <f>E_g!H24/(rat_weight!H24/1000)*0.1578</f>
        <v>1.1193425605536551</v>
      </c>
      <c r="I24" s="39">
        <f>E_g!I24/(rat_weight!I24/1000)*0.1578</f>
        <v>2.1294809688581502</v>
      </c>
      <c r="J24" s="39">
        <f>E_g!J24/(rat_weight!J24/1000)*0.1578</f>
        <v>0.60062283737023914</v>
      </c>
      <c r="K24" s="39">
        <f>E_g!K24/(rat_weight!K24/1000)*0.1578</f>
        <v>1.3923529411764768</v>
      </c>
      <c r="L24" s="39">
        <f>E_g!L24/(rat_weight!L24/1000)*0.1578</f>
        <v>1.1768135593219973</v>
      </c>
      <c r="M24" s="39">
        <f>E_g!M24/(rat_weight!M24/1000)*0.1578</f>
        <v>1.0430847457626906</v>
      </c>
      <c r="N24" s="39">
        <f>E_g!N24/(rat_weight!N24/1000)*0.1578</f>
        <v>0.18722033898303261</v>
      </c>
      <c r="O24" s="39">
        <f>E_g!O24/(rat_weight!O24/1000)*0.1578</f>
        <v>0.69538983050849579</v>
      </c>
      <c r="P24" s="39">
        <f>E_g!P24/(rat_weight!P24/1000)*0.1578</f>
        <v>1.4442711864406568</v>
      </c>
      <c r="Q24" s="39">
        <f>E_g!Q24/(rat_weight!Q24/1000)*0.1578</f>
        <v>0.44413907284769399</v>
      </c>
      <c r="R24" s="39">
        <f>E_g!R24/(rat_weight!R24/1000)*0.1578</f>
        <v>0.54864238410596622</v>
      </c>
      <c r="S24" s="39">
        <f>E_g!S24/(rat_weight!S24/1000)*0.1578</f>
        <v>0.49639072847681526</v>
      </c>
      <c r="T24" s="39">
        <f>E_g!T24/(rat_weight!T24/1000)*0.1578</f>
        <v>1.4369205298013246</v>
      </c>
    </row>
    <row r="25" spans="1:20" s="39" customFormat="1">
      <c r="A25" s="41">
        <v>24</v>
      </c>
      <c r="B25" s="39">
        <f>E_g!B25/(rat_weight!B25/1000)*0.1578</f>
        <v>1.1862587412587287</v>
      </c>
      <c r="C25" s="39">
        <f>E_g!C25/(rat_weight!C25/1000)*0.1578</f>
        <v>1.0069405594405532</v>
      </c>
      <c r="D25" s="39">
        <f>E_g!D25/(rat_weight!D25/1000)*0.1578</f>
        <v>1.1310839160839223</v>
      </c>
      <c r="E25" s="39">
        <f>E_g!E25/(rat_weight!E25/1000)*0.1578</f>
        <v>1.144877622377624</v>
      </c>
      <c r="F25" s="39">
        <f>E_g!F25/(rat_weight!F25/1000)*0.1578</f>
        <v>0.82762237762238544</v>
      </c>
      <c r="G25" s="39">
        <f>E_g!G25/(rat_weight!G25/1000)*0.1578</f>
        <v>1.1971034482758791</v>
      </c>
      <c r="H25" s="39">
        <f>E_g!H25/(rat_weight!H25/1000)*0.1578</f>
        <v>1.1290862068965533</v>
      </c>
      <c r="I25" s="39">
        <f>E_g!I25/(rat_weight!I25/1000)*0.1578</f>
        <v>0.95224137931036035</v>
      </c>
      <c r="J25" s="39">
        <f>E_g!J25/(rat_weight!J25/1000)*0.1578</f>
        <v>1.2515172413793088</v>
      </c>
      <c r="K25" s="39">
        <f>E_g!K25/(rat_weight!K25/1000)*0.1578</f>
        <v>1.1018793103448308</v>
      </c>
      <c r="L25" s="39">
        <f>E_g!L25/(rat_weight!L25/1000)*0.1578</f>
        <v>1.3308433734939698</v>
      </c>
      <c r="M25" s="39">
        <f>E_g!M25/(rat_weight!M25/1000)*0.1578</f>
        <v>0.77406196213424971</v>
      </c>
      <c r="N25" s="39">
        <f>E_g!N25/(rat_weight!N25/1000)*0.1578</f>
        <v>1.3444234079173807</v>
      </c>
      <c r="O25" s="39">
        <f>E_g!O25/(rat_weight!O25/1000)*0.1578</f>
        <v>1.0592426850258192</v>
      </c>
      <c r="P25" s="39">
        <f>E_g!P25/(rat_weight!P25/1000)*0.1578</f>
        <v>1.2222030981067049</v>
      </c>
      <c r="Q25" s="39">
        <f>E_g!Q25/(rat_weight!Q25/1000)*0.1578</f>
        <v>0.4947966101694824</v>
      </c>
      <c r="R25" s="39">
        <f>E_g!R25/(rat_weight!R25/1000)*0.1578</f>
        <v>0.49479661016949761</v>
      </c>
      <c r="S25" s="39">
        <f>E_g!S25/(rat_weight!S25/1000)*0.1578</f>
        <v>0.6820169491525454</v>
      </c>
      <c r="T25" s="39">
        <f>E_g!T25/(rat_weight!T25/1000)*0.1578</f>
        <v>1.0029661016949152</v>
      </c>
    </row>
    <row r="26" spans="1:20" s="39" customFormat="1">
      <c r="A26" s="41">
        <v>25</v>
      </c>
      <c r="B26" s="39">
        <f>E_g!B26/(rat_weight!B26/1000)*0.1578</f>
        <v>1.1370474516695863</v>
      </c>
      <c r="C26" s="39">
        <f>E_g!C26/(rat_weight!C26/1000)*0.1578</f>
        <v>1.2895782073813804</v>
      </c>
      <c r="D26" s="39">
        <f>E_g!D26/(rat_weight!D26/1000)*0.1578</f>
        <v>1.2479789103690686</v>
      </c>
      <c r="E26" s="39">
        <f>E_g!E26/(rat_weight!E26/1000)*0.1578</f>
        <v>0.9845166959578161</v>
      </c>
      <c r="F26" s="39">
        <f>E_g!F26/(rat_weight!F26/1000)*0.1578</f>
        <v>1.1925131810193432</v>
      </c>
      <c r="G26" s="39">
        <f>E_g!G26/(rat_weight!G26/1000)*0.1578</f>
        <v>0.83787610619469832</v>
      </c>
      <c r="H26" s="39">
        <f>E_g!H26/(rat_weight!H26/1000)*0.1578</f>
        <v>1.1311327433628273</v>
      </c>
      <c r="I26" s="39">
        <f>E_g!I26/(rat_weight!I26/1000)*0.1578</f>
        <v>1.7874690265486823</v>
      </c>
      <c r="J26" s="39">
        <f>E_g!J26/(rat_weight!J26/1000)*0.1578</f>
        <v>1.3685309734513291</v>
      </c>
      <c r="K26" s="39">
        <f>E_g!K26/(rat_weight!K26/1000)*0.1578</f>
        <v>0.85184070796460498</v>
      </c>
      <c r="L26" s="39">
        <f>E_g!L26/(rat_weight!L26/1000)*0.1578</f>
        <v>1.2052220248667882</v>
      </c>
      <c r="M26" s="39">
        <f>E_g!M26/(rat_weight!M26/1000)*0.1578</f>
        <v>0.99500888099466667</v>
      </c>
      <c r="N26" s="39">
        <f>E_g!N26/(rat_weight!N26/1000)*0.1578</f>
        <v>1.7237477797513259</v>
      </c>
      <c r="O26" s="39">
        <f>E_g!O26/(rat_weight!O26/1000)*0.1578</f>
        <v>0.78479573712256889</v>
      </c>
      <c r="P26" s="39">
        <f>E_g!P26/(rat_weight!P26/1000)*0.1578</f>
        <v>0.78479573712255291</v>
      </c>
      <c r="Q26" s="39">
        <f>E_g!Q26/(rat_weight!Q26/1000)*0.1578</f>
        <v>0.67707530647987246</v>
      </c>
      <c r="R26" s="39">
        <f>E_g!R26/(rat_weight!R26/1000)*0.1578</f>
        <v>0.40071803852889354</v>
      </c>
      <c r="S26" s="39">
        <f>E_g!S26/(rat_weight!S26/1000)*0.1578</f>
        <v>0.56653239929947774</v>
      </c>
      <c r="T26" s="39">
        <f>E_g!T26/(rat_weight!T26/1000)*0.1578</f>
        <v>0.53889667250437523</v>
      </c>
    </row>
    <row r="27" spans="1:20" s="39" customFormat="1">
      <c r="A27" s="41">
        <v>26</v>
      </c>
      <c r="B27" s="39">
        <f>E_g!B27/(rat_weight!B27/1000)*0.1578</f>
        <v>1.1308143322475512</v>
      </c>
      <c r="C27" s="39">
        <f>E_g!C27/(rat_weight!C27/1000)*0.1578</f>
        <v>1.2079153094462365</v>
      </c>
      <c r="D27" s="39">
        <f>E_g!D27/(rat_weight!D27/1000)*0.1578</f>
        <v>1.4906188925081607</v>
      </c>
      <c r="E27" s="39">
        <f>E_g!E27/(rat_weight!E27/1000)*0.1578</f>
        <v>1.2079153094462511</v>
      </c>
      <c r="F27" s="39">
        <f>E_g!F27/(rat_weight!F27/1000)*0.1578</f>
        <v>1.2850162866449657</v>
      </c>
      <c r="G27" s="39">
        <f>E_g!G27/(rat_weight!G27/1000)*0.1578</f>
        <v>0.83326732673267034</v>
      </c>
      <c r="H27" s="39">
        <f>E_g!H27/(rat_weight!H27/1000)*0.1578</f>
        <v>0.85930693069307229</v>
      </c>
      <c r="I27" s="39">
        <f>E_g!I27/(rat_weight!I27/1000)*0.1578</f>
        <v>0.885346534653489</v>
      </c>
      <c r="J27" s="39">
        <f>E_g!J27/(rat_weight!J27/1000)*0.1578</f>
        <v>1.5623762376237771</v>
      </c>
      <c r="K27" s="39">
        <f>E_g!K27/(rat_weight!K27/1000)*0.1578</f>
        <v>1.380099009901008</v>
      </c>
      <c r="L27" s="39">
        <f>E_g!L27/(rat_weight!L27/1000)*0.1578</f>
        <v>1.1009302325581216</v>
      </c>
      <c r="M27" s="39">
        <f>E_g!M27/(rat_weight!M27/1000)*0.1578</f>
        <v>1.3368438538205891</v>
      </c>
      <c r="N27" s="39">
        <f>E_g!N27/(rat_weight!N27/1000)*0.1578</f>
        <v>1.1795681063122925</v>
      </c>
      <c r="O27" s="39">
        <f>E_g!O27/(rat_weight!O27/1000)*0.1578</f>
        <v>1.3106312292358953</v>
      </c>
      <c r="P27" s="39">
        <f>E_g!P27/(rat_weight!P27/1000)*0.1578</f>
        <v>1.2057807308969712</v>
      </c>
      <c r="Q27" s="39">
        <f>E_g!Q27/(rat_weight!Q27/1000)*0.1578</f>
        <v>0.49150819672130558</v>
      </c>
      <c r="R27" s="39">
        <f>E_g!R27/(rat_weight!R27/1000)*0.1578</f>
        <v>0.69845901639345442</v>
      </c>
      <c r="S27" s="39">
        <f>E_g!S27/(rat_weight!S27/1000)*0.1578</f>
        <v>0.80193442622954347</v>
      </c>
      <c r="T27" s="39">
        <f>E_g!T27/(rat_weight!T27/1000)*0.1578</f>
        <v>1.0606229508196485</v>
      </c>
    </row>
    <row r="28" spans="1:20" s="39" customFormat="1">
      <c r="A28" s="41">
        <v>27</v>
      </c>
      <c r="B28" s="39">
        <f>E_g!B28/(rat_weight!B28/1000)*0.1578</f>
        <v>1.3699678456591293</v>
      </c>
      <c r="C28" s="39">
        <f>E_g!C28/(rat_weight!C28/1000)*0.1578</f>
        <v>1.4968167202572291</v>
      </c>
      <c r="D28" s="39">
        <f>E_g!D28/(rat_weight!D28/1000)*0.1578</f>
        <v>1.8773633440514701</v>
      </c>
      <c r="E28" s="39">
        <f>E_g!E28/(rat_weight!E28/1000)*0.1578</f>
        <v>2.3086495176849078</v>
      </c>
      <c r="F28" s="39">
        <f>E_g!F28/(rat_weight!F28/1000)*0.1578</f>
        <v>1.8773633440514554</v>
      </c>
      <c r="G28" s="39">
        <f>E_g!G28/(rat_weight!G28/1000)*0.1578</f>
        <v>1.0689677419354808</v>
      </c>
      <c r="H28" s="39">
        <f>E_g!H28/(rat_weight!H28/1000)*0.1578</f>
        <v>1.2980322580645365</v>
      </c>
      <c r="I28" s="39">
        <f>E_g!I28/(rat_weight!I28/1000)*0.1578</f>
        <v>1.7816129032258354</v>
      </c>
      <c r="J28" s="39">
        <f>E_g!J28/(rat_weight!J28/1000)*0.1578</f>
        <v>1.1707741935483784</v>
      </c>
      <c r="K28" s="39">
        <f>E_g!K28/(rat_weight!K28/1000)*0.1578</f>
        <v>1.2980322580645218</v>
      </c>
      <c r="L28" s="39">
        <f>E_g!L28/(rat_weight!L28/1000)*0.1578</f>
        <v>1.731347962382445</v>
      </c>
      <c r="M28" s="39">
        <f>E_g!M28/(rat_weight!M28/1000)*0.1578</f>
        <v>0.86567398119120842</v>
      </c>
      <c r="N28" s="39">
        <f>E_g!N28/(rat_weight!N28/1000)*0.1578</f>
        <v>1.6571473354232087</v>
      </c>
      <c r="O28" s="39">
        <f>E_g!O28/(rat_weight!O28/1000)*0.1578</f>
        <v>1.484012539184967</v>
      </c>
      <c r="P28" s="39">
        <f>E_g!P28/(rat_weight!P28/1000)*0.1578</f>
        <v>1.5334796238244204</v>
      </c>
      <c r="Q28" s="39">
        <f>E_g!Q28/(rat_weight!Q28/1000)*0.1578</f>
        <v>0.36527777777777776</v>
      </c>
      <c r="R28" s="39">
        <f>E_g!R28/(rat_weight!R28/1000)*0.1578</f>
        <v>0.46268518518517959</v>
      </c>
      <c r="S28" s="39">
        <f>E_g!S28/(rat_weight!S28/1000)*0.1578</f>
        <v>0.60879629629629628</v>
      </c>
      <c r="T28" s="39">
        <f>E_g!T28/(rat_weight!T28/1000)*0.1578</f>
        <v>0.99842592592593138</v>
      </c>
    </row>
    <row r="29" spans="1:20" s="39" customFormat="1">
      <c r="A29" s="41">
        <v>28</v>
      </c>
      <c r="B29" s="39">
        <f>E_g!B29/(rat_weight!B29/1000)*0.1578</f>
        <v>1.7436464088397789</v>
      </c>
      <c r="C29" s="39">
        <f>E_g!C29/(rat_weight!C29/1000)*0.1578</f>
        <v>1.7000552486187748</v>
      </c>
      <c r="D29" s="39">
        <f>E_g!D29/(rat_weight!D29/1000)*0.1578</f>
        <v>1.9180110497237968</v>
      </c>
      <c r="E29" s="39">
        <f>E_g!E29/(rat_weight!E29/1000)*0.1578</f>
        <v>2.3975138121547208</v>
      </c>
      <c r="F29" s="39">
        <f>E_g!F29/(rat_weight!F29/1000)*0.1578</f>
        <v>1.9180110497237717</v>
      </c>
      <c r="G29" s="39">
        <f>E_g!G29/(rat_weight!G29/1000)*0.1578</f>
        <v>2.8528813559322184</v>
      </c>
      <c r="H29" s="39">
        <f>E_g!H29/(rat_weight!H29/1000)*0.1578</f>
        <v>0.31203389830507972</v>
      </c>
      <c r="I29" s="39">
        <f>E_g!I29/(rat_weight!I29/1000)*0.1578</f>
        <v>0.53491525423735908</v>
      </c>
      <c r="J29" s="39">
        <f>E_g!J29/(rat_weight!J29/1000)*0.1578</f>
        <v>0.71322033898303572</v>
      </c>
      <c r="K29" s="39">
        <f>E_g!K29/(rat_weight!K29/1000)*0.1578</f>
        <v>0.84694915254241343</v>
      </c>
      <c r="L29" s="39">
        <f>E_g!L29/(rat_weight!L29/1000)*0.1578</f>
        <v>0.87666666666666659</v>
      </c>
      <c r="M29" s="39">
        <f>E_g!M29/(rat_weight!M29/1000)*0.1578</f>
        <v>0.5698333333333383</v>
      </c>
      <c r="N29" s="39">
        <f>E_g!N29/(rat_weight!N29/1000)*0.1578</f>
        <v>1.0958333333333334</v>
      </c>
      <c r="O29" s="39">
        <f>E_g!O29/(rat_weight!O29/1000)*0.1578</f>
        <v>0.61366666666668168</v>
      </c>
      <c r="P29" s="39">
        <f>E_g!P29/(rat_weight!P29/1000)*0.1578</f>
        <v>1.0519999999999652</v>
      </c>
      <c r="Q29" s="39">
        <f>E_g!Q29/(rat_weight!Q29/1000)*0.1578</f>
        <v>0.30180327868849516</v>
      </c>
      <c r="R29" s="39">
        <f>E_g!R29/(rat_weight!R29/1000)*0.1578</f>
        <v>-0.21557377049180326</v>
      </c>
      <c r="S29" s="39">
        <f>E_g!S29/(rat_weight!S29/1000)*0.1578</f>
        <v>0.56049180327866899</v>
      </c>
      <c r="T29" s="39">
        <f>E_g!T29/(rat_weight!T29/1000)*0.1578</f>
        <v>0.64672131147536083</v>
      </c>
    </row>
    <row r="30" spans="1:20" s="39" customFormat="1">
      <c r="A30" s="41">
        <v>29</v>
      </c>
      <c r="B30" s="39">
        <f>E_g!B30/(rat_weight!B30/1000)*0.1578</f>
        <v>0.10572864321607439</v>
      </c>
      <c r="C30" s="39">
        <f>E_g!C30/(rat_weight!C30/1000)*0.1578</f>
        <v>0.11894472361808744</v>
      </c>
      <c r="D30" s="39">
        <f>E_g!D30/(rat_weight!D30/1000)*0.1578</f>
        <v>0.2378894472361899</v>
      </c>
      <c r="E30" s="39">
        <f>E_g!E30/(rat_weight!E30/1000)*0.1578</f>
        <v>9.2512562814068847E-2</v>
      </c>
      <c r="F30" s="39">
        <f>E_g!F30/(rat_weight!F30/1000)*0.1578</f>
        <v>0.21145728643215631</v>
      </c>
      <c r="G30" s="39">
        <f>E_g!G30/(rat_weight!G30/1000)*0.1578</f>
        <v>0.20729064039408424</v>
      </c>
      <c r="H30" s="39">
        <f>E_g!H30/(rat_weight!H30/1000)*0.1578</f>
        <v>0.29798029556650396</v>
      </c>
      <c r="I30" s="39">
        <f>E_g!I30/(rat_weight!I30/1000)*0.1578</f>
        <v>0.15546798029557238</v>
      </c>
      <c r="J30" s="39">
        <f>E_g!J30/(rat_weight!J30/1000)*0.1578</f>
        <v>0.31093596059112272</v>
      </c>
      <c r="K30" s="39">
        <f>E_g!K30/(rat_weight!K30/1000)*0.1578</f>
        <v>9.0689655172419684E-2</v>
      </c>
      <c r="L30" s="39">
        <f>E_g!L30/(rat_weight!L30/1000)*0.1578</f>
        <v>0.20560260586318049</v>
      </c>
      <c r="M30" s="39">
        <f>E_g!M30/(rat_weight!M30/1000)*0.1578</f>
        <v>-3.8550488599349994E-2</v>
      </c>
      <c r="N30" s="39">
        <f>E_g!N30/(rat_weight!N30/1000)*0.1578</f>
        <v>1.2850162866437824E-2</v>
      </c>
      <c r="O30" s="39">
        <f>E_g!O30/(rat_weight!O30/1000)*0.1578</f>
        <v>-2.5700325732897562E-2</v>
      </c>
      <c r="P30" s="39">
        <f>E_g!P30/(rat_weight!P30/1000)*0.1578</f>
        <v>5.1400651465787817E-2</v>
      </c>
      <c r="Q30" s="39">
        <f>E_g!Q30/(rat_weight!Q30/1000)*0.1578</f>
        <v>3.8054662379429872E-2</v>
      </c>
      <c r="R30" s="39">
        <f>E_g!R30/(rat_weight!R30/1000)*0.1578</f>
        <v>-3.8054662379415453E-2</v>
      </c>
      <c r="S30" s="39">
        <f>E_g!S30/(rat_weight!S30/1000)*0.1578</f>
        <v>8.8794212218655286E-2</v>
      </c>
      <c r="T30" s="39">
        <f>E_g!T30/(rat_weight!T30/1000)*0.1578</f>
        <v>0.13953376205788068</v>
      </c>
    </row>
    <row r="31" spans="1:20" s="39" customFormat="1">
      <c r="A31" s="41">
        <v>30</v>
      </c>
      <c r="B31" s="39">
        <f>E_g!B31/(rat_weight!B31/1000)*0.1578</f>
        <v>0.39123966942147775</v>
      </c>
      <c r="C31" s="39">
        <f>E_g!C31/(rat_weight!C31/1000)*0.1578</f>
        <v>0.4564462809917158</v>
      </c>
      <c r="D31" s="39">
        <f>E_g!D31/(rat_weight!D31/1000)*0.1578</f>
        <v>0.43471074380165292</v>
      </c>
      <c r="E31" s="39">
        <f>E_g!E31/(rat_weight!E31/1000)*0.1578</f>
        <v>0.2390909090909264</v>
      </c>
      <c r="F31" s="39">
        <f>E_g!F31/(rat_weight!F31/1000)*0.1578</f>
        <v>0.17388429752066364</v>
      </c>
      <c r="G31" s="39">
        <f>E_g!G31/(rat_weight!G31/1000)*0.1578</f>
        <v>0.20763157894738021</v>
      </c>
      <c r="H31" s="39">
        <f>E_g!H31/(rat_weight!H31/1000)*0.1578</f>
        <v>0.26992105263158128</v>
      </c>
      <c r="I31" s="39">
        <f>E_g!I31/(rat_weight!I31/1000)*0.1578</f>
        <v>0.24915789473685152</v>
      </c>
      <c r="J31" s="39">
        <f>E_g!J31/(rat_weight!J31/1000)*0.1578</f>
        <v>0.20763157894735662</v>
      </c>
      <c r="K31" s="39">
        <f>E_g!K31/(rat_weight!K31/1000)*0.1578</f>
        <v>0.31144736842105258</v>
      </c>
      <c r="L31" s="39">
        <f>E_g!L31/(rat_weight!L31/1000)*0.1578</f>
        <v>0.51157107231918408</v>
      </c>
      <c r="M31" s="39">
        <f>E_g!M31/(rat_weight!M31/1000)*0.1578</f>
        <v>-0.13773067331670599</v>
      </c>
      <c r="N31" s="39">
        <f>E_g!N31/(rat_weight!N31/1000)*0.1578</f>
        <v>5.9027431421437432E-2</v>
      </c>
      <c r="O31" s="39">
        <f>E_g!O31/(rat_weight!O31/1000)*0.1578</f>
        <v>1.1184403361889655E-14</v>
      </c>
      <c r="P31" s="39">
        <f>E_g!P31/(rat_weight!P31/1000)*0.1578</f>
        <v>7.870324189524619E-2</v>
      </c>
      <c r="Q31" s="39">
        <f>E_g!Q31/(rat_weight!Q31/1000)*0.1578</f>
        <v>5.8589108910904401E-2</v>
      </c>
      <c r="R31" s="39">
        <f>E_g!R31/(rat_weight!R31/1000)*0.1578</f>
        <v>-9.7648514851485152E-2</v>
      </c>
      <c r="S31" s="39">
        <f>E_g!S31/(rat_weight!S31/1000)*0.1578</f>
        <v>9.7648514851507343E-2</v>
      </c>
      <c r="T31" s="39">
        <f>E_g!T31/(rat_weight!T31/1000)*0.1578</f>
        <v>0.17576732673266879</v>
      </c>
    </row>
    <row r="32" spans="1:20" s="39" customFormat="1">
      <c r="A32" s="41">
        <v>31</v>
      </c>
      <c r="B32" s="39">
        <f>E_g!B32/(rat_weight!B32/1000)*0.1578</f>
        <v>0.86414285714286143</v>
      </c>
      <c r="C32" s="39">
        <f>E_g!C32/(rat_weight!C32/1000)*0.1578</f>
        <v>0.73264285714285282</v>
      </c>
      <c r="D32" s="39">
        <f>E_g!D32/(rat_weight!D32/1000)*0.1578</f>
        <v>0.30057142857143287</v>
      </c>
      <c r="E32" s="39">
        <f>E_g!E32/(rat_weight!E32/1000)*0.1578</f>
        <v>0.7702142857142793</v>
      </c>
      <c r="F32" s="39">
        <f>E_g!F32/(rat_weight!F32/1000)*0.1578</f>
        <v>0.71385714285714508</v>
      </c>
      <c r="G32" s="39">
        <f>E_g!G32/(rat_weight!G32/1000)*0.1578</f>
        <v>0.59687943262411136</v>
      </c>
      <c r="H32" s="39">
        <f>E_g!H32/(rat_weight!H32/1000)*0.1578</f>
        <v>1.1751063829787256</v>
      </c>
      <c r="I32" s="39">
        <f>E_g!I32/(rat_weight!I32/1000)*0.1578</f>
        <v>0.70879432624114747</v>
      </c>
      <c r="J32" s="39">
        <f>E_g!J32/(rat_weight!J32/1000)*0.1578</f>
        <v>0.52226950354608015</v>
      </c>
      <c r="K32" s="39">
        <f>E_g!K32/(rat_weight!K32/1000)*0.1578</f>
        <v>0.65283687943262414</v>
      </c>
      <c r="L32" s="39">
        <f>E_g!L32/(rat_weight!L32/1000)*0.1578</f>
        <v>0.17730337078649669</v>
      </c>
      <c r="M32" s="39">
        <f>E_g!M32/(rat_weight!M32/1000)*0.1578</f>
        <v>1.0106292134831441</v>
      </c>
      <c r="N32" s="39">
        <f>E_g!N32/(rat_weight!N32/1000)*0.1578</f>
        <v>-8.8651685393278584E-2</v>
      </c>
      <c r="O32" s="39">
        <f>E_g!O32/(rat_weight!O32/1000)*0.1578</f>
        <v>0.2127640449438182</v>
      </c>
      <c r="P32" s="39">
        <f>E_g!P32/(rat_weight!P32/1000)*0.1578</f>
        <v>0.24822471910110949</v>
      </c>
      <c r="Q32" s="39">
        <f>E_g!Q32/(rat_weight!Q32/1000)*0.1578</f>
        <v>-1.7533333333337321E-2</v>
      </c>
      <c r="R32" s="39">
        <f>E_g!R32/(rat_weight!R32/1000)*0.1578</f>
        <v>-8.7666666666666671E-2</v>
      </c>
      <c r="S32" s="39">
        <f>E_g!S32/(rat_weight!S32/1000)*0.1578</f>
        <v>8.7666666666666671E-2</v>
      </c>
      <c r="T32" s="39">
        <f>E_g!T32/(rat_weight!T32/1000)*0.1578</f>
        <v>5.2599999999992021E-2</v>
      </c>
    </row>
    <row r="33" spans="1:20" s="39" customFormat="1">
      <c r="A33" s="41">
        <v>32</v>
      </c>
      <c r="B33" s="39">
        <f>E_g!B33/(rat_weight!B33/1000)*0.1578</f>
        <v>0.83164864864864385</v>
      </c>
      <c r="C33" s="39">
        <f>E_g!C33/(rat_weight!C33/1000)*0.1578</f>
        <v>0.6290675675675651</v>
      </c>
      <c r="D33" s="39">
        <f>E_g!D33/(rat_weight!D33/1000)*0.1578</f>
        <v>0.78899999999999759</v>
      </c>
      <c r="E33" s="39">
        <f>E_g!E33/(rat_weight!E33/1000)*0.1578</f>
        <v>0.33052702702703551</v>
      </c>
      <c r="F33" s="39">
        <f>E_g!F33/(rat_weight!F33/1000)*0.1578</f>
        <v>0.23456756756756636</v>
      </c>
      <c r="G33" s="39">
        <f>E_g!G33/(rat_weight!G33/1000)*0.1578</f>
        <v>0.63373493975904216</v>
      </c>
      <c r="H33" s="39">
        <f>E_g!H33/(rat_weight!H33/1000)*0.1578</f>
        <v>0.6442971887550164</v>
      </c>
      <c r="I33" s="39">
        <f>E_g!I33/(rat_weight!I33/1000)*0.1578</f>
        <v>0.63373493975904804</v>
      </c>
      <c r="J33" s="39">
        <f>E_g!J33/(rat_weight!J33/1000)*0.1578</f>
        <v>0.59148594377510877</v>
      </c>
      <c r="K33" s="39">
        <f>E_g!K33/(rat_weight!K33/1000)*0.1578</f>
        <v>0.49642570281124976</v>
      </c>
      <c r="L33" s="39">
        <f>E_g!L33/(rat_weight!L33/1000)*0.1578</f>
        <v>8.3824701195214346E-2</v>
      </c>
      <c r="M33" s="39">
        <f>E_g!M33/(rat_weight!M33/1000)*0.1578</f>
        <v>0.57629482071713745</v>
      </c>
      <c r="N33" s="39">
        <f>E_g!N33/(rat_weight!N33/1000)*0.1578</f>
        <v>-3.1434262948214317E-2</v>
      </c>
      <c r="O33" s="39">
        <f>E_g!O33/(rat_weight!O33/1000)*0.1578</f>
        <v>0.10478087649402985</v>
      </c>
      <c r="P33" s="39">
        <f>E_g!P33/(rat_weight!P33/1000)*0.1578</f>
        <v>6.2868525896398852E-2</v>
      </c>
      <c r="Q33" s="39">
        <f>E_g!Q33/(rat_weight!Q33/1000)*0.1578</f>
        <v>3.1103810775302734E-2</v>
      </c>
      <c r="R33" s="39">
        <f>E_g!R33/(rat_weight!R33/1000)*0.1578</f>
        <v>-3.1103810775302734E-2</v>
      </c>
      <c r="S33" s="39">
        <f>E_g!S33/(rat_weight!S33/1000)*0.1578</f>
        <v>-1.036793692510091E-2</v>
      </c>
      <c r="T33" s="39">
        <f>E_g!T33/(rat_weight!T33/1000)*0.1578</f>
        <v>3.1103810775290949E-2</v>
      </c>
    </row>
    <row r="34" spans="1:20" s="39" customFormat="1">
      <c r="A34" s="41">
        <v>33</v>
      </c>
      <c r="B34" s="39">
        <f>E_g!B34/(rat_weight!B34/1000)*0.1578</f>
        <v>0.81708737864075931</v>
      </c>
      <c r="C34" s="39">
        <f>E_g!C34/(rat_weight!C34/1000)*0.1578</f>
        <v>1.2000970873786523</v>
      </c>
      <c r="D34" s="39">
        <f>E_g!D34/(rat_weight!D34/1000)*0.1578</f>
        <v>1.4299029126213649</v>
      </c>
      <c r="E34" s="39">
        <f>E_g!E34/(rat_weight!E34/1000)*0.1578</f>
        <v>0.48514563106794084</v>
      </c>
      <c r="F34" s="39">
        <f>E_g!F34/(rat_weight!F34/1000)*0.1578</f>
        <v>1.0724271844660165</v>
      </c>
      <c r="G34" s="39">
        <f>E_g!G34/(rat_weight!G34/1000)*0.1578</f>
        <v>0.51907894736843574</v>
      </c>
      <c r="H34" s="39">
        <f>E_g!H34/(rat_weight!H34/1000)*0.1578</f>
        <v>0.64884868421051156</v>
      </c>
      <c r="I34" s="39">
        <f>E_g!I34/(rat_weight!I34/1000)*0.1578</f>
        <v>0.83052631578951497</v>
      </c>
      <c r="J34" s="39">
        <f>E_g!J34/(rat_weight!J34/1000)*0.1578</f>
        <v>1.1938815789473596</v>
      </c>
      <c r="K34" s="39">
        <f>E_g!K34/(rat_weight!K34/1000)*0.1578</f>
        <v>1.0641118421052691</v>
      </c>
      <c r="L34" s="39">
        <f>E_g!L34/(rat_weight!L34/1000)*0.1578</f>
        <v>1.0246753246752955</v>
      </c>
      <c r="M34" s="39">
        <f>E_g!M34/(rat_weight!M34/1000)*0.1578</f>
        <v>0.69165584415584114</v>
      </c>
      <c r="N34" s="39">
        <f>E_g!N34/(rat_weight!N34/1000)*0.1578</f>
        <v>1.1527597402597403</v>
      </c>
      <c r="O34" s="39">
        <f>E_g!O34/(rat_weight!O34/1000)*0.1578</f>
        <v>1.0246753246753393</v>
      </c>
      <c r="P34" s="39">
        <f>E_g!P34/(rat_weight!P34/1000)*0.1578</f>
        <v>0.56357142857139653</v>
      </c>
      <c r="Q34" s="39">
        <f>E_g!Q34/(rat_weight!Q34/1000)*0.1578</f>
        <v>0.43548701298702464</v>
      </c>
      <c r="R34" s="39">
        <f>E_g!R34/(rat_weight!R34/1000)*0.1578</f>
        <v>0.58918831168829999</v>
      </c>
      <c r="S34" s="39">
        <f>E_g!S34/(rat_weight!S34/1000)*0.1578</f>
        <v>0.84535714285716035</v>
      </c>
      <c r="T34" s="39">
        <f>E_g!T34/(rat_weight!T34/1000)*0.1578</f>
        <v>0.69165584415585579</v>
      </c>
    </row>
    <row r="35" spans="1:20" s="39" customFormat="1">
      <c r="A35" s="41">
        <v>34</v>
      </c>
      <c r="B35" s="39">
        <f>E_g!B35/(rat_weight!B35/1000)*0.1578</f>
        <v>1.2794594594594593</v>
      </c>
      <c r="C35" s="39">
        <f>E_g!C35/(rat_weight!C35/1000)*0.1578</f>
        <v>1.3221081081081176</v>
      </c>
      <c r="D35" s="39">
        <f>E_g!D35/(rat_weight!D35/1000)*0.1578</f>
        <v>1.0804324324324517</v>
      </c>
      <c r="E35" s="39">
        <f>E_g!E35/(rat_weight!E35/1000)*0.1578</f>
        <v>1.9760540540540426</v>
      </c>
      <c r="F35" s="39">
        <f>E_g!F35/(rat_weight!F35/1000)*0.1578</f>
        <v>1.8196756756756771</v>
      </c>
      <c r="G35" s="39">
        <f>E_g!G35/(rat_weight!G35/1000)*0.1578</f>
        <v>0.36763440860216173</v>
      </c>
      <c r="H35" s="39">
        <f>E_g!H35/(rat_weight!H35/1000)*0.1578</f>
        <v>0.80596774193549825</v>
      </c>
      <c r="I35" s="39">
        <f>E_g!I35/(rat_weight!I35/1000)*0.1578</f>
        <v>1.2443010752688428</v>
      </c>
      <c r="J35" s="39">
        <f>E_g!J35/(rat_weight!J35/1000)*0.1578</f>
        <v>0.84838709677420143</v>
      </c>
      <c r="K35" s="39">
        <f>E_g!K35/(rat_weight!K35/1000)*0.1578</f>
        <v>1.1736021505376277</v>
      </c>
      <c r="L35" s="39">
        <f>E_g!L35/(rat_weight!L35/1000)*0.1578</f>
        <v>1.6757522123893807</v>
      </c>
      <c r="M35" s="39">
        <f>E_g!M35/(rat_weight!M35/1000)*0.1578</f>
        <v>0.32118584070796624</v>
      </c>
      <c r="N35" s="39">
        <f>E_g!N35/(rat_weight!N35/1000)*0.1578</f>
        <v>1.1590619469026486</v>
      </c>
      <c r="O35" s="39">
        <f>E_g!O35/(rat_weight!O35/1000)*0.1578</f>
        <v>1.0333805309734561</v>
      </c>
      <c r="P35" s="39">
        <f>E_g!P35/(rat_weight!P35/1000)*0.1578</f>
        <v>0.89373451327432518</v>
      </c>
      <c r="Q35" s="39">
        <f>E_g!Q35/(rat_weight!Q35/1000)*0.1578</f>
        <v>0.68185185185186459</v>
      </c>
      <c r="R35" s="39">
        <f>E_g!R35/(rat_weight!R35/1000)*0.1578</f>
        <v>0.40354497354497043</v>
      </c>
      <c r="S35" s="39">
        <f>E_g!S35/(rat_weight!S35/1000)*0.1578</f>
        <v>0.70968253968254291</v>
      </c>
      <c r="T35" s="39">
        <f>E_g!T35/(rat_weight!T35/1000)*0.1578</f>
        <v>0.68185185185184871</v>
      </c>
    </row>
    <row r="36" spans="1:20" s="39" customFormat="1">
      <c r="A36" s="41">
        <v>35</v>
      </c>
      <c r="B36" s="39">
        <f>E_g!B36/(rat_weight!B36/1000)*0.1578</f>
        <v>1.0235675675675577</v>
      </c>
      <c r="C36" s="39">
        <f>E_g!C36/(rat_weight!C36/1000)*0.1578</f>
        <v>1.3221081081080692</v>
      </c>
      <c r="D36" s="39">
        <f>E_g!D36/(rat_weight!D36/1000)*0.1578</f>
        <v>1.7912432432432628</v>
      </c>
      <c r="E36" s="39">
        <f>E_g!E36/(rat_weight!E36/1000)*0.1578</f>
        <v>1.8338918918918967</v>
      </c>
      <c r="F36" s="39">
        <f>E_g!F36/(rat_weight!F36/1000)*0.1578</f>
        <v>2.3030270270270417</v>
      </c>
      <c r="G36" s="39">
        <f>E_g!G36/(rat_weight!G36/1000)*0.1578</f>
        <v>1.9074725274725421</v>
      </c>
      <c r="H36" s="39">
        <f>E_g!H36/(rat_weight!H36/1000)*0.1578</f>
        <v>1.257197802197817</v>
      </c>
      <c r="I36" s="39">
        <f>E_g!I36/(rat_weight!I36/1000)*0.1578</f>
        <v>1.9074725274725668</v>
      </c>
      <c r="J36" s="39">
        <f>E_g!J36/(rat_weight!J36/1000)*0.1578</f>
        <v>1.1271428571428916</v>
      </c>
      <c r="K36" s="39">
        <f>E_g!K36/(rat_weight!K36/1000)*0.1578</f>
        <v>1.6040109890110088</v>
      </c>
      <c r="L36" s="39">
        <f>E_g!L36/(rat_weight!L36/1000)*0.1578</f>
        <v>1.6033155080213712</v>
      </c>
      <c r="M36" s="39">
        <f>E_g!M36/(rat_weight!M36/1000)*0.1578</f>
        <v>1.5611229946524015</v>
      </c>
      <c r="N36" s="39">
        <f>E_g!N36/(rat_weight!N36/1000)*0.1578</f>
        <v>1.8986631016042779</v>
      </c>
      <c r="O36" s="39">
        <f>E_g!O36/(rat_weight!O36/1000)*0.1578</f>
        <v>1.3501604278074819</v>
      </c>
      <c r="P36" s="39">
        <f>E_g!P36/(rat_weight!P36/1000)*0.1578</f>
        <v>0.84385026737965518</v>
      </c>
      <c r="Q36" s="39">
        <f>E_g!Q36/(rat_weight!Q36/1000)*0.1578</f>
        <v>1.0837912087912089</v>
      </c>
      <c r="R36" s="39">
        <f>E_g!R36/(rat_weight!R36/1000)*0.1578</f>
        <v>0.56357142857140885</v>
      </c>
      <c r="S36" s="39">
        <f>E_g!S36/(rat_weight!S36/1000)*0.1578</f>
        <v>0.4768681318681417</v>
      </c>
      <c r="T36" s="39">
        <f>E_g!T36/(rat_weight!T36/1000)*0.1578</f>
        <v>0.650274725274676</v>
      </c>
    </row>
    <row r="37" spans="1:20" s="39" customFormat="1">
      <c r="A37" s="41">
        <v>36</v>
      </c>
      <c r="B37" s="39">
        <f>E_g!B37/(rat_weight!B37/1000)*0.1578</f>
        <v>1.7017647058823295</v>
      </c>
      <c r="C37" s="39">
        <f>E_g!C37/(rat_weight!C37/1000)*0.1578</f>
        <v>2.0369607843137194</v>
      </c>
      <c r="D37" s="39">
        <f>E_g!D37/(rat_weight!D37/1000)*0.1578</f>
        <v>1.2376470588235471</v>
      </c>
      <c r="E37" s="39">
        <f>E_g!E37/(rat_weight!E37/1000)*0.1578</f>
        <v>1.5728431372548932</v>
      </c>
      <c r="F37" s="39">
        <f>E_g!F37/(rat_weight!F37/1000)*0.1578</f>
        <v>2.0627450980392306</v>
      </c>
      <c r="G37" s="39">
        <f>E_g!G37/(rat_weight!G37/1000)*0.1578</f>
        <v>1.5512542372881386</v>
      </c>
      <c r="H37" s="39">
        <f>E_g!H37/(rat_weight!H37/1000)*0.1578</f>
        <v>1.7919661016949426</v>
      </c>
      <c r="I37" s="39">
        <f>E_g!I37/(rat_weight!I37/1000)*0.1578</f>
        <v>1.9256949152542799</v>
      </c>
      <c r="J37" s="39">
        <f>E_g!J37/(rat_weight!J37/1000)*0.1578</f>
        <v>1.6582372881355902</v>
      </c>
      <c r="K37" s="39">
        <f>E_g!K37/(rat_weight!K37/1000)*0.1578</f>
        <v>1.8454576271186685</v>
      </c>
      <c r="L37" s="39">
        <f>E_g!L37/(rat_weight!L37/1000)*0.1578</f>
        <v>1.2261486486486244</v>
      </c>
      <c r="M37" s="39">
        <f>E_g!M37/(rat_weight!M37/1000)*0.1578</f>
        <v>1.6259797297297207</v>
      </c>
      <c r="N37" s="39">
        <f>E_g!N37/(rat_weight!N37/1000)*0.1578</f>
        <v>1.1461824324324204</v>
      </c>
      <c r="O37" s="39">
        <f>E_g!O37/(rat_weight!O37/1000)*0.1578</f>
        <v>1.6526351351351625</v>
      </c>
      <c r="P37" s="39">
        <f>E_g!P37/(rat_weight!P37/1000)*0.1578</f>
        <v>0.95959459459458551</v>
      </c>
      <c r="Q37" s="39">
        <f>E_g!Q37/(rat_weight!Q37/1000)*0.1578</f>
        <v>0.38930921052631579</v>
      </c>
      <c r="R37" s="39">
        <f>E_g!R37/(rat_weight!R37/1000)*0.1578</f>
        <v>0.33740131578946186</v>
      </c>
      <c r="S37" s="39">
        <f>E_g!S37/(rat_weight!S37/1000)*0.1578</f>
        <v>0.85648026315788295</v>
      </c>
      <c r="T37" s="39">
        <f>E_g!T37/(rat_weight!T37/1000)*0.1578</f>
        <v>0.75266447368420453</v>
      </c>
    </row>
    <row r="38" spans="1:20" s="39" customFormat="1">
      <c r="A38" s="41">
        <v>37</v>
      </c>
      <c r="B38" s="39">
        <f>E_g!B38/(rat_weight!B38/1000)*0.1578</f>
        <v>1.1553214285714188</v>
      </c>
      <c r="C38" s="39">
        <f>E_g!C38/(rat_weight!C38/1000)*0.1578</f>
        <v>1.2821250000000031</v>
      </c>
      <c r="D38" s="39">
        <f>E_g!D38/(rat_weight!D38/1000)*0.1578</f>
        <v>1.2398571428571523</v>
      </c>
      <c r="E38" s="39">
        <f>E_g!E38/(rat_weight!E38/1000)*0.1578</f>
        <v>1.1694107142857157</v>
      </c>
      <c r="F38" s="39">
        <f>E_g!F38/(rat_weight!F38/1000)*0.1578</f>
        <v>0.84535714285713481</v>
      </c>
      <c r="G38" s="39">
        <f>E_g!G38/(rat_weight!G38/1000)*0.1578</f>
        <v>1.196719576719588</v>
      </c>
      <c r="H38" s="39">
        <f>E_g!H38/(rat_weight!H38/1000)*0.1578</f>
        <v>1.0993121693121741</v>
      </c>
      <c r="I38" s="39">
        <f>E_g!I38/(rat_weight!I38/1000)*0.1578</f>
        <v>1.3080423280423408</v>
      </c>
      <c r="J38" s="39">
        <f>E_g!J38/(rat_weight!J38/1000)*0.1578</f>
        <v>1.8646560846560738</v>
      </c>
      <c r="K38" s="39">
        <f>E_g!K38/(rat_weight!K38/1000)*0.1578</f>
        <v>1.0436507936507937</v>
      </c>
      <c r="L38" s="39">
        <f>E_g!L38/(rat_weight!L38/1000)*0.1578</f>
        <v>1.4523185840707933</v>
      </c>
      <c r="M38" s="39">
        <f>E_g!M38/(rat_weight!M38/1000)*0.1578</f>
        <v>1.1032035398229978</v>
      </c>
      <c r="N38" s="39">
        <f>E_g!N38/(rat_weight!N38/1000)*0.1578</f>
        <v>1.5221415929203508</v>
      </c>
      <c r="O38" s="39">
        <f>E_g!O38/(rat_weight!O38/1000)*0.1578</f>
        <v>1.0892389380530989</v>
      </c>
      <c r="P38" s="39">
        <f>E_g!P38/(rat_weight!P38/1000)*0.1578</f>
        <v>0.61444247787611095</v>
      </c>
      <c r="Q38" s="39">
        <f>E_g!Q38/(rat_weight!Q38/1000)*0.1578</f>
        <v>0.80817708333333016</v>
      </c>
      <c r="R38" s="39">
        <f>E_g!R38/(rat_weight!R38/1000)*0.1578</f>
        <v>0.61640625000000004</v>
      </c>
      <c r="S38" s="39">
        <f>E_g!S38/(rat_weight!S38/1000)*0.1578</f>
        <v>0.67119791666667916</v>
      </c>
      <c r="T38" s="39">
        <f>E_g!T38/(rat_weight!T38/1000)*0.1578</f>
        <v>0.91776041666667296</v>
      </c>
    </row>
    <row r="39" spans="1:20" s="39" customFormat="1">
      <c r="A39" s="41">
        <v>38</v>
      </c>
      <c r="B39" s="39">
        <f>E_g!B39/(rat_weight!B39/1000)*0.1578</f>
        <v>0.46563934426228332</v>
      </c>
      <c r="C39" s="39">
        <f>E_g!C39/(rat_weight!C39/1000)*0.1578</f>
        <v>1.0088852459016335</v>
      </c>
      <c r="D39" s="39">
        <f>E_g!D39/(rat_weight!D39/1000)*0.1578</f>
        <v>0.77606557377049179</v>
      </c>
      <c r="E39" s="39">
        <f>E_g!E39/(rat_weight!E39/1000)*0.1578</f>
        <v>1.0088852459016482</v>
      </c>
      <c r="F39" s="39">
        <f>E_g!F39/(rat_weight!F39/1000)*0.1578</f>
        <v>0.93127868852461082</v>
      </c>
      <c r="G39" s="39">
        <f>E_g!G39/(rat_weight!G39/1000)*0.1578</f>
        <v>0.97661237785016575</v>
      </c>
      <c r="H39" s="39">
        <f>E_g!H39/(rat_weight!H39/1000)*0.1578</f>
        <v>0.69390879478829992</v>
      </c>
      <c r="I39" s="39">
        <f>E_g!I39/(rat_weight!I39/1000)*0.1578</f>
        <v>0.77100977198699983</v>
      </c>
      <c r="J39" s="39">
        <f>E_g!J39/(rat_weight!J39/1000)*0.1578</f>
        <v>0.97661237785016575</v>
      </c>
      <c r="K39" s="39">
        <f>E_g!K39/(rat_weight!K39/1000)*0.1578</f>
        <v>1.1051140065146756</v>
      </c>
      <c r="L39" s="39">
        <f>E_g!L39/(rat_weight!L39/1000)*0.1578</f>
        <v>1.3833116883116823</v>
      </c>
      <c r="M39" s="39">
        <f>E_g!M39/(rat_weight!M39/1000)*0.1578</f>
        <v>0.6404220779220634</v>
      </c>
      <c r="N39" s="39">
        <f>E_g!N39/(rat_weight!N39/1000)*0.1578</f>
        <v>1.4089285714285715</v>
      </c>
      <c r="O39" s="39">
        <f>E_g!O39/(rat_weight!O39/1000)*0.1578</f>
        <v>1.1271428571428659</v>
      </c>
      <c r="P39" s="39">
        <f>E_g!P39/(rat_weight!P39/1000)*0.1578</f>
        <v>0.87097402597400553</v>
      </c>
      <c r="Q39" s="39">
        <f>E_g!Q39/(rat_weight!Q39/1000)*0.1578</f>
        <v>0.58163461538460381</v>
      </c>
      <c r="R39" s="39">
        <f>E_g!R39/(rat_weight!R39/1000)*0.1578</f>
        <v>1.1379807692307404</v>
      </c>
      <c r="S39" s="39">
        <f>E_g!S39/(rat_weight!S39/1000)*0.1578</f>
        <v>0.78394230769234219</v>
      </c>
      <c r="T39" s="39">
        <f>E_g!T39/(rat_weight!T39/1000)*0.1578</f>
        <v>0.63221153846153844</v>
      </c>
    </row>
    <row r="40" spans="1:20" s="39" customFormat="1">
      <c r="A40" s="41">
        <v>39</v>
      </c>
      <c r="B40" s="39">
        <f>E_g!B40/(rat_weight!B40/1000)*0.1578</f>
        <v>0.75959627329191703</v>
      </c>
      <c r="C40" s="39">
        <f>E_g!C40/(rat_weight!C40/1000)*0.1578</f>
        <v>1.0168788819875858</v>
      </c>
      <c r="D40" s="39">
        <f>E_g!D40/(rat_weight!D40/1000)*0.1578</f>
        <v>0.95562111801243055</v>
      </c>
      <c r="E40" s="39">
        <f>E_g!E40/(rat_weight!E40/1000)*0.1578</f>
        <v>1.0903881987577542</v>
      </c>
      <c r="F40" s="39">
        <f>E_g!F40/(rat_weight!F40/1000)*0.1578</f>
        <v>1.2251552795031124</v>
      </c>
      <c r="G40" s="39">
        <f>E_g!G40/(rat_weight!G40/1000)*0.1578</f>
        <v>1.683841463414641</v>
      </c>
      <c r="H40" s="39">
        <f>E_g!H40/(rat_weight!H40/1000)*0.1578</f>
        <v>1.2628810975609823</v>
      </c>
      <c r="I40" s="39">
        <f>E_g!I40/(rat_weight!I40/1000)*0.1578</f>
        <v>0.9862500000000054</v>
      </c>
      <c r="J40" s="39">
        <f>E_g!J40/(rat_weight!J40/1000)*0.1578</f>
        <v>0.81786585365853792</v>
      </c>
      <c r="K40" s="39">
        <f>E_g!K40/(rat_weight!K40/1000)*0.1578</f>
        <v>0.73367378048782128</v>
      </c>
      <c r="L40" s="39">
        <f>E_g!L40/(rat_weight!L40/1000)*0.1578</f>
        <v>0.28475187969924542</v>
      </c>
      <c r="M40" s="39">
        <f>E_g!M40/(rat_weight!M40/1000)*0.1578</f>
        <v>0.62882706766917418</v>
      </c>
      <c r="N40" s="39">
        <f>E_g!N40/(rat_weight!N40/1000)*0.1578</f>
        <v>8.3052631578939273E-2</v>
      </c>
      <c r="O40" s="39">
        <f>E_g!O40/(rat_weight!O40/1000)*0.1578</f>
        <v>0.11864661654136012</v>
      </c>
      <c r="P40" s="39">
        <f>E_g!P40/(rat_weight!P40/1000)*0.1578</f>
        <v>0.42712781954886808</v>
      </c>
      <c r="Q40" s="39">
        <f>E_g!Q40/(rat_weight!Q40/1000)*0.1578</f>
        <v>1.1846846846836073E-2</v>
      </c>
      <c r="R40" s="39">
        <f>E_g!R40/(rat_weight!R40/1000)*0.1578</f>
        <v>8.2927927927919837E-2</v>
      </c>
      <c r="S40" s="39">
        <f>E_g!S40/(rat_weight!S40/1000)*0.1578</f>
        <v>3.5540540540548615E-2</v>
      </c>
      <c r="T40" s="39">
        <f>E_g!T40/(rat_weight!T40/1000)*0.1578</f>
        <v>1.184684684684954E-2</v>
      </c>
    </row>
    <row r="41" spans="1:20" s="39" customFormat="1">
      <c r="A41" s="41">
        <v>40</v>
      </c>
      <c r="B41" s="39">
        <f>E_g!B41/(rat_weight!B41/1000)*0.1578</f>
        <v>8.0510204081605183E-2</v>
      </c>
      <c r="C41" s="39">
        <f>E_g!C41/(rat_weight!C41/1000)*0.1578</f>
        <v>-2.0127551020412741E-2</v>
      </c>
      <c r="D41" s="39">
        <f>E_g!D41/(rat_weight!D41/1000)*0.1578</f>
        <v>2.28823762659069E-14</v>
      </c>
      <c r="E41" s="39">
        <f>E_g!E41/(rat_weight!E41/1000)*0.1578</f>
        <v>0.22140306122448294</v>
      </c>
      <c r="F41" s="39">
        <f>E_g!F41/(rat_weight!F41/1000)*0.1578</f>
        <v>0.24153061224489566</v>
      </c>
      <c r="G41" s="39">
        <f>E_g!G41/(rat_weight!G41/1000)*0.1578</f>
        <v>8.2187500000007005E-2</v>
      </c>
      <c r="H41" s="39">
        <f>E_g!H41/(rat_weight!H41/1000)*0.1578</f>
        <v>0.14382812499999764</v>
      </c>
      <c r="I41" s="39">
        <f>E_g!I41/(rat_weight!I41/1000)*0.1578</f>
        <v>-4.1093749999985989E-2</v>
      </c>
      <c r="J41" s="39">
        <f>E_g!J41/(rat_weight!J41/1000)*0.1578</f>
        <v>8.2187500000007005E-2</v>
      </c>
      <c r="K41" s="39">
        <f>E_g!K41/(rat_weight!K41/1000)*0.1578</f>
        <v>2.0546875000004669E-2</v>
      </c>
      <c r="L41" s="39">
        <f>E_g!L41/(rat_weight!L41/1000)*0.1578</f>
        <v>3.9351620947639866E-2</v>
      </c>
      <c r="M41" s="39">
        <f>E_g!M41/(rat_weight!M41/1000)*0.1578</f>
        <v>-9.837905236908849E-2</v>
      </c>
      <c r="N41" s="39">
        <f>E_g!N41/(rat_weight!N41/1000)*0.1578</f>
        <v>-9.8379052369077291E-2</v>
      </c>
      <c r="O41" s="39">
        <f>E_g!O41/(rat_weight!O41/1000)*0.1578</f>
        <v>7.8703241895268547E-2</v>
      </c>
      <c r="P41" s="39">
        <f>E_g!P41/(rat_weight!P41/1000)*0.1578</f>
        <v>3.935162094760631E-2</v>
      </c>
      <c r="Q41" s="39">
        <f>E_g!Q41/(rat_weight!Q41/1000)*0.1578</f>
        <v>5.8589108910882204E-2</v>
      </c>
      <c r="R41" s="39">
        <f>E_g!R41/(rat_weight!R41/1000)*0.1578</f>
        <v>5.8589108910882204E-2</v>
      </c>
      <c r="S41" s="39">
        <f>E_g!S41/(rat_weight!S41/1000)*0.1578</f>
        <v>5.8589108910904401E-2</v>
      </c>
      <c r="T41" s="39">
        <f>E_g!T41/(rat_weight!T41/1000)*0.1578</f>
        <v>-1.9529702970301467E-2</v>
      </c>
    </row>
    <row r="42" spans="1:20" s="39" customFormat="1">
      <c r="A42" s="41">
        <v>41</v>
      </c>
      <c r="B42" s="39">
        <f>E_g!B42/(rat_weight!B42/1000)*0.1578</f>
        <v>1.931283582089536</v>
      </c>
      <c r="C42" s="39">
        <f>E_g!C42/(rat_weight!C42/1000)*0.1578</f>
        <v>1.6722089552238859</v>
      </c>
      <c r="D42" s="39">
        <f>E_g!D42/(rat_weight!D42/1000)*0.1578</f>
        <v>1.5544477611940619</v>
      </c>
      <c r="E42" s="39">
        <f>E_g!E42/(rat_weight!E42/1000)*0.1578</f>
        <v>1.6251044776119214</v>
      </c>
      <c r="F42" s="39">
        <f>E_g!F42/(rat_weight!F42/1000)*0.1578</f>
        <v>1.8841791044776253</v>
      </c>
      <c r="G42" s="39">
        <f>E_g!G42/(rat_weight!G42/1000)*0.1578</f>
        <v>1.742865671641799</v>
      </c>
      <c r="H42" s="39">
        <f>E_g!H42/(rat_weight!H42/1000)*0.1578</f>
        <v>2.7085074626865806</v>
      </c>
      <c r="I42" s="39">
        <f>E_g!I42/(rat_weight!I42/1000)*0.1578</f>
        <v>1.3660298507462845</v>
      </c>
      <c r="J42" s="39">
        <f>E_g!J42/(rat_weight!J42/1000)*0.1578</f>
        <v>1.31892537313432</v>
      </c>
      <c r="K42" s="39">
        <f>E_g!K42/(rat_weight!K42/1000)*0.1578</f>
        <v>1.3895820895522601</v>
      </c>
      <c r="L42" s="39">
        <f>E_g!L42/(rat_weight!L42/1000)*0.1578</f>
        <v>1.2247164179104317</v>
      </c>
      <c r="M42" s="39">
        <f>E_g!M42/(rat_weight!M42/1000)*0.1578</f>
        <v>0.82432835820894179</v>
      </c>
      <c r="N42" s="39">
        <f>E_g!N42/(rat_weight!N42/1000)*0.1578</f>
        <v>1.4837910447761085</v>
      </c>
      <c r="O42" s="39">
        <f>E_g!O42/(rat_weight!O42/1000)*0.1578</f>
        <v>1.1305074626865697</v>
      </c>
      <c r="P42" s="39">
        <f>E_g!P42/(rat_weight!P42/1000)*0.1578</f>
        <v>1.4131343283581954</v>
      </c>
      <c r="Q42" s="39">
        <f>E_g!Q42/(rat_weight!Q42/1000)*0.1578</f>
        <v>0.71938235294118169</v>
      </c>
      <c r="R42" s="39">
        <f>E_g!R42/(rat_weight!R42/1000)*0.1578</f>
        <v>0.2552647058823318</v>
      </c>
      <c r="S42" s="39">
        <f>E_g!S42/(rat_weight!S42/1000)*0.1578</f>
        <v>0.58014705882352935</v>
      </c>
      <c r="T42" s="39">
        <f>E_g!T42/(rat_weight!T42/1000)*0.1578</f>
        <v>1.0442647058823529</v>
      </c>
    </row>
    <row r="43" spans="1:20" s="39" customFormat="1">
      <c r="A43" s="41">
        <v>42</v>
      </c>
      <c r="B43" s="39">
        <f>E_g!B43/(rat_weight!B43/1000)*0.1578</f>
        <v>1.6938983050847254</v>
      </c>
      <c r="C43" s="39">
        <f>E_g!C43/(rat_weight!C43/1000)*0.1578</f>
        <v>1.2035593220339187</v>
      </c>
      <c r="D43" s="39">
        <f>E_g!D43/(rat_weight!D43/1000)*0.1578</f>
        <v>2.2288135593220848</v>
      </c>
      <c r="E43" s="39">
        <f>E_g!E43/(rat_weight!E43/1000)*0.1578</f>
        <v>1.2927118644067441</v>
      </c>
      <c r="F43" s="39">
        <f>E_g!F43/(rat_weight!F43/1000)*0.1578</f>
        <v>1.6047457627118491</v>
      </c>
      <c r="G43" s="39">
        <f>E_g!G43/(rat_weight!G43/1000)*0.1578</f>
        <v>0.98625000000004592</v>
      </c>
      <c r="H43" s="39">
        <f>E_g!H43/(rat_weight!H43/1000)*0.1578</f>
        <v>1.9276704545454597</v>
      </c>
      <c r="I43" s="39">
        <f>E_g!I43/(rat_weight!I43/1000)*0.1578</f>
        <v>1.7931818181818184</v>
      </c>
      <c r="J43" s="39">
        <f>E_g!J43/(rat_weight!J43/1000)*0.1578</f>
        <v>1.3448863636363382</v>
      </c>
      <c r="K43" s="39">
        <f>E_g!K43/(rat_weight!K43/1000)*0.1578</f>
        <v>1.6586931818182022</v>
      </c>
      <c r="L43" s="39">
        <f>E_g!L43/(rat_weight!L43/1000)*0.1578</f>
        <v>0.71322033898301029</v>
      </c>
      <c r="M43" s="39">
        <f>E_g!M43/(rat_weight!M43/1000)*0.1578</f>
        <v>1.2927118644067441</v>
      </c>
      <c r="N43" s="39">
        <f>E_g!N43/(rat_weight!N43/1000)*0.1578</f>
        <v>1.916779661016929</v>
      </c>
      <c r="O43" s="39">
        <f>E_g!O43/(rat_weight!O43/1000)*0.1578</f>
        <v>1.7830508474576523</v>
      </c>
      <c r="P43" s="39">
        <f>E_g!P43/(rat_weight!P43/1000)*0.1578</f>
        <v>1.069830508474541</v>
      </c>
      <c r="Q43" s="39">
        <f>E_g!Q43/(rat_weight!Q43/1000)*0.1578</f>
        <v>0.401186440677956</v>
      </c>
      <c r="R43" s="39">
        <f>E_g!R43/(rat_weight!R43/1000)*0.1578</f>
        <v>-0.13372881355930177</v>
      </c>
      <c r="S43" s="39">
        <f>E_g!S43/(rat_weight!S43/1000)*0.1578</f>
        <v>0.31203389830510503</v>
      </c>
      <c r="T43" s="39">
        <f>E_g!T43/(rat_weight!T43/1000)*0.1578</f>
        <v>0.57949152542370852</v>
      </c>
    </row>
    <row r="44" spans="1:20" s="39" customFormat="1">
      <c r="A44" s="41">
        <v>43</v>
      </c>
      <c r="B44" s="39">
        <f>E_g!B44/(rat_weight!B44/1000)*0.1578</f>
        <v>1.0519999999999401</v>
      </c>
      <c r="C44" s="39">
        <f>E_g!C44/(rat_weight!C44/1000)*0.1578</f>
        <v>1.4464999999999799</v>
      </c>
      <c r="D44" s="39">
        <f>E_g!D44/(rat_weight!D44/1000)*0.1578</f>
        <v>0.87666666666666659</v>
      </c>
      <c r="E44" s="39">
        <f>E_g!E44/(rat_weight!E44/1000)*0.1578</f>
        <v>1.3588333333333185</v>
      </c>
      <c r="F44" s="39">
        <f>E_g!F44/(rat_weight!F44/1000)*0.1578</f>
        <v>1.5779999999999852</v>
      </c>
      <c r="G44" s="39">
        <f>E_g!G44/(rat_weight!G44/1000)*0.1578</f>
        <v>1.1396666666667015</v>
      </c>
      <c r="H44" s="39">
        <f>E_g!H44/(rat_weight!H44/1000)*0.1578</f>
        <v>0.6574999999999751</v>
      </c>
      <c r="I44" s="39">
        <f>E_g!I44/(rat_weight!I44/1000)*0.1578</f>
        <v>1.57800000000006</v>
      </c>
      <c r="J44" s="39">
        <f>E_g!J44/(rat_weight!J44/1000)*0.1578</f>
        <v>1.0519999999999652</v>
      </c>
      <c r="K44" s="39">
        <f>E_g!K44/(rat_weight!K44/1000)*0.1578</f>
        <v>1.18350000000002</v>
      </c>
      <c r="L44" s="39">
        <f>E_g!L44/(rat_weight!L44/1000)*0.1578</f>
        <v>1.4579347826086859</v>
      </c>
      <c r="M44" s="39">
        <f>E_g!M44/(rat_weight!M44/1000)*0.1578</f>
        <v>0.8147282608695311</v>
      </c>
      <c r="N44" s="39">
        <f>E_g!N44/(rat_weight!N44/1000)*0.1578</f>
        <v>0.47168478260865665</v>
      </c>
      <c r="O44" s="39">
        <f>E_g!O44/(rat_weight!O44/1000)*0.1578</f>
        <v>0.68608695652172447</v>
      </c>
      <c r="P44" s="39">
        <f>E_g!P44/(rat_weight!P44/1000)*0.1578</f>
        <v>0.68608695652172447</v>
      </c>
      <c r="Q44" s="39">
        <f>E_g!Q44/(rat_weight!Q44/1000)*0.1578</f>
        <v>0.47168478260870539</v>
      </c>
      <c r="R44" s="39">
        <f>E_g!R44/(rat_weight!R44/1000)*0.1578</f>
        <v>0.30016304347823158</v>
      </c>
      <c r="S44" s="39">
        <f>E_g!S44/(rat_weight!S44/1000)*0.1578</f>
        <v>0.38592391304351731</v>
      </c>
      <c r="T44" s="39">
        <f>E_g!T44/(rat_weight!T44/1000)*0.1578</f>
        <v>0.55744565217389352</v>
      </c>
    </row>
    <row r="45" spans="1:20" s="39" customFormat="1">
      <c r="A45" s="41">
        <v>44</v>
      </c>
      <c r="B45" s="39">
        <f>E_g!B45/(rat_weight!B45/1000)*0.1578</f>
        <v>0.93127868852459605</v>
      </c>
      <c r="C45" s="39">
        <f>E_g!C45/(rat_weight!C45/1000)*0.1578</f>
        <v>0.90540983606557368</v>
      </c>
      <c r="D45" s="39">
        <f>E_g!D45/(rat_weight!D45/1000)*0.1578</f>
        <v>0.62085245901641695</v>
      </c>
      <c r="E45" s="39">
        <f>E_g!E45/(rat_weight!E45/1000)*0.1578</f>
        <v>0.90540983606555914</v>
      </c>
      <c r="F45" s="39">
        <f>E_g!F45/(rat_weight!F45/1000)*0.1578</f>
        <v>1.0347540983606409</v>
      </c>
      <c r="G45" s="39">
        <f>E_g!G45/(rat_weight!G45/1000)*0.1578</f>
        <v>1.0347540983606704</v>
      </c>
      <c r="H45" s="39">
        <f>E_g!H45/(rat_weight!H45/1000)*0.1578</f>
        <v>1.1123606557377079</v>
      </c>
      <c r="I45" s="39">
        <f>E_g!I45/(rat_weight!I45/1000)*0.1578</f>
        <v>0.62085245901641695</v>
      </c>
      <c r="J45" s="39">
        <f>E_g!J45/(rat_weight!J45/1000)*0.1578</f>
        <v>0.82780327868852166</v>
      </c>
      <c r="K45" s="39">
        <f>E_g!K45/(rat_weight!K45/1000)*0.1578</f>
        <v>0.64672131147543921</v>
      </c>
      <c r="L45" s="39">
        <f>E_g!L45/(rat_weight!L45/1000)*0.1578</f>
        <v>1.5470588235294118</v>
      </c>
      <c r="M45" s="39">
        <f>E_g!M45/(rat_weight!M45/1000)*0.1578</f>
        <v>0.7477450980391952</v>
      </c>
      <c r="N45" s="39">
        <f>E_g!N45/(rat_weight!N45/1000)*0.1578</f>
        <v>0.54147058823527061</v>
      </c>
      <c r="O45" s="39">
        <f>E_g!O45/(rat_weight!O45/1000)*0.1578</f>
        <v>0.41254901960783436</v>
      </c>
      <c r="P45" s="39">
        <f>E_g!P45/(rat_weight!P45/1000)*0.1578</f>
        <v>0.30941176470587944</v>
      </c>
      <c r="Q45" s="39">
        <f>E_g!Q45/(rat_weight!Q45/1000)*0.1578</f>
        <v>0.36984374999999997</v>
      </c>
      <c r="R45" s="39">
        <f>E_g!R45/(rat_weight!R45/1000)*0.1578</f>
        <v>7.3968749999988787E-2</v>
      </c>
      <c r="S45" s="39">
        <f>E_g!S45/(rat_weight!S45/1000)*0.1578</f>
        <v>0.1725937500000112</v>
      </c>
      <c r="T45" s="39">
        <f>E_g!T45/(rat_weight!T45/1000)*0.1578</f>
        <v>7.3968749999988787E-2</v>
      </c>
    </row>
    <row r="46" spans="1:20" s="39" customFormat="1">
      <c r="A46" s="41">
        <v>45</v>
      </c>
      <c r="B46" s="39">
        <f>E_g!B46/(rat_weight!B46/1000)*0.1578</f>
        <v>1.9599363057324726</v>
      </c>
      <c r="C46" s="39">
        <f>E_g!C46/(rat_weight!C46/1000)*0.1578</f>
        <v>0.82920382165606799</v>
      </c>
      <c r="D46" s="39">
        <f>E_g!D46/(rat_weight!D46/1000)*0.1578</f>
        <v>1.0553503184713491</v>
      </c>
      <c r="E46" s="39">
        <f>E_g!E46/(rat_weight!E46/1000)*0.1578</f>
        <v>1.0804777070063722</v>
      </c>
      <c r="F46" s="39">
        <f>E_g!F46/(rat_weight!F46/1000)*0.1578</f>
        <v>1.8091719745222901</v>
      </c>
      <c r="G46" s="39">
        <f>E_g!G46/(rat_weight!G46/1000)*0.1578</f>
        <v>0.95789137380194844</v>
      </c>
      <c r="H46" s="39">
        <f>E_g!H46/(rat_weight!H46/1000)*0.1578</f>
        <v>0.63019169329074909</v>
      </c>
      <c r="I46" s="39">
        <f>E_g!I46/(rat_weight!I46/1000)*0.1578</f>
        <v>1.6637060702875457</v>
      </c>
      <c r="J46" s="39">
        <f>E_g!J46/(rat_weight!J46/1000)*0.1578</f>
        <v>0.75623003194889615</v>
      </c>
      <c r="K46" s="39">
        <f>E_g!K46/(rat_weight!K46/1000)*0.1578</f>
        <v>1.2855910543131048</v>
      </c>
      <c r="L46" s="39">
        <f>E_g!L46/(rat_weight!L46/1000)*0.1578</f>
        <v>1.2061146496815172</v>
      </c>
      <c r="M46" s="39">
        <f>E_g!M46/(rat_weight!M46/1000)*0.1578</f>
        <v>0.42716560509553853</v>
      </c>
      <c r="N46" s="39">
        <f>E_g!N46/(rat_weight!N46/1000)*0.1578</f>
        <v>1.7337898089171917</v>
      </c>
      <c r="O46" s="39">
        <f>E_g!O46/(rat_weight!O46/1000)*0.1578</f>
        <v>1.3066242038216531</v>
      </c>
      <c r="P46" s="39">
        <f>E_g!P46/(rat_weight!P46/1000)*0.1578</f>
        <v>1.0050955414012597</v>
      </c>
      <c r="Q46" s="39">
        <f>E_g!Q46/(rat_weight!Q46/1000)*0.1578</f>
        <v>0.47439873417720951</v>
      </c>
      <c r="R46" s="39">
        <f>E_g!R46/(rat_weight!R46/1000)*0.1578</f>
        <v>0.62420886075949367</v>
      </c>
      <c r="S46" s="39">
        <f>E_g!S46/(rat_weight!S46/1000)*0.1578</f>
        <v>0.97376582278483281</v>
      </c>
      <c r="T46" s="39">
        <f>E_g!T46/(rat_weight!T46/1000)*0.1578</f>
        <v>0.67414556962023608</v>
      </c>
    </row>
    <row r="47" spans="1:20" s="39" customFormat="1">
      <c r="A47" s="41">
        <v>46</v>
      </c>
      <c r="B47" s="39">
        <f>E_g!B47/(rat_weight!B47/1000)*0.1578</f>
        <v>2.4685544554455374</v>
      </c>
      <c r="C47" s="39">
        <f>E_g!C47/(rat_weight!C47/1000)*0.1578</f>
        <v>1.6092475247524682</v>
      </c>
      <c r="D47" s="39">
        <f>E_g!D47/(rat_weight!D47/1000)*0.1578</f>
        <v>1.4061386138613863</v>
      </c>
      <c r="E47" s="39">
        <f>E_g!E47/(rat_weight!E47/1000)*0.1578</f>
        <v>1.2030297029702952</v>
      </c>
      <c r="F47" s="39">
        <f>E_g!F47/(rat_weight!F47/1000)*0.1578</f>
        <v>1.8436039603960412</v>
      </c>
      <c r="G47" s="39">
        <f>E_g!G47/(rat_weight!G47/1000)*0.1578</f>
        <v>1.4910236220472564</v>
      </c>
      <c r="H47" s="39">
        <f>E_g!H47/(rat_weight!H47/1000)*0.1578</f>
        <v>2.0346259842519632</v>
      </c>
      <c r="I47" s="39">
        <f>E_g!I47/(rat_weight!I47/1000)*0.1578</f>
        <v>1.7395275590551251</v>
      </c>
      <c r="J47" s="39">
        <f>E_g!J47/(rat_weight!J47/1000)*0.1578</f>
        <v>2.0501574803149589</v>
      </c>
      <c r="K47" s="39">
        <f>E_g!K47/(rat_weight!K47/1000)*0.1578</f>
        <v>2.1278149606299284</v>
      </c>
      <c r="L47" s="39">
        <f>E_g!L47/(rat_weight!L47/1000)*0.1578</f>
        <v>1.9496525096525026</v>
      </c>
      <c r="M47" s="39">
        <f>E_g!M47/(rat_weight!M47/1000)*0.1578</f>
        <v>1.7211776061775905</v>
      </c>
      <c r="N47" s="39">
        <f>E_g!N47/(rat_weight!N47/1000)*0.1578</f>
        <v>2.2695173745173709</v>
      </c>
      <c r="O47" s="39">
        <f>E_g!O47/(rat_weight!O47/1000)*0.1578</f>
        <v>1.5536293436293591</v>
      </c>
      <c r="P47" s="39">
        <f>E_g!P47/(rat_weight!P47/1000)*0.1578</f>
        <v>0.60926640926640063</v>
      </c>
      <c r="Q47" s="39">
        <f>E_g!Q47/(rat_weight!Q47/1000)*0.1578</f>
        <v>0.85088235294117642</v>
      </c>
      <c r="R47" s="39">
        <f>E_g!R47/(rat_weight!R47/1000)*0.1578</f>
        <v>0.88182352941175413</v>
      </c>
      <c r="S47" s="39">
        <f>E_g!S47/(rat_weight!S47/1000)*0.1578</f>
        <v>1.3768823529411907</v>
      </c>
      <c r="T47" s="39">
        <f>E_g!T47/(rat_weight!T47/1000)*0.1578</f>
        <v>0.85088235294117642</v>
      </c>
    </row>
    <row r="48" spans="1:20" s="39" customFormat="1">
      <c r="A48" s="41">
        <v>47</v>
      </c>
      <c r="B48" s="39">
        <f>E_g!B48/(rat_weight!B48/1000)*0.1578</f>
        <v>0.7309536784740851</v>
      </c>
      <c r="C48" s="39">
        <f>E_g!C48/(rat_weight!C48/1000)*0.1578</f>
        <v>1.2254223433242606</v>
      </c>
      <c r="D48" s="39">
        <f>E_g!D48/(rat_weight!D48/1000)*0.1578</f>
        <v>1.1609264305177307</v>
      </c>
      <c r="E48" s="39">
        <f>E_g!E48/(rat_weight!E48/1000)*0.1578</f>
        <v>1.2684196185285932</v>
      </c>
      <c r="F48" s="39">
        <f>E_g!F48/(rat_weight!F48/1000)*0.1578</f>
        <v>1.504904632152601</v>
      </c>
      <c r="G48" s="39">
        <f>E_g!G48/(rat_weight!G48/1000)*0.1578</f>
        <v>1.3221081081081056</v>
      </c>
      <c r="H48" s="39">
        <f>E_g!H48/(rat_weight!H48/1000)*0.1578</f>
        <v>0.70370270270270507</v>
      </c>
      <c r="I48" s="39">
        <f>E_g!I48/(rat_weight!I48/1000)*0.1578</f>
        <v>1.1941621621621912</v>
      </c>
      <c r="J48" s="39">
        <f>E_g!J48/(rat_weight!J48/1000)*0.1578</f>
        <v>0.93827027027027743</v>
      </c>
      <c r="K48" s="39">
        <f>E_g!K48/(rat_weight!K48/1000)*0.1578</f>
        <v>0.57575675675676641</v>
      </c>
      <c r="L48" s="39">
        <f>E_g!L48/(rat_weight!L48/1000)*0.1578</f>
        <v>0.17013477088947818</v>
      </c>
      <c r="M48" s="39">
        <f>E_g!M48/(rat_weight!M48/1000)*0.1578</f>
        <v>0.10633423180591782</v>
      </c>
      <c r="N48" s="39">
        <f>E_g!N48/(rat_weight!N48/1000)*0.1578</f>
        <v>-6.3800539083572458E-2</v>
      </c>
      <c r="O48" s="39">
        <f>E_g!O48/(rat_weight!O48/1000)*0.1578</f>
        <v>0.21266846361184774</v>
      </c>
      <c r="P48" s="39">
        <f>E_g!P48/(rat_weight!P48/1000)*0.1578</f>
        <v>8.5067385444751176E-2</v>
      </c>
      <c r="Q48" s="39">
        <f>E_g!Q48/(rat_weight!Q48/1000)*0.1578</f>
        <v>6.1480519480533451E-2</v>
      </c>
      <c r="R48" s="39">
        <f>E_g!R48/(rat_weight!R48/1000)*0.1578</f>
        <v>-0.10246753246753246</v>
      </c>
      <c r="S48" s="39">
        <f>E_g!S48/(rat_weight!S48/1000)*0.1578</f>
        <v>6.1480519480533451E-2</v>
      </c>
      <c r="T48" s="39">
        <f>E_g!T48/(rat_weight!T48/1000)*0.1578</f>
        <v>6.1480519480510164E-2</v>
      </c>
    </row>
    <row r="49" spans="1:20" s="39" customFormat="1">
      <c r="A49" s="41">
        <v>48</v>
      </c>
      <c r="B49" s="39">
        <f>E_g!B49/(rat_weight!B49/1000)*0.1578</f>
        <v>1.386790945406118</v>
      </c>
      <c r="C49" s="39">
        <f>E_g!C49/(rat_weight!C49/1000)*0.1578</f>
        <v>0.76693741677762506</v>
      </c>
      <c r="D49" s="39">
        <f>E_g!D49/(rat_weight!D49/1000)*0.1578</f>
        <v>1.2817310252996053</v>
      </c>
      <c r="E49" s="39">
        <f>E_g!E49/(rat_weight!E49/1000)*0.1578</f>
        <v>1.0611051930758952</v>
      </c>
      <c r="F49" s="39">
        <f>E_g!F49/(rat_weight!F49/1000)*0.1578</f>
        <v>0.73541944074566645</v>
      </c>
      <c r="G49" s="39">
        <f>E_g!G49/(rat_weight!G49/1000)*0.1578</f>
        <v>1.0839630118890393</v>
      </c>
      <c r="H49" s="39">
        <f>E_g!H49/(rat_weight!H49/1000)*0.1578</f>
        <v>1.7197490092470336</v>
      </c>
      <c r="I49" s="39">
        <f>E_g!I49/(rat_weight!I49/1000)*0.1578</f>
        <v>1.7718626155878585</v>
      </c>
      <c r="J49" s="39">
        <f>E_g!J49/(rat_weight!J49/1000)*0.1578</f>
        <v>0.83381770145309841</v>
      </c>
      <c r="K49" s="39">
        <f>E_g!K49/(rat_weight!K49/1000)*0.1578</f>
        <v>0.74001321003963239</v>
      </c>
      <c r="L49" s="39">
        <f>E_g!L49/(rat_weight!L49/1000)*0.1578</f>
        <v>0.20493506493506491</v>
      </c>
      <c r="M49" s="39">
        <f>E_g!M49/(rat_weight!M49/1000)*0.1578</f>
        <v>1.0964025974025962</v>
      </c>
      <c r="N49" s="39">
        <f>E_g!N49/(rat_weight!N49/1000)*0.1578</f>
        <v>7.1727272727265728E-2</v>
      </c>
      <c r="O49" s="39">
        <f>E_g!O49/(rat_weight!O49/1000)*0.1578</f>
        <v>0.34838961038961391</v>
      </c>
      <c r="P49" s="39">
        <f>E_g!P49/(rat_weight!P49/1000)*0.1578</f>
        <v>0.40987012987012406</v>
      </c>
      <c r="Q49" s="39">
        <f>E_g!Q49/(rat_weight!Q49/1000)*0.1578</f>
        <v>7.0717029449428412E-2</v>
      </c>
      <c r="R49" s="39">
        <f>E_g!R49/(rat_weight!R49/1000)*0.1578</f>
        <v>-3.0307298335462751E-2</v>
      </c>
      <c r="S49" s="39">
        <f>E_g!S49/(rat_weight!S49/1000)*0.1578</f>
        <v>3.0307298335462751E-2</v>
      </c>
      <c r="T49" s="39">
        <f>E_g!T49/(rat_weight!T49/1000)*0.1578</f>
        <v>3.0307298335462751E-2</v>
      </c>
    </row>
    <row r="50" spans="1:20" s="39" customFormat="1">
      <c r="A50" s="41">
        <v>49</v>
      </c>
      <c r="B50" s="39">
        <f>E_g!B50/(rat_weight!B50/1000)*0.1578</f>
        <v>0.78661631419938494</v>
      </c>
      <c r="C50" s="39">
        <f>E_g!C50/(rat_weight!C50/1000)*0.1578</f>
        <v>1.060740181268893</v>
      </c>
      <c r="D50" s="39">
        <f>E_g!D50/(rat_weight!D50/1000)*0.1578</f>
        <v>0.71510574018126882</v>
      </c>
      <c r="E50" s="39">
        <f>E_g!E50/(rat_weight!E50/1000)*0.1578</f>
        <v>0.67935045317220399</v>
      </c>
      <c r="F50" s="39">
        <f>E_g!F50/(rat_weight!F50/1000)*0.1578</f>
        <v>0.81045317220543933</v>
      </c>
      <c r="G50" s="39">
        <f>E_g!G50/(rat_weight!G50/1000)*0.1578</f>
        <v>0.61789156626505892</v>
      </c>
      <c r="H50" s="39">
        <f>E_g!H50/(rat_weight!H50/1000)*0.1578</f>
        <v>0.96248493975903204</v>
      </c>
      <c r="I50" s="39">
        <f>E_g!I50/(rat_weight!I50/1000)*0.1578</f>
        <v>0.95060240963855414</v>
      </c>
      <c r="J50" s="39">
        <f>E_g!J50/(rat_weight!J50/1000)*0.1578</f>
        <v>0.45153614457831459</v>
      </c>
      <c r="K50" s="39">
        <f>E_g!K50/(rat_weight!K50/1000)*0.1578</f>
        <v>0.60600903614458101</v>
      </c>
      <c r="L50" s="39">
        <f>E_g!L50/(rat_weight!L50/1000)*0.1578</f>
        <v>0.1870222222222116</v>
      </c>
      <c r="M50" s="39">
        <f>E_g!M50/(rat_weight!M50/1000)*0.1578</f>
        <v>0.73639999999998795</v>
      </c>
      <c r="N50" s="39">
        <f>E_g!N50/(rat_weight!N50/1000)*0.1578</f>
        <v>5.844444444443115E-2</v>
      </c>
      <c r="O50" s="39">
        <f>E_g!O50/(rat_weight!O50/1000)*0.1578</f>
        <v>0.14026666666666532</v>
      </c>
      <c r="P50" s="39">
        <f>E_g!P50/(rat_weight!P50/1000)*0.1578</f>
        <v>0.11688888888888224</v>
      </c>
      <c r="Q50" s="39">
        <f>E_g!Q50/(rat_weight!Q50/1000)*0.1578</f>
        <v>3.4757709251096051E-2</v>
      </c>
      <c r="R50" s="39">
        <f>E_g!R50/(rat_weight!R50/1000)*0.1578</f>
        <v>-1.1585903083703072E-2</v>
      </c>
      <c r="S50" s="39">
        <f>E_g!S50/(rat_weight!S50/1000)*0.1578</f>
        <v>1.1585903083716246E-2</v>
      </c>
      <c r="T50" s="39">
        <f>E_g!T50/(rat_weight!T50/1000)*0.1578</f>
        <v>1.1585903083689902E-2</v>
      </c>
    </row>
    <row r="51" spans="1:20" s="39" customFormat="1">
      <c r="A51" s="41">
        <v>50</v>
      </c>
      <c r="B51" s="39">
        <f>E_g!B51/(rat_weight!B51/1000)*0.1578</f>
        <v>0.98067796610166447</v>
      </c>
      <c r="C51" s="39">
        <f>E_g!C51/(rat_weight!C51/1000)*0.1578</f>
        <v>1.181271186440668</v>
      </c>
      <c r="D51" s="39">
        <f>E_g!D51/(rat_weight!D51/1000)*0.1578</f>
        <v>1.2481355932203693</v>
      </c>
      <c r="E51" s="39">
        <f>E_g!E51/(rat_weight!E51/1000)*0.1578</f>
        <v>0.64635593220337206</v>
      </c>
      <c r="F51" s="39">
        <f>E_g!F51/(rat_weight!F51/1000)*0.1578</f>
        <v>1.1144067796610044</v>
      </c>
      <c r="G51" s="39">
        <f>E_g!G51/(rat_weight!G51/1000)*0.1578</f>
        <v>0.89914529914531205</v>
      </c>
      <c r="H51" s="39">
        <f>E_g!H51/(rat_weight!H51/1000)*0.1578</f>
        <v>0.87666666666667437</v>
      </c>
      <c r="I51" s="39">
        <f>E_g!I51/(rat_weight!I51/1000)*0.1578</f>
        <v>0.8541880341880751</v>
      </c>
      <c r="J51" s="39">
        <f>E_g!J51/(rat_weight!J51/1000)*0.1578</f>
        <v>0.85418803418803679</v>
      </c>
      <c r="K51" s="39">
        <f>E_g!K51/(rat_weight!K51/1000)*0.1578</f>
        <v>0.60692307692308711</v>
      </c>
      <c r="L51" s="39">
        <f>E_g!L51/(rat_weight!L51/1000)*0.1578</f>
        <v>0.53340845070419507</v>
      </c>
      <c r="M51" s="39">
        <f>E_g!M51/(rat_weight!M51/1000)*0.1578</f>
        <v>0.82233802816901158</v>
      </c>
      <c r="N51" s="39">
        <f>E_g!N51/(rat_weight!N51/1000)*0.1578</f>
        <v>0.9112394366197234</v>
      </c>
      <c r="O51" s="39">
        <f>E_g!O51/(rat_weight!O51/1000)*0.1578</f>
        <v>0.488957746478896</v>
      </c>
      <c r="P51" s="39">
        <f>E_g!P51/(rat_weight!P51/1000)*0.1578</f>
        <v>0.53340845070420762</v>
      </c>
      <c r="Q51" s="39">
        <f>E_g!Q51/(rat_weight!Q51/1000)*0.1578</f>
        <v>0.36547683923706697</v>
      </c>
      <c r="R51" s="39">
        <f>E_g!R51/(rat_weight!R51/1000)*0.1578</f>
        <v>0.19348773841961364</v>
      </c>
      <c r="S51" s="39">
        <f>E_g!S51/(rat_weight!S51/1000)*0.1578</f>
        <v>0.15049046321526863</v>
      </c>
      <c r="T51" s="39">
        <f>E_g!T51/(rat_weight!T51/1000)*0.1578</f>
        <v>0.36547683923704255</v>
      </c>
    </row>
    <row r="52" spans="1:20" s="39" customFormat="1">
      <c r="A52" s="41">
        <v>51</v>
      </c>
      <c r="B52" s="39">
        <f>E_g!B52/(rat_weight!B52/1000)*0.1578</f>
        <v>0.99314685314685947</v>
      </c>
      <c r="C52" s="39">
        <f>E_g!C52/(rat_weight!C52/1000)*0.1578</f>
        <v>1.0759090909090847</v>
      </c>
      <c r="D52" s="39">
        <f>E_g!D52/(rat_weight!D52/1000)*0.1578</f>
        <v>1.2690209790209854</v>
      </c>
      <c r="E52" s="39">
        <f>E_g!E52/(rat_weight!E52/1000)*0.1578</f>
        <v>0.96555944055942489</v>
      </c>
      <c r="F52" s="39">
        <f>E_g!F52/(rat_weight!F52/1000)*0.1578</f>
        <v>1.1034965034965192</v>
      </c>
      <c r="G52" s="39">
        <f>E_g!G52/(rat_weight!G52/1000)*0.1578</f>
        <v>1.0197959183673502</v>
      </c>
      <c r="H52" s="39">
        <f>E_g!H52/(rat_weight!H52/1000)*0.1578</f>
        <v>1.9590816326530642</v>
      </c>
      <c r="I52" s="39">
        <f>E_g!I52/(rat_weight!I52/1000)*0.1578</f>
        <v>0.91244897959186122</v>
      </c>
      <c r="J52" s="39">
        <f>E_g!J52/(rat_weight!J52/1000)*0.1578</f>
        <v>0.37571428571426441</v>
      </c>
      <c r="K52" s="39" t="e">
        <f>E_g!K52/(rat_weight!K52/1000)*0.1578</f>
        <v>#VALUE!</v>
      </c>
      <c r="L52" s="39">
        <f>E_g!L52/(rat_weight!L52/1000)*0.1578</f>
        <v>0.63331103678926159</v>
      </c>
      <c r="M52" s="39">
        <f>E_g!M52/(rat_weight!M52/1000)*0.1578</f>
        <v>0.65969899665553344</v>
      </c>
      <c r="N52" s="39">
        <f>E_g!N52/(rat_weight!N52/1000)*0.1578</f>
        <v>0.5013712374581879</v>
      </c>
      <c r="O52" s="39">
        <f>E_g!O52/(rat_weight!O52/1000)*0.1578</f>
        <v>0.58053511705688321</v>
      </c>
      <c r="P52" s="39">
        <f>E_g!P52/(rat_weight!P52/1000)*0.1578</f>
        <v>0.47498327759197628</v>
      </c>
      <c r="Q52" s="39">
        <f>E_g!Q52/(rat_weight!Q52/1000)*0.1578</f>
        <v>0.29026755852843411</v>
      </c>
      <c r="R52" s="39">
        <f>E_g!R52/(rat_weight!R52/1000)*0.1578</f>
        <v>0.18471571906355713</v>
      </c>
      <c r="S52" s="39">
        <f>E_g!S52/(rat_weight!S52/1000)*0.1578</f>
        <v>0.18471571906355713</v>
      </c>
      <c r="T52" s="39">
        <f>E_g!T52/(rat_weight!T52/1000)*0.1578</f>
        <v>0.55414715719061147</v>
      </c>
    </row>
    <row r="53" spans="1:20" s="39" customFormat="1">
      <c r="A53" s="41">
        <v>52</v>
      </c>
      <c r="B53" s="39">
        <f>E_g!B53/(rat_weight!B53/1000)*0.1578</f>
        <v>0.26299999999996015</v>
      </c>
      <c r="C53" s="39">
        <f>E_g!C53/(rat_weight!C53/1000)*0.1578</f>
        <v>0.92050000000000998</v>
      </c>
      <c r="D53" s="39">
        <f>E_g!D53/(rat_weight!D53/1000)*0.1578</f>
        <v>1.1396666666667266</v>
      </c>
      <c r="E53" s="39">
        <f>E_g!E53/(rat_weight!E53/1000)*0.1578</f>
        <v>0.92050000000003485</v>
      </c>
      <c r="F53" s="39">
        <f>E_g!F53/(rat_weight!F53/1000)*0.1578</f>
        <v>1.1396666666667015</v>
      </c>
      <c r="G53" s="39">
        <f>E_g!G53/(rat_weight!G53/1000)*0.1578</f>
        <v>0.61709497206705421</v>
      </c>
      <c r="H53" s="39">
        <f>E_g!H53/(rat_weight!H53/1000)*0.1578</f>
        <v>0.57301675977654132</v>
      </c>
      <c r="I53" s="39">
        <f>E_g!I53/(rat_weight!I53/1000)*0.1578</f>
        <v>0.96972067039113152</v>
      </c>
      <c r="J53" s="39">
        <f>E_g!J53/(rat_weight!J53/1000)*0.1578</f>
        <v>0.88156424581008086</v>
      </c>
      <c r="K53" s="39">
        <f>E_g!K53/(rat_weight!K53/1000)*0.1578</f>
        <v>1.1019553072625698</v>
      </c>
      <c r="L53" s="39">
        <f>E_g!L53/(rat_weight!L53/1000)*0.1578</f>
        <v>0.44078212290497781</v>
      </c>
      <c r="M53" s="39">
        <f>E_g!M53/(rat_weight!M53/1000)*0.1578</f>
        <v>0.39670391061449006</v>
      </c>
      <c r="N53" s="39">
        <f>E_g!N53/(rat_weight!N53/1000)*0.1578</f>
        <v>0.30854748603348947</v>
      </c>
      <c r="O53" s="39">
        <f>E_g!O53/(rat_weight!O53/1000)*0.1578</f>
        <v>0.96972067039105647</v>
      </c>
      <c r="P53" s="39">
        <f>E_g!P53/(rat_weight!P53/1000)*0.1578</f>
        <v>0.61709497206700403</v>
      </c>
      <c r="Q53" s="39">
        <f>E_g!Q53/(rat_weight!Q53/1000)*0.1578</f>
        <v>0.30180327868854417</v>
      </c>
      <c r="R53" s="39">
        <f>E_g!R53/(rat_weight!R53/1000)*0.1578</f>
        <v>-0.21557377049180326</v>
      </c>
      <c r="S53" s="39">
        <f>E_g!S53/(rat_weight!S53/1000)*0.1578</f>
        <v>0.38803278688528514</v>
      </c>
      <c r="T53" s="39">
        <f>E_g!T53/(rat_weight!T53/1000)*0.1578</f>
        <v>0.47426229508197704</v>
      </c>
    </row>
    <row r="54" spans="1:20" s="39" customFormat="1">
      <c r="A54" s="41">
        <v>53</v>
      </c>
      <c r="B54" s="39">
        <f>E_g!B54/(rat_weight!B54/1000)*0.1578</f>
        <v>0.82896810506566931</v>
      </c>
      <c r="C54" s="39">
        <f>E_g!C54/(rat_weight!C54/1000)*0.1578</f>
        <v>1.820769230769224</v>
      </c>
      <c r="D54" s="39">
        <f>E_g!D54/(rat_weight!D54/1000)*0.1578</f>
        <v>1.0658161350844513</v>
      </c>
      <c r="E54" s="39">
        <f>E_g!E54/(rat_weight!E54/1000)*0.1578</f>
        <v>1.3766791744840541</v>
      </c>
      <c r="F54" s="39">
        <f>E_g!F54/(rat_weight!F54/1000)*0.1578</f>
        <v>1.3026641651031912</v>
      </c>
      <c r="G54" s="39">
        <f>E_g!G54/(rat_weight!G54/1000)*0.1578</f>
        <v>1.1732342007435026</v>
      </c>
      <c r="H54" s="39">
        <f>E_g!H54/(rat_weight!H54/1000)*0.1578</f>
        <v>1.4518773234200792</v>
      </c>
      <c r="I54" s="39">
        <f>E_g!I54/(rat_weight!I54/1000)*0.1578</f>
        <v>1.6718587360594928</v>
      </c>
      <c r="J54" s="39">
        <f>E_g!J54/(rat_weight!J54/1000)*0.1578</f>
        <v>1.3492193308550169</v>
      </c>
      <c r="K54" s="39">
        <f>E_g!K54/(rat_weight!K54/1000)*0.1578</f>
        <v>1.0412453531598544</v>
      </c>
      <c r="L54" s="39">
        <f>E_g!L54/(rat_weight!L54/1000)*0.1578</f>
        <v>1.2981718464351002</v>
      </c>
      <c r="M54" s="39">
        <f>E_g!M54/(rat_weight!M54/1000)*0.1578</f>
        <v>1.0529616087751223</v>
      </c>
      <c r="N54" s="39">
        <f>E_g!N54/(rat_weight!N54/1000)*0.1578</f>
        <v>1.1683546617915936</v>
      </c>
      <c r="O54" s="39">
        <f>E_g!O54/(rat_weight!O54/1000)*0.1578</f>
        <v>2.5386471663619696</v>
      </c>
      <c r="P54" s="39">
        <f>E_g!P54/(rat_weight!P54/1000)*0.1578</f>
        <v>1.1827787934186453</v>
      </c>
      <c r="Q54" s="39">
        <f>E_g!Q54/(rat_weight!Q54/1000)*0.1578</f>
        <v>0.59355963302752612</v>
      </c>
      <c r="R54" s="39">
        <f>E_g!R54/(rat_weight!R54/1000)*0.1578</f>
        <v>0.8541467889908223</v>
      </c>
      <c r="S54" s="39">
        <f>E_g!S54/(rat_weight!S54/1000)*0.1578</f>
        <v>0.99891743119265708</v>
      </c>
      <c r="T54" s="39">
        <f>E_g!T54/(rat_weight!T54/1000)*0.1578</f>
        <v>1.4911376146788924</v>
      </c>
    </row>
    <row r="55" spans="1:20" s="39" customFormat="1">
      <c r="A55" s="41">
        <v>54</v>
      </c>
      <c r="B55" s="39">
        <f>E_g!B55/(rat_weight!B55/1000)*0.1578</f>
        <v>1.6038688524589986</v>
      </c>
      <c r="C55" s="39">
        <f>E_g!C55/(rat_weight!C55/1000)*0.1578</f>
        <v>0.69845901639345442</v>
      </c>
      <c r="D55" s="39">
        <f>E_g!D55/(rat_weight!D55/1000)*0.1578</f>
        <v>0.98301639344264058</v>
      </c>
      <c r="E55" s="39">
        <f>E_g!E55/(rat_weight!E55/1000)*0.1578</f>
        <v>1.4745245901639314</v>
      </c>
      <c r="F55" s="39">
        <f>E_g!F55/(rat_weight!F55/1000)*0.1578</f>
        <v>1.8108196721311329</v>
      </c>
      <c r="G55" s="39">
        <f>E_g!G55/(rat_weight!G55/1000)*0.1578</f>
        <v>1.2934426229508345</v>
      </c>
      <c r="H55" s="39">
        <f>E_g!H55/(rat_weight!H55/1000)*0.1578</f>
        <v>1.4745245901639314</v>
      </c>
      <c r="I55" s="39">
        <f>E_g!I55/(rat_weight!I55/1000)*0.1578</f>
        <v>1.5003934426229686</v>
      </c>
      <c r="J55" s="39">
        <f>E_g!J55/(rat_weight!J55/1000)*0.1578</f>
        <v>1.6038688524590134</v>
      </c>
      <c r="K55" s="39">
        <f>E_g!K55/(rat_weight!K55/1000)*0.1578</f>
        <v>1.5262622950819908</v>
      </c>
      <c r="L55" s="39">
        <f>E_g!L55/(rat_weight!L55/1000)*0.1578</f>
        <v>1.6198013245032934</v>
      </c>
      <c r="M55" s="39">
        <f>E_g!M55/(rat_weight!M55/1000)*0.1578</f>
        <v>0.54864238410595134</v>
      </c>
      <c r="N55" s="39">
        <f>E_g!N55/(rat_weight!N55/1000)*0.1578</f>
        <v>1.5936754966887476</v>
      </c>
      <c r="O55" s="39">
        <f>E_g!O55/(rat_weight!O55/1000)*0.1578</f>
        <v>1.7243046357616101</v>
      </c>
      <c r="P55" s="39">
        <f>E_g!P55/(rat_weight!P55/1000)*0.1578</f>
        <v>0.83602649006622232</v>
      </c>
      <c r="Q55" s="39">
        <f>E_g!Q55/(rat_weight!Q55/1000)*0.1578</f>
        <v>0.85367213114752927</v>
      </c>
      <c r="R55" s="39">
        <f>E_g!R55/(rat_weight!R55/1000)*0.1578</f>
        <v>0.80193442622948463</v>
      </c>
      <c r="S55" s="39">
        <f>E_g!S55/(rat_weight!S55/1000)*0.1578</f>
        <v>0.64672131147543921</v>
      </c>
      <c r="T55" s="39">
        <f>E_g!T55/(rat_weight!T55/1000)*0.1578</f>
        <v>0.64672131147540979</v>
      </c>
    </row>
    <row r="56" spans="1:20" s="39" customFormat="1">
      <c r="A56" s="41">
        <v>55</v>
      </c>
      <c r="B56" s="39">
        <f>E_g!B56/(rat_weight!B56/1000)*0.1578</f>
        <v>1.7349738219895006</v>
      </c>
      <c r="C56" s="39">
        <f>E_g!C56/(rat_weight!C56/1000)*0.1578</f>
        <v>0.86748691099477382</v>
      </c>
      <c r="D56" s="39">
        <f>E_g!D56/(rat_weight!D56/1000)*0.1578</f>
        <v>0.74356020942411194</v>
      </c>
      <c r="E56" s="39">
        <f>E_g!E56/(rat_weight!E56/1000)*0.1578</f>
        <v>0.7022513089005189</v>
      </c>
      <c r="F56" s="39">
        <f>E_g!F56/(rat_weight!F56/1000)*0.1578</f>
        <v>1.0740314136125513</v>
      </c>
      <c r="G56" s="39">
        <f>E_g!G56/(rat_weight!G56/1000)*0.1578</f>
        <v>1.1209836065573622</v>
      </c>
      <c r="H56" s="39">
        <f>E_g!H56/(rat_weight!H56/1000)*0.1578</f>
        <v>1.4227868852459067</v>
      </c>
      <c r="I56" s="39">
        <f>E_g!I56/(rat_weight!I56/1000)*0.1578</f>
        <v>3.7078688524590753</v>
      </c>
      <c r="J56" s="39">
        <f>E_g!J56/(rat_weight!J56/1000)*0.1578</f>
        <v>0.68983606557375587</v>
      </c>
      <c r="K56" s="39">
        <f>E_g!K56/(rat_weight!K56/1000)*0.1578</f>
        <v>0.64672131147540979</v>
      </c>
      <c r="L56" s="39">
        <f>E_g!L56/(rat_weight!L56/1000)*0.1578</f>
        <v>0.49570680628274122</v>
      </c>
      <c r="M56" s="39">
        <f>E_g!M56/(rat_weight!M56/1000)*0.1578</f>
        <v>0.45439790575914824</v>
      </c>
      <c r="N56" s="39">
        <f>E_g!N56/(rat_weight!N56/1000)*0.1578</f>
        <v>0.28916230366489326</v>
      </c>
      <c r="O56" s="39">
        <f>E_g!O56/(rat_weight!O56/1000)*0.1578</f>
        <v>0.7435602094240884</v>
      </c>
      <c r="P56" s="39">
        <f>E_g!P56/(rat_weight!P56/1000)*0.1578</f>
        <v>0.66094240837694918</v>
      </c>
      <c r="Q56" s="39">
        <f>E_g!Q56/(rat_weight!Q56/1000)*0.1578</f>
        <v>0.2044041450777202</v>
      </c>
      <c r="R56" s="39">
        <f>E_g!R56/(rat_weight!R56/1000)*0.1578</f>
        <v>-4.088082901555333E-2</v>
      </c>
      <c r="S56" s="39">
        <f>E_g!S56/(rat_weight!S56/1000)*0.1578</f>
        <v>0.2044041450777202</v>
      </c>
      <c r="T56" s="39">
        <f>E_g!T56/(rat_weight!T56/1000)*0.1578</f>
        <v>0.2044041450777202</v>
      </c>
    </row>
    <row r="57" spans="1:20" s="39" customFormat="1">
      <c r="A57" s="41">
        <v>56</v>
      </c>
      <c r="B57" s="39">
        <f>E_g!B57/(rat_weight!B57/1000)*0.1578</f>
        <v>0.66342342342341265</v>
      </c>
      <c r="C57" s="39">
        <f>E_g!C57/(rat_weight!C57/1000)*0.1578</f>
        <v>0.68711711711711165</v>
      </c>
      <c r="D57" s="39">
        <f>E_g!D57/(rat_weight!D57/1000)*0.1578</f>
        <v>0.6160360360360414</v>
      </c>
      <c r="E57" s="39">
        <f>E_g!E57/(rat_weight!E57/1000)*0.1578</f>
        <v>0.73450450450449634</v>
      </c>
      <c r="F57" s="39">
        <f>E_g!F57/(rat_weight!F57/1000)*0.1578</f>
        <v>0.99513513513515928</v>
      </c>
      <c r="G57" s="39">
        <f>E_g!G57/(rat_weight!G57/1000)*0.1578</f>
        <v>0.75819819819822243</v>
      </c>
      <c r="H57" s="39">
        <f>E_g!H57/(rat_weight!H57/1000)*0.1578</f>
        <v>0.97144144144143318</v>
      </c>
      <c r="I57" s="39">
        <f>E_g!I57/(rat_weight!I57/1000)*0.1578</f>
        <v>0.56864864864867015</v>
      </c>
      <c r="J57" s="39">
        <f>E_g!J57/(rat_weight!J57/1000)*0.1578</f>
        <v>0.85297297297296482</v>
      </c>
      <c r="K57" s="39">
        <f>E_g!K57/(rat_weight!K57/1000)*0.1578</f>
        <v>0.16585585585586662</v>
      </c>
      <c r="L57" s="39">
        <f>E_g!L57/(rat_weight!L57/1000)*0.1578</f>
        <v>0.2776539589442657</v>
      </c>
      <c r="M57" s="39">
        <f>E_g!M57/(rat_weight!M57/1000)*0.1578</f>
        <v>0.43961876832845359</v>
      </c>
      <c r="N57" s="39">
        <f>E_g!N57/(rat_weight!N57/1000)*0.1578</f>
        <v>0.16196480938414842</v>
      </c>
      <c r="O57" s="39">
        <f>E_g!O57/(rat_weight!O57/1000)*0.1578</f>
        <v>0.50903225806451347</v>
      </c>
      <c r="P57" s="39">
        <f>E_g!P57/(rat_weight!P57/1000)*0.1578</f>
        <v>0.41648093841639855</v>
      </c>
      <c r="Q57" s="39">
        <f>E_g!Q57/(rat_weight!Q57/1000)*0.1578</f>
        <v>0.29903790087462506</v>
      </c>
      <c r="R57" s="39">
        <f>E_g!R57/(rat_weight!R57/1000)*0.1578</f>
        <v>0.16102040816324961</v>
      </c>
      <c r="S57" s="39">
        <f>E_g!S57/(rat_weight!S57/1000)*0.1578</f>
        <v>-2.300291545187412E-2</v>
      </c>
      <c r="T57" s="39">
        <f>E_g!T57/(rat_weight!T57/1000)*0.1578</f>
        <v>0.2530320699708507</v>
      </c>
    </row>
    <row r="58" spans="1:20" s="39" customFormat="1">
      <c r="A58" s="41">
        <v>57</v>
      </c>
      <c r="B58" s="39">
        <f>E_g!B58/(rat_weight!B58/1000)*0.1578</f>
        <v>1.2239335180055451</v>
      </c>
      <c r="C58" s="39">
        <f>E_g!C58/(rat_weight!C58/1000)*0.1578</f>
        <v>1.2457894736842205</v>
      </c>
      <c r="D58" s="39">
        <f>E_g!D58/(rat_weight!D58/1000)*0.1578</f>
        <v>1.2239335180055699</v>
      </c>
      <c r="E58" s="39">
        <f>E_g!E58/(rat_weight!E58/1000)*0.1578</f>
        <v>0.63382271468144791</v>
      </c>
      <c r="F58" s="39">
        <f>E_g!F58/(rat_weight!F58/1000)*0.1578</f>
        <v>0.91795013850415264</v>
      </c>
      <c r="G58" s="39">
        <f>E_g!G58/(rat_weight!G58/1000)*0.1578</f>
        <v>1.4886792452830309</v>
      </c>
      <c r="H58" s="39">
        <f>E_g!H58/(rat_weight!H58/1000)*0.1578</f>
        <v>1.1696765498652411</v>
      </c>
      <c r="I58" s="39">
        <f>E_g!I58/(rat_weight!I58/1000)*0.1578</f>
        <v>1.2334770889488258</v>
      </c>
      <c r="J58" s="39">
        <f>E_g!J58/(rat_weight!J58/1000)*0.1578</f>
        <v>0.68053908355794901</v>
      </c>
      <c r="K58" s="39">
        <f>E_g!K58/(rat_weight!K58/1000)*0.1578</f>
        <v>0.44660377358491044</v>
      </c>
      <c r="L58" s="39">
        <f>E_g!L58/(rat_weight!L58/1000)*0.1578</f>
        <v>8.6229508196691909E-2</v>
      </c>
      <c r="M58" s="39">
        <f>E_g!M58/(rat_weight!M58/1000)*0.1578</f>
        <v>0.71139344262292881</v>
      </c>
      <c r="N58" s="39">
        <f>E_g!N58/(rat_weight!N58/1000)*0.1578</f>
        <v>-6.4672131147531176E-2</v>
      </c>
      <c r="O58" s="39">
        <f>E_g!O58/(rat_weight!O58/1000)*0.1578</f>
        <v>0.17245901639344507</v>
      </c>
      <c r="P58" s="39">
        <f>E_g!P58/(rat_weight!P58/1000)*0.1578</f>
        <v>0.17245901639342057</v>
      </c>
      <c r="Q58" s="39">
        <f>E_g!Q58/(rat_weight!Q58/1000)*0.1578</f>
        <v>2.1735537190087584E-2</v>
      </c>
      <c r="R58" s="39">
        <f>E_g!R58/(rat_weight!R58/1000)*0.1578</f>
        <v>-2.1735537190087584E-2</v>
      </c>
      <c r="S58" s="39">
        <f>E_g!S58/(rat_weight!S58/1000)*0.1578</f>
        <v>6.5206611570238049E-2</v>
      </c>
      <c r="T58" s="39">
        <f>E_g!T58/(rat_weight!T58/1000)*0.1578</f>
        <v>2.1735537190062878E-2</v>
      </c>
    </row>
    <row r="59" spans="1:20" s="39" customFormat="1">
      <c r="A59" s="41">
        <v>58</v>
      </c>
      <c r="B59" s="39">
        <f>E_g!B59/(rat_weight!B59/1000)*0.1578</f>
        <v>0.10246753246752664</v>
      </c>
      <c r="C59" s="39">
        <f>E_g!C59/(rat_weight!C59/1000)*0.1578</f>
        <v>-1.280844155844447E-2</v>
      </c>
      <c r="D59" s="39">
        <f>E_g!D59/(rat_weight!D59/1000)*0.1578</f>
        <v>0.12808441558441558</v>
      </c>
      <c r="E59" s="39">
        <f>E_g!E59/(rat_weight!E59/1000)*0.1578</f>
        <v>3.8425324675326132E-2</v>
      </c>
      <c r="F59" s="39">
        <f>E_g!F59/(rat_weight!F59/1000)*0.1578</f>
        <v>7.2807560846067405E-15</v>
      </c>
      <c r="G59" s="39">
        <f>E_g!G59/(rat_weight!G59/1000)*0.1578</f>
        <v>5.0821256038651674E-2</v>
      </c>
      <c r="H59" s="39">
        <f>E_g!H59/(rat_weight!H59/1000)*0.1578</f>
        <v>0.11434782608694641</v>
      </c>
      <c r="I59" s="39">
        <f>E_g!I59/(rat_weight!I59/1000)*0.1578</f>
        <v>2.5410628019329445E-2</v>
      </c>
      <c r="J59" s="39">
        <f>E_g!J59/(rat_weight!J59/1000)*0.1578</f>
        <v>5.0821256038651674E-2</v>
      </c>
      <c r="K59" s="39">
        <f>E_g!K59/(rat_weight!K59/1000)*0.1578</f>
        <v>-1.2705314009650281E-2</v>
      </c>
      <c r="L59" s="39">
        <f>E_g!L59/(rat_weight!L59/1000)*0.1578</f>
        <v>-1.432890015373084E-14</v>
      </c>
      <c r="M59" s="39">
        <f>E_g!M59/(rat_weight!M59/1000)*0.1578</f>
        <v>-8.8226837060715768E-2</v>
      </c>
      <c r="N59" s="39">
        <f>E_g!N59/(rat_weight!N59/1000)*0.1578</f>
        <v>-3.7811501597452689E-2</v>
      </c>
      <c r="O59" s="39">
        <f>E_g!O59/(rat_weight!O59/1000)*0.1578</f>
        <v>2.5207667731627959E-2</v>
      </c>
      <c r="P59" s="39">
        <f>E_g!P59/(rat_weight!P59/1000)*0.1578</f>
        <v>-7.1644500768654201E-15</v>
      </c>
      <c r="Q59" s="39">
        <f>E_g!Q59/(rat_weight!Q59/1000)*0.1578</f>
        <v>-1.2503961965123333E-2</v>
      </c>
      <c r="R59" s="39">
        <f>E_g!R59/(rat_weight!R59/1000)*0.1578</f>
        <v>1.2503961965137549E-2</v>
      </c>
      <c r="S59" s="39">
        <f>E_g!S59/(rat_weight!S59/1000)*0.1578</f>
        <v>-1.2503961965123333E-2</v>
      </c>
      <c r="T59" s="39">
        <f>E_g!T59/(rat_weight!T59/1000)*0.1578</f>
        <v>3.7511885895398431E-2</v>
      </c>
    </row>
    <row r="60" spans="1:20" s="39" customFormat="1">
      <c r="A60" s="41">
        <v>59</v>
      </c>
      <c r="B60" s="39">
        <f>E_g!B60/(rat_weight!B60/1000)*0.1578</f>
        <v>1.6701459854014138</v>
      </c>
      <c r="C60" s="39">
        <f>E_g!C60/(rat_weight!C60/1000)*0.1578</f>
        <v>1.1806204379562109</v>
      </c>
      <c r="D60" s="39">
        <f>E_g!D60/(rat_weight!D60/1000)*0.1578</f>
        <v>1.3245985401459919</v>
      </c>
      <c r="E60" s="39">
        <f>E_g!E60/(rat_weight!E60/1000)*0.1578</f>
        <v>1.7565328467153185</v>
      </c>
      <c r="F60" s="39">
        <f>E_g!F60/(rat_weight!F60/1000)*0.1578</f>
        <v>1.3245985401460083</v>
      </c>
      <c r="G60" s="39">
        <f>E_g!G60/(rat_weight!G60/1000)*0.1578</f>
        <v>1.1191489361702287</v>
      </c>
      <c r="H60" s="39">
        <f>E_g!H60/(rat_weight!H60/1000)*0.1578</f>
        <v>1.7067021276595651</v>
      </c>
      <c r="I60" s="39">
        <f>E_g!I60/(rat_weight!I60/1000)*0.1578</f>
        <v>1.902553191489381</v>
      </c>
      <c r="J60" s="39">
        <f>E_g!J60/(rat_weight!J60/1000)*0.1578</f>
        <v>1.9585106382978885</v>
      </c>
      <c r="K60" s="39">
        <f>E_g!K60/(rat_weight!K60/1000)*0.1578</f>
        <v>1.1471276595744744</v>
      </c>
      <c r="L60" s="39">
        <f>E_g!L60/(rat_weight!L60/1000)*0.1578</f>
        <v>0.97549090909090241</v>
      </c>
      <c r="M60" s="39">
        <f>E_g!M60/(rat_weight!M60/1000)*0.1578</f>
        <v>1.0041818181818343</v>
      </c>
      <c r="N60" s="39">
        <f>E_g!N60/(rat_weight!N60/1000)*0.1578</f>
        <v>0.88941818181815568</v>
      </c>
      <c r="O60" s="39">
        <f>E_g!O60/(rat_weight!O60/1000)*0.1578</f>
        <v>1.7788363636363929</v>
      </c>
      <c r="P60" s="39">
        <f>E_g!P60/(rat_weight!P60/1000)*0.1578</f>
        <v>1.3771636363636068</v>
      </c>
      <c r="Q60" s="39">
        <f>E_g!Q60/(rat_weight!Q60/1000)*0.1578</f>
        <v>0.77184782608693692</v>
      </c>
      <c r="R60" s="39">
        <f>E_g!R60/(rat_weight!R60/1000)*0.1578</f>
        <v>0.71467391304347816</v>
      </c>
      <c r="S60" s="39">
        <f>E_g!S60/(rat_weight!S60/1000)*0.1578</f>
        <v>0.71467391304347816</v>
      </c>
      <c r="T60" s="39">
        <f>E_g!T60/(rat_weight!T60/1000)*0.1578</f>
        <v>0.71467391304347816</v>
      </c>
    </row>
    <row r="61" spans="1:20" s="40" customFormat="1" ht="15" thickBot="1">
      <c r="A61" s="42">
        <v>60</v>
      </c>
      <c r="B61" s="39">
        <f>E_g!B61/(rat_weight!B61/1000)*0.1578</f>
        <v>1.5912605042016805</v>
      </c>
      <c r="C61" s="39">
        <f>E_g!C61/(rat_weight!C61/1000)*0.1578</f>
        <v>1.6045210084033494</v>
      </c>
      <c r="D61" s="39">
        <f>E_g!D61/(rat_weight!D61/1000)*0.1578</f>
        <v>1.5912605042016956</v>
      </c>
      <c r="E61" s="39">
        <f>E_g!E61/(rat_weight!E61/1000)*0.1578</f>
        <v>1.2332268907562891</v>
      </c>
      <c r="F61" s="39">
        <f>E_g!F61/(rat_weight!F61/1000)*0.1578</f>
        <v>1.3790924369747795</v>
      </c>
      <c r="G61" s="39">
        <f>E_g!G61/(rat_weight!G61/1000)*0.1578</f>
        <v>0.94208955223881929</v>
      </c>
      <c r="H61" s="39">
        <f>E_g!H61/(rat_weight!H61/1000)*0.1578</f>
        <v>1.0075124378109439</v>
      </c>
      <c r="I61" s="39">
        <f>E_g!I61/(rat_weight!I61/1000)*0.1578</f>
        <v>1.5701492537313433</v>
      </c>
      <c r="J61" s="39">
        <f>E_g!J61/(rat_weight!J61/1000)*0.1578</f>
        <v>1.3869651741293487</v>
      </c>
      <c r="K61" s="39">
        <f>E_g!K61/(rat_weight!K61/1000)*0.1578</f>
        <v>1.2168656716417852</v>
      </c>
      <c r="L61" s="39">
        <f>E_g!L61/(rat_weight!L61/1000)*0.1578</f>
        <v>1.5910413223140407</v>
      </c>
      <c r="M61" s="39">
        <f>E_g!M61/(rat_weight!M61/1000)*0.1578</f>
        <v>1.2650082644628085</v>
      </c>
      <c r="N61" s="39">
        <f>E_g!N61/(rat_weight!N61/1000)*0.1578</f>
        <v>1.7344958677685891</v>
      </c>
      <c r="O61" s="39">
        <f>E_g!O61/(rat_weight!O61/1000)*0.1578</f>
        <v>1.3041322314049661</v>
      </c>
      <c r="P61" s="39">
        <f>E_g!P61/(rat_weight!P61/1000)*0.1578</f>
        <v>1.5127933884297475</v>
      </c>
      <c r="Q61" s="39">
        <f>E_g!Q61/(rat_weight!Q61/1000)*0.1578</f>
        <v>0.60593137254902552</v>
      </c>
      <c r="R61" s="39">
        <f>E_g!R61/(rat_weight!R61/1000)*0.1578</f>
        <v>0.88955882352940885</v>
      </c>
      <c r="S61" s="39">
        <f>E_g!S61/(rat_weight!S61/1000)*0.1578</f>
        <v>1.044264705882356</v>
      </c>
      <c r="T61" s="39">
        <f>E_g!T61/(rat_weight!T61/1000)*0.1578</f>
        <v>1.2505392156862805</v>
      </c>
    </row>
    <row r="62" spans="1:20">
      <c r="L62" s="6"/>
      <c r="M62" s="6"/>
    </row>
    <row r="63" spans="1:20">
      <c r="B63" s="36"/>
      <c r="L63" s="6"/>
      <c r="M63" s="6"/>
    </row>
  </sheetData>
  <conditionalFormatting sqref="B2:Y61">
    <cfRule type="colorScale" priority="1">
      <colorScale>
        <cfvo type="num" val="-1"/>
        <cfvo type="num" val="0"/>
        <cfvo type="num" val="5"/>
        <color rgb="FFFF0000"/>
        <color rgb="FFFFEB84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9E58-2769-44FD-B39B-AB73F8702A11}">
  <dimension ref="A1:AK73"/>
  <sheetViews>
    <sheetView topLeftCell="A16" workbookViewId="0">
      <pane xSplit="1" topLeftCell="B1" activePane="topRight" state="frozen"/>
      <selection activeCell="A44" sqref="A44"/>
      <selection pane="topRight" activeCell="Q56" sqref="Q56"/>
    </sheetView>
  </sheetViews>
  <sheetFormatPr defaultColWidth="7.453125" defaultRowHeight="14.5"/>
  <cols>
    <col min="2" max="5" width="7.453125" customWidth="1"/>
    <col min="6" max="6" width="7.453125" style="16" customWidth="1"/>
    <col min="7" max="10" width="7.453125" customWidth="1"/>
    <col min="11" max="11" width="7.453125" style="16" customWidth="1"/>
    <col min="12" max="15" width="7.453125" customWidth="1"/>
    <col min="16" max="16" width="7.453125" style="16" customWidth="1"/>
    <col min="17" max="19" width="7.453125" customWidth="1"/>
  </cols>
  <sheetData>
    <row r="1" spans="1:37" s="3" customFormat="1">
      <c r="A1" s="3" t="s">
        <v>1</v>
      </c>
      <c r="B1" s="32">
        <v>45957</v>
      </c>
      <c r="C1" s="32">
        <v>45958</v>
      </c>
      <c r="D1" s="32">
        <v>45959</v>
      </c>
      <c r="E1" s="32">
        <v>45960</v>
      </c>
      <c r="F1" s="66">
        <v>45961</v>
      </c>
      <c r="G1" s="30">
        <v>45964</v>
      </c>
      <c r="H1" s="30">
        <v>45965</v>
      </c>
      <c r="I1" s="30">
        <v>45966</v>
      </c>
      <c r="J1" s="30">
        <v>45967</v>
      </c>
      <c r="K1" s="31">
        <v>45968</v>
      </c>
      <c r="L1" s="30">
        <v>45971</v>
      </c>
      <c r="M1" s="30">
        <v>45972</v>
      </c>
      <c r="N1" s="30">
        <v>45973</v>
      </c>
      <c r="O1" s="30">
        <v>45974</v>
      </c>
      <c r="P1" s="31">
        <v>45975</v>
      </c>
      <c r="Q1" s="30">
        <v>45978</v>
      </c>
      <c r="R1" s="30">
        <v>45979</v>
      </c>
      <c r="S1" s="30">
        <v>45980</v>
      </c>
      <c r="T1" s="30">
        <v>45981</v>
      </c>
      <c r="U1" s="31"/>
    </row>
    <row r="2" spans="1:37">
      <c r="A2" s="1">
        <v>1</v>
      </c>
      <c r="B2" s="37">
        <v>475.1</v>
      </c>
      <c r="C2" s="37">
        <v>473.3</v>
      </c>
      <c r="D2" s="37">
        <v>473.2</v>
      </c>
      <c r="E2" s="6">
        <v>471.9</v>
      </c>
      <c r="F2" s="27">
        <v>471.8</v>
      </c>
      <c r="G2" s="6">
        <v>471.6</v>
      </c>
      <c r="H2" s="6">
        <v>471.4</v>
      </c>
      <c r="I2" s="6">
        <v>481.1</v>
      </c>
      <c r="J2" s="6">
        <v>476.7</v>
      </c>
      <c r="K2" s="75">
        <v>472.6</v>
      </c>
      <c r="L2" s="6">
        <v>472.2</v>
      </c>
      <c r="M2" s="6">
        <v>470.5</v>
      </c>
      <c r="N2" s="6">
        <v>469.5</v>
      </c>
      <c r="O2" s="6">
        <v>468.5</v>
      </c>
      <c r="P2" s="27">
        <v>468.2</v>
      </c>
      <c r="Q2" s="6">
        <v>468</v>
      </c>
      <c r="R2" s="6">
        <v>464.4</v>
      </c>
      <c r="S2" s="6">
        <v>464.3</v>
      </c>
      <c r="T2" s="6">
        <v>463.6</v>
      </c>
      <c r="U2" s="6"/>
      <c r="AA2" s="6"/>
      <c r="AC2" s="6"/>
      <c r="AD2" s="6"/>
      <c r="AF2" s="6"/>
      <c r="AG2" s="6"/>
      <c r="AI2" s="6"/>
      <c r="AJ2" s="6"/>
    </row>
    <row r="3" spans="1:37">
      <c r="A3" s="1">
        <v>2</v>
      </c>
      <c r="B3" s="37">
        <v>468.3</v>
      </c>
      <c r="C3" s="37">
        <v>468.1</v>
      </c>
      <c r="D3" s="37">
        <v>467.9</v>
      </c>
      <c r="E3" s="6">
        <v>467.8</v>
      </c>
      <c r="F3" s="27">
        <v>467.6</v>
      </c>
      <c r="G3" s="6">
        <v>467.4</v>
      </c>
      <c r="H3" s="6">
        <v>467.1</v>
      </c>
      <c r="I3" s="6">
        <v>482.5</v>
      </c>
      <c r="J3" s="6">
        <v>482.3</v>
      </c>
      <c r="K3" s="75">
        <v>482.2</v>
      </c>
      <c r="L3" s="6">
        <v>481.9</v>
      </c>
      <c r="M3" s="6">
        <v>481.7</v>
      </c>
      <c r="N3" s="6">
        <v>481.6</v>
      </c>
      <c r="O3" s="6">
        <v>481.3</v>
      </c>
      <c r="P3" s="27">
        <v>481.2</v>
      </c>
      <c r="Q3" s="6">
        <v>480.9</v>
      </c>
      <c r="R3" s="6">
        <v>480.8</v>
      </c>
      <c r="S3" s="6">
        <v>480.6</v>
      </c>
      <c r="T3" s="6">
        <v>480.4</v>
      </c>
      <c r="U3" s="6"/>
      <c r="AA3" s="6"/>
      <c r="AC3" s="6"/>
      <c r="AD3" s="6"/>
      <c r="AF3" s="6"/>
      <c r="AG3" s="6"/>
      <c r="AI3" s="6"/>
    </row>
    <row r="4" spans="1:37">
      <c r="A4" s="1">
        <v>3</v>
      </c>
      <c r="B4" s="37">
        <v>468.5</v>
      </c>
      <c r="C4" s="37">
        <v>468.2</v>
      </c>
      <c r="D4" s="37">
        <v>468.1</v>
      </c>
      <c r="E4" s="6">
        <v>467.9</v>
      </c>
      <c r="F4" s="27">
        <v>467.8</v>
      </c>
      <c r="G4" s="6">
        <v>467.6</v>
      </c>
      <c r="H4" s="6">
        <v>467.3</v>
      </c>
      <c r="I4" s="6">
        <v>467.1</v>
      </c>
      <c r="J4" s="6">
        <v>466.9</v>
      </c>
      <c r="K4" s="75">
        <v>466.4</v>
      </c>
      <c r="L4" s="6">
        <v>466.3</v>
      </c>
      <c r="M4" s="6">
        <v>466</v>
      </c>
      <c r="N4" s="6">
        <v>465.8</v>
      </c>
      <c r="O4" s="6">
        <v>465.4</v>
      </c>
      <c r="P4" s="27">
        <v>477.2</v>
      </c>
      <c r="Q4" s="6">
        <v>476.9</v>
      </c>
      <c r="R4" s="6">
        <v>476.7</v>
      </c>
      <c r="S4" s="6">
        <v>476.5</v>
      </c>
      <c r="T4" s="6">
        <v>476.4</v>
      </c>
      <c r="U4" s="6"/>
      <c r="AA4" s="6"/>
      <c r="AC4" s="6"/>
      <c r="AD4" s="6"/>
      <c r="AF4" s="6"/>
      <c r="AG4" s="6"/>
      <c r="AI4" s="6"/>
      <c r="AK4" s="6"/>
    </row>
    <row r="5" spans="1:37">
      <c r="A5" s="1">
        <v>4</v>
      </c>
      <c r="B5" s="37">
        <v>478</v>
      </c>
      <c r="C5" s="37">
        <v>477.8</v>
      </c>
      <c r="D5" s="37">
        <v>477.6</v>
      </c>
      <c r="E5" s="6">
        <v>477.4</v>
      </c>
      <c r="F5" s="27">
        <v>477.3</v>
      </c>
      <c r="G5" s="6">
        <v>477</v>
      </c>
      <c r="H5" s="6">
        <v>476.7</v>
      </c>
      <c r="I5" s="6">
        <v>476.6</v>
      </c>
      <c r="J5" s="6">
        <v>476.4</v>
      </c>
      <c r="K5" s="75">
        <v>475.8</v>
      </c>
      <c r="L5" s="6">
        <v>475.6</v>
      </c>
      <c r="M5" s="6">
        <v>475.4</v>
      </c>
      <c r="N5" s="6">
        <v>475.2</v>
      </c>
      <c r="O5" s="6">
        <v>475</v>
      </c>
      <c r="P5" s="27">
        <v>474.7</v>
      </c>
      <c r="Q5" s="6">
        <v>474.4</v>
      </c>
      <c r="R5" s="6">
        <v>474.2</v>
      </c>
      <c r="S5" s="6">
        <v>474.1</v>
      </c>
      <c r="T5" s="6">
        <v>473.9</v>
      </c>
      <c r="U5" s="6"/>
      <c r="AA5" s="6"/>
      <c r="AC5" s="6"/>
      <c r="AD5" s="6"/>
      <c r="AF5" s="6"/>
      <c r="AG5" s="6"/>
      <c r="AI5" s="6"/>
    </row>
    <row r="6" spans="1:37">
      <c r="A6" s="1">
        <v>5</v>
      </c>
      <c r="B6" s="37">
        <v>485.6</v>
      </c>
      <c r="C6" s="37">
        <v>479.6</v>
      </c>
      <c r="D6" s="37">
        <v>479.3</v>
      </c>
      <c r="E6" s="6">
        <v>478.6</v>
      </c>
      <c r="F6" s="27">
        <v>478.5</v>
      </c>
      <c r="G6" s="6">
        <v>478.3</v>
      </c>
      <c r="H6" s="6">
        <v>475.8</v>
      </c>
      <c r="I6" s="6">
        <v>470.9</v>
      </c>
      <c r="J6" s="6">
        <v>467</v>
      </c>
      <c r="K6" s="75">
        <v>466.9</v>
      </c>
      <c r="L6" s="6">
        <v>465.6</v>
      </c>
      <c r="M6" s="6">
        <v>464.1</v>
      </c>
      <c r="N6" s="6">
        <v>463.9</v>
      </c>
      <c r="O6" s="6">
        <v>463.3</v>
      </c>
      <c r="P6" s="27">
        <v>476.4</v>
      </c>
      <c r="Q6" s="6">
        <v>475</v>
      </c>
      <c r="R6" s="6">
        <v>474.6</v>
      </c>
      <c r="S6" s="6">
        <v>474.4</v>
      </c>
      <c r="T6" s="6">
        <v>474.2</v>
      </c>
      <c r="U6" s="6"/>
      <c r="AA6" s="6"/>
      <c r="AC6" s="6"/>
      <c r="AD6" s="6"/>
      <c r="AF6" s="6"/>
      <c r="AG6" s="6"/>
      <c r="AI6" s="6"/>
    </row>
    <row r="7" spans="1:37">
      <c r="A7" s="1">
        <v>6</v>
      </c>
      <c r="B7" s="37">
        <v>457.3</v>
      </c>
      <c r="C7" s="37">
        <v>457.1</v>
      </c>
      <c r="D7" s="37">
        <v>456.9</v>
      </c>
      <c r="E7" s="6">
        <v>456.6</v>
      </c>
      <c r="F7" s="27">
        <v>456.5</v>
      </c>
      <c r="G7" s="6">
        <v>473.5</v>
      </c>
      <c r="H7" s="6">
        <v>473.3</v>
      </c>
      <c r="I7" s="6">
        <v>473.2</v>
      </c>
      <c r="J7" s="6">
        <v>473</v>
      </c>
      <c r="K7" s="75">
        <v>472.8</v>
      </c>
      <c r="L7" s="6">
        <v>470.7</v>
      </c>
      <c r="M7" s="6">
        <v>470.5</v>
      </c>
      <c r="N7" s="6">
        <v>470.1</v>
      </c>
      <c r="O7" s="6">
        <v>469.9</v>
      </c>
      <c r="P7" s="27">
        <v>469.2</v>
      </c>
      <c r="Q7" s="6">
        <v>468.9</v>
      </c>
      <c r="R7" s="6">
        <v>468.4</v>
      </c>
      <c r="S7" s="6">
        <v>466.2</v>
      </c>
      <c r="T7" s="6">
        <v>466</v>
      </c>
      <c r="U7" s="6"/>
      <c r="AA7" s="6"/>
      <c r="AC7" s="6"/>
      <c r="AD7" s="6"/>
      <c r="AF7" s="6"/>
      <c r="AG7" s="6"/>
      <c r="AI7" s="6"/>
    </row>
    <row r="8" spans="1:37">
      <c r="A8" s="1">
        <v>7</v>
      </c>
      <c r="B8" s="37">
        <v>464.8</v>
      </c>
      <c r="C8" s="37">
        <v>464.5</v>
      </c>
      <c r="D8" s="37">
        <v>464.4</v>
      </c>
      <c r="E8" s="6">
        <v>464.2</v>
      </c>
      <c r="F8" s="27">
        <v>464</v>
      </c>
      <c r="G8" s="6">
        <v>463.7</v>
      </c>
      <c r="H8" s="6">
        <v>463.5</v>
      </c>
      <c r="I8" s="6">
        <v>472.3</v>
      </c>
      <c r="J8" s="6">
        <v>472</v>
      </c>
      <c r="K8" s="75">
        <v>471.8</v>
      </c>
      <c r="L8" s="6">
        <v>471.5</v>
      </c>
      <c r="M8" s="6">
        <v>471.3</v>
      </c>
      <c r="N8" s="6">
        <v>471.1</v>
      </c>
      <c r="O8" s="6">
        <v>470.9</v>
      </c>
      <c r="P8" s="27">
        <v>470.8</v>
      </c>
      <c r="Q8" s="6">
        <v>470.5</v>
      </c>
      <c r="R8" s="6">
        <v>470.2</v>
      </c>
      <c r="S8" s="6">
        <v>470.1</v>
      </c>
      <c r="T8" s="6">
        <v>469.8</v>
      </c>
      <c r="U8" s="6"/>
      <c r="AA8" s="6"/>
      <c r="AC8" s="6"/>
      <c r="AD8" s="6"/>
      <c r="AF8" s="6"/>
      <c r="AG8" s="6"/>
      <c r="AI8" s="6"/>
    </row>
    <row r="9" spans="1:37">
      <c r="A9" s="1">
        <v>8</v>
      </c>
      <c r="B9" s="37">
        <v>479.5</v>
      </c>
      <c r="C9" s="37">
        <v>479.2</v>
      </c>
      <c r="D9" s="37">
        <v>479</v>
      </c>
      <c r="E9" s="6">
        <v>478.8</v>
      </c>
      <c r="F9" s="27">
        <v>478.5</v>
      </c>
      <c r="G9" s="6">
        <v>478.2</v>
      </c>
      <c r="H9" s="6">
        <v>478.1</v>
      </c>
      <c r="I9" s="6">
        <v>477.9</v>
      </c>
      <c r="J9" s="6">
        <v>477.5</v>
      </c>
      <c r="K9" s="75">
        <v>477.4</v>
      </c>
      <c r="L9" s="6">
        <v>477.1</v>
      </c>
      <c r="M9" s="6">
        <v>476.8</v>
      </c>
      <c r="N9" s="6">
        <v>476.8</v>
      </c>
      <c r="O9" s="6">
        <v>476.5</v>
      </c>
      <c r="P9" s="27">
        <v>476.2</v>
      </c>
      <c r="Q9" s="6">
        <v>475.9</v>
      </c>
      <c r="R9" s="6">
        <v>475.7</v>
      </c>
      <c r="S9" s="6">
        <v>475.5</v>
      </c>
      <c r="T9" s="6">
        <v>475.3</v>
      </c>
      <c r="U9" s="6"/>
      <c r="AA9" s="6"/>
      <c r="AC9" s="6"/>
      <c r="AD9" s="6"/>
      <c r="AF9" s="6"/>
      <c r="AG9" s="6"/>
      <c r="AI9" s="6"/>
    </row>
    <row r="10" spans="1:37">
      <c r="A10" s="1">
        <v>9</v>
      </c>
      <c r="B10" s="37">
        <v>481.7</v>
      </c>
      <c r="C10" s="37">
        <v>478.8</v>
      </c>
      <c r="D10" s="37">
        <v>477.4</v>
      </c>
      <c r="E10" s="6">
        <v>472.2</v>
      </c>
      <c r="F10" s="27">
        <v>472</v>
      </c>
      <c r="G10" s="6">
        <v>470.8</v>
      </c>
      <c r="H10" s="6">
        <v>469.5</v>
      </c>
      <c r="I10" s="6">
        <v>464.3</v>
      </c>
      <c r="J10" s="6">
        <v>460.5</v>
      </c>
      <c r="K10" s="75">
        <v>459.1</v>
      </c>
      <c r="L10" s="6">
        <v>482</v>
      </c>
      <c r="M10" s="6">
        <v>474.7</v>
      </c>
      <c r="N10" s="6">
        <v>470.4</v>
      </c>
      <c r="O10" s="6">
        <v>465.1</v>
      </c>
      <c r="P10" s="27">
        <v>464.4</v>
      </c>
      <c r="Q10" s="6">
        <v>460.7</v>
      </c>
      <c r="R10" s="6">
        <v>454.5</v>
      </c>
      <c r="S10" s="6">
        <v>454.2</v>
      </c>
      <c r="T10" s="6">
        <v>449.4</v>
      </c>
      <c r="U10" s="6"/>
      <c r="AA10" s="6"/>
      <c r="AC10" s="6"/>
      <c r="AD10" s="6"/>
      <c r="AF10" s="6"/>
      <c r="AG10" s="6"/>
      <c r="AI10" s="6"/>
    </row>
    <row r="11" spans="1:37">
      <c r="A11" s="1">
        <v>10</v>
      </c>
      <c r="B11" s="37">
        <v>472.3</v>
      </c>
      <c r="C11" s="37">
        <v>471.8</v>
      </c>
      <c r="D11" s="37">
        <v>470.7</v>
      </c>
      <c r="E11" s="6">
        <v>468.2</v>
      </c>
      <c r="F11" s="27">
        <v>466.8</v>
      </c>
      <c r="G11" s="6">
        <v>466.5</v>
      </c>
      <c r="H11" s="6">
        <v>463.8</v>
      </c>
      <c r="I11" s="6">
        <v>478.9</v>
      </c>
      <c r="J11" s="6">
        <v>476.9</v>
      </c>
      <c r="K11" s="75">
        <v>476.2</v>
      </c>
      <c r="L11" s="6">
        <v>467.4</v>
      </c>
      <c r="M11" s="6">
        <v>466.6</v>
      </c>
      <c r="N11" s="6">
        <v>464.8</v>
      </c>
      <c r="O11" s="6">
        <v>460.8</v>
      </c>
      <c r="P11" s="27">
        <v>475.2</v>
      </c>
      <c r="Q11" s="6">
        <v>474.1</v>
      </c>
      <c r="R11" s="6">
        <v>470.4</v>
      </c>
      <c r="S11" s="6">
        <v>468.3</v>
      </c>
      <c r="T11" s="6">
        <v>465.8</v>
      </c>
      <c r="U11" s="6"/>
      <c r="AA11" s="6"/>
      <c r="AC11" s="6"/>
      <c r="AD11" s="6"/>
      <c r="AF11" s="6"/>
      <c r="AG11" s="6"/>
      <c r="AI11" s="6"/>
      <c r="AK11" s="6"/>
    </row>
    <row r="12" spans="1:37">
      <c r="A12" s="1">
        <v>11</v>
      </c>
      <c r="B12" s="37">
        <v>473</v>
      </c>
      <c r="C12" s="37">
        <v>472.7</v>
      </c>
      <c r="D12" s="37">
        <v>472.5</v>
      </c>
      <c r="E12" s="6">
        <v>471.4</v>
      </c>
      <c r="F12" s="27">
        <v>471.1</v>
      </c>
      <c r="G12" s="6">
        <v>470.7</v>
      </c>
      <c r="H12" s="6">
        <v>470.3</v>
      </c>
      <c r="I12" s="6">
        <v>483</v>
      </c>
      <c r="J12" s="6">
        <v>482.5</v>
      </c>
      <c r="K12" s="75">
        <v>482.4</v>
      </c>
      <c r="L12" s="6">
        <v>482.1</v>
      </c>
      <c r="M12" s="6">
        <v>481.3</v>
      </c>
      <c r="N12" s="6">
        <v>481.1</v>
      </c>
      <c r="O12" s="6">
        <v>480.8</v>
      </c>
      <c r="P12" s="27">
        <v>480.7</v>
      </c>
      <c r="Q12" s="6">
        <v>480.3</v>
      </c>
      <c r="R12" s="6">
        <v>479.2</v>
      </c>
      <c r="S12" s="6">
        <v>479.1</v>
      </c>
      <c r="T12" s="6">
        <v>478.4</v>
      </c>
      <c r="U12" s="6"/>
      <c r="AA12" s="6"/>
      <c r="AC12" s="6"/>
      <c r="AD12" s="6"/>
      <c r="AF12" s="6"/>
      <c r="AG12" s="6"/>
      <c r="AI12" s="6"/>
    </row>
    <row r="13" spans="1:37">
      <c r="A13" s="1">
        <v>12</v>
      </c>
      <c r="B13" s="37">
        <v>469.5</v>
      </c>
      <c r="C13" s="37">
        <v>469.3</v>
      </c>
      <c r="D13" s="37">
        <v>468.7</v>
      </c>
      <c r="E13" s="6">
        <v>468.5</v>
      </c>
      <c r="F13" s="27">
        <v>461.9</v>
      </c>
      <c r="G13" s="6">
        <v>461.5</v>
      </c>
      <c r="H13" s="6">
        <v>460.9</v>
      </c>
      <c r="I13" s="6">
        <v>471.1</v>
      </c>
      <c r="J13" s="6">
        <v>466.8</v>
      </c>
      <c r="K13" s="75">
        <v>466.7</v>
      </c>
      <c r="L13" s="6">
        <v>465.4</v>
      </c>
      <c r="M13" s="6">
        <v>464.9</v>
      </c>
      <c r="N13" s="6">
        <v>462.8</v>
      </c>
      <c r="O13" s="6">
        <v>459</v>
      </c>
      <c r="P13" s="27">
        <v>476.7</v>
      </c>
      <c r="Q13" s="6">
        <v>476.3</v>
      </c>
      <c r="R13" s="6">
        <v>471.7</v>
      </c>
      <c r="S13" s="6">
        <v>469.6</v>
      </c>
      <c r="T13" s="6">
        <v>467.6</v>
      </c>
      <c r="U13" s="6"/>
      <c r="AA13" s="6"/>
      <c r="AC13" s="6"/>
      <c r="AD13" s="6"/>
      <c r="AF13" s="6"/>
      <c r="AG13" s="6"/>
      <c r="AI13" s="6"/>
    </row>
    <row r="14" spans="1:37">
      <c r="A14" s="1">
        <v>13</v>
      </c>
      <c r="B14" s="37">
        <v>485.2</v>
      </c>
      <c r="C14" s="37">
        <v>484.9</v>
      </c>
      <c r="D14" s="37">
        <v>484.1</v>
      </c>
      <c r="E14" s="6">
        <v>483.9</v>
      </c>
      <c r="F14" s="27">
        <v>483.8</v>
      </c>
      <c r="G14" s="6">
        <v>483.4</v>
      </c>
      <c r="H14" s="6">
        <v>482.4</v>
      </c>
      <c r="I14" s="6">
        <v>480.5</v>
      </c>
      <c r="J14" s="6">
        <v>480.3</v>
      </c>
      <c r="K14" s="75">
        <v>480</v>
      </c>
      <c r="L14" s="6">
        <v>479.7</v>
      </c>
      <c r="M14" s="6">
        <v>478.5</v>
      </c>
      <c r="N14" s="6">
        <v>477.7</v>
      </c>
      <c r="O14" s="6">
        <v>477.2</v>
      </c>
      <c r="P14" s="27">
        <v>477.1</v>
      </c>
      <c r="Q14" s="6">
        <v>476.3</v>
      </c>
      <c r="R14" s="6">
        <v>471.3</v>
      </c>
      <c r="S14" s="6">
        <v>469</v>
      </c>
      <c r="T14" s="6">
        <v>463.7</v>
      </c>
      <c r="U14" s="6"/>
      <c r="AA14" s="6"/>
      <c r="AC14" s="6"/>
      <c r="AD14" s="6"/>
      <c r="AF14" s="6"/>
      <c r="AG14" s="6"/>
      <c r="AI14" s="6"/>
    </row>
    <row r="15" spans="1:37">
      <c r="A15" s="1">
        <v>14</v>
      </c>
      <c r="B15" s="37">
        <v>463.4</v>
      </c>
      <c r="C15" s="37">
        <v>463.1</v>
      </c>
      <c r="D15" s="37">
        <v>462.9</v>
      </c>
      <c r="E15" s="6">
        <v>461.9</v>
      </c>
      <c r="F15" s="27">
        <v>461.3</v>
      </c>
      <c r="G15" s="6">
        <v>460.9</v>
      </c>
      <c r="H15" s="6">
        <v>460.1</v>
      </c>
      <c r="I15" s="6">
        <v>459.2</v>
      </c>
      <c r="J15" s="6">
        <v>458.6</v>
      </c>
      <c r="K15" s="75">
        <v>458.4</v>
      </c>
      <c r="L15" s="6">
        <v>458.2</v>
      </c>
      <c r="M15" s="6">
        <v>457.9</v>
      </c>
      <c r="N15" s="6">
        <v>457.5</v>
      </c>
      <c r="O15" s="6">
        <v>456.3</v>
      </c>
      <c r="P15" s="27">
        <v>466.9</v>
      </c>
      <c r="Q15" s="6">
        <v>466.4</v>
      </c>
      <c r="R15" s="6">
        <v>466.1</v>
      </c>
      <c r="S15" s="6">
        <v>466</v>
      </c>
      <c r="T15" s="6">
        <v>465.1</v>
      </c>
      <c r="U15" s="6"/>
      <c r="AA15" s="6"/>
      <c r="AC15" s="6"/>
      <c r="AD15" s="6"/>
      <c r="AF15" s="6"/>
      <c r="AG15" s="6"/>
      <c r="AI15" s="6"/>
      <c r="AK15" s="6"/>
    </row>
    <row r="16" spans="1:37">
      <c r="A16" s="1">
        <v>15</v>
      </c>
      <c r="B16" s="37">
        <v>460.4</v>
      </c>
      <c r="C16" s="37">
        <v>460.2</v>
      </c>
      <c r="D16" s="37">
        <v>459.7</v>
      </c>
      <c r="E16" s="6">
        <v>458.4</v>
      </c>
      <c r="F16" s="27">
        <v>455.3</v>
      </c>
      <c r="G16" s="6">
        <v>453.1</v>
      </c>
      <c r="H16" s="6">
        <v>452.1</v>
      </c>
      <c r="I16" s="6">
        <v>466.9</v>
      </c>
      <c r="J16" s="6">
        <v>465</v>
      </c>
      <c r="K16" s="75">
        <v>463.9</v>
      </c>
      <c r="L16" s="6">
        <v>463.7</v>
      </c>
      <c r="M16" s="6">
        <v>463.5</v>
      </c>
      <c r="N16" s="6">
        <v>461.6</v>
      </c>
      <c r="O16" s="6">
        <v>461.3</v>
      </c>
      <c r="P16" s="27">
        <v>461</v>
      </c>
      <c r="Q16" s="6">
        <v>460.7</v>
      </c>
      <c r="R16" s="6">
        <v>458.1</v>
      </c>
      <c r="S16" s="6">
        <v>457.8</v>
      </c>
      <c r="T16" s="6">
        <v>454.6</v>
      </c>
      <c r="U16" s="6"/>
      <c r="AA16" s="6"/>
      <c r="AC16" s="6"/>
      <c r="AD16" s="6"/>
      <c r="AF16" s="6"/>
      <c r="AG16" s="6"/>
      <c r="AI16" s="6"/>
    </row>
    <row r="17" spans="1:37">
      <c r="A17" s="1">
        <v>16</v>
      </c>
      <c r="B17" s="37">
        <v>471.6</v>
      </c>
      <c r="C17" s="37">
        <v>471.4</v>
      </c>
      <c r="D17" s="37">
        <v>470</v>
      </c>
      <c r="E17" s="6">
        <v>463.2</v>
      </c>
      <c r="F17" s="27">
        <v>461.1</v>
      </c>
      <c r="G17" s="6">
        <v>458.6</v>
      </c>
      <c r="H17" s="6">
        <v>457.7</v>
      </c>
      <c r="I17" s="6">
        <v>473.8</v>
      </c>
      <c r="J17" s="6">
        <v>473.1</v>
      </c>
      <c r="K17" s="75">
        <v>472.4</v>
      </c>
      <c r="L17" s="6">
        <v>471.9</v>
      </c>
      <c r="M17" s="6">
        <v>471.6</v>
      </c>
      <c r="N17" s="6">
        <v>468.1</v>
      </c>
      <c r="O17" s="6">
        <v>465.5</v>
      </c>
      <c r="P17" s="27">
        <v>472.5</v>
      </c>
      <c r="Q17" s="6">
        <v>472.2</v>
      </c>
      <c r="R17" s="6">
        <v>469.6</v>
      </c>
      <c r="S17" s="6">
        <v>469.3</v>
      </c>
      <c r="T17" s="6">
        <v>468.2</v>
      </c>
      <c r="U17" s="6"/>
      <c r="AA17" s="6"/>
      <c r="AC17" s="6"/>
      <c r="AD17" s="6"/>
      <c r="AF17" s="6"/>
      <c r="AG17" s="6"/>
      <c r="AI17" s="6"/>
    </row>
    <row r="18" spans="1:37">
      <c r="A18" s="1">
        <v>17</v>
      </c>
      <c r="B18" s="37">
        <v>460.4</v>
      </c>
      <c r="C18" s="37">
        <v>460.1</v>
      </c>
      <c r="D18" s="37">
        <v>459.8</v>
      </c>
      <c r="E18" s="6">
        <v>459.7</v>
      </c>
      <c r="F18" s="27">
        <v>459.4</v>
      </c>
      <c r="G18" s="6">
        <v>459.1</v>
      </c>
      <c r="H18" s="6">
        <v>458.9</v>
      </c>
      <c r="I18" s="6">
        <v>475.9</v>
      </c>
      <c r="J18" s="6">
        <v>475.6</v>
      </c>
      <c r="K18" s="75">
        <v>475.4</v>
      </c>
      <c r="L18" s="6">
        <v>475.2</v>
      </c>
      <c r="M18" s="6">
        <v>474.9</v>
      </c>
      <c r="N18" s="6">
        <v>474.7</v>
      </c>
      <c r="O18" s="6">
        <v>474.4</v>
      </c>
      <c r="P18" s="27">
        <v>474.3</v>
      </c>
      <c r="Q18" s="6">
        <v>474.1</v>
      </c>
      <c r="R18" s="6">
        <v>473.9</v>
      </c>
      <c r="S18" s="6">
        <v>473.9</v>
      </c>
      <c r="T18" s="6">
        <v>473.5</v>
      </c>
      <c r="U18" s="6"/>
      <c r="AA18" s="6"/>
      <c r="AC18" s="6"/>
      <c r="AD18" s="6"/>
      <c r="AF18" s="6"/>
      <c r="AG18" s="6"/>
      <c r="AI18" s="6"/>
    </row>
    <row r="19" spans="1:37">
      <c r="A19" s="1">
        <v>18</v>
      </c>
      <c r="B19" s="37">
        <v>453.2</v>
      </c>
      <c r="C19" s="37">
        <v>453</v>
      </c>
      <c r="D19" s="37">
        <v>452.8</v>
      </c>
      <c r="E19" s="6">
        <v>452.5</v>
      </c>
      <c r="F19" s="27">
        <v>452.4</v>
      </c>
      <c r="G19" s="6">
        <v>452</v>
      </c>
      <c r="H19" s="6">
        <v>451.7</v>
      </c>
      <c r="I19" s="6">
        <v>451.3</v>
      </c>
      <c r="J19" s="6">
        <v>451</v>
      </c>
      <c r="K19" s="75">
        <v>450.6</v>
      </c>
      <c r="L19" s="6">
        <v>450.3</v>
      </c>
      <c r="M19" s="6">
        <v>449.9</v>
      </c>
      <c r="N19" s="6">
        <v>449.7</v>
      </c>
      <c r="O19" s="6">
        <v>449.5</v>
      </c>
      <c r="P19" s="27">
        <v>466</v>
      </c>
      <c r="Q19" s="6">
        <v>465.6</v>
      </c>
      <c r="R19" s="6">
        <v>465.4</v>
      </c>
      <c r="S19" s="6">
        <v>465.2</v>
      </c>
      <c r="T19" s="6">
        <v>464.9</v>
      </c>
      <c r="U19" s="6"/>
      <c r="AA19" s="6"/>
      <c r="AC19" s="6"/>
      <c r="AD19" s="6"/>
      <c r="AF19" s="6"/>
      <c r="AG19" s="6"/>
      <c r="AI19" s="6"/>
      <c r="AJ19" s="6"/>
    </row>
    <row r="20" spans="1:37">
      <c r="A20" s="1">
        <v>19</v>
      </c>
      <c r="B20" s="37">
        <v>463.6</v>
      </c>
      <c r="C20" s="37">
        <v>462.2</v>
      </c>
      <c r="D20" s="37">
        <v>462.1</v>
      </c>
      <c r="E20" s="6">
        <v>459.5</v>
      </c>
      <c r="F20" s="27">
        <v>459.4</v>
      </c>
      <c r="G20" s="6">
        <v>459.1</v>
      </c>
      <c r="H20" s="6">
        <v>458.8</v>
      </c>
      <c r="I20" s="6">
        <v>457.2</v>
      </c>
      <c r="J20" s="6">
        <v>456.3</v>
      </c>
      <c r="K20" s="75">
        <v>455.9</v>
      </c>
      <c r="L20" s="6">
        <v>469.6</v>
      </c>
      <c r="M20" s="6">
        <v>469</v>
      </c>
      <c r="N20" s="6">
        <v>464.7</v>
      </c>
      <c r="O20" s="6">
        <v>464.4</v>
      </c>
      <c r="P20" s="27">
        <v>463.3</v>
      </c>
      <c r="Q20" s="6">
        <v>459.9</v>
      </c>
      <c r="R20" s="6">
        <v>457</v>
      </c>
      <c r="S20" s="6">
        <v>456.9</v>
      </c>
      <c r="T20" s="6">
        <v>455.6</v>
      </c>
      <c r="U20" s="6"/>
      <c r="AA20" s="6"/>
      <c r="AC20" s="6"/>
      <c r="AD20" s="6"/>
      <c r="AF20" s="6"/>
      <c r="AG20" s="6"/>
      <c r="AI20" s="6"/>
    </row>
    <row r="21" spans="1:37">
      <c r="A21" s="1">
        <v>20</v>
      </c>
      <c r="B21" s="37">
        <v>470.2</v>
      </c>
      <c r="C21" s="37">
        <v>468.6</v>
      </c>
      <c r="D21" s="37">
        <v>468</v>
      </c>
      <c r="E21" s="6">
        <v>467.5</v>
      </c>
      <c r="F21" s="27">
        <v>467.2</v>
      </c>
      <c r="G21" s="6">
        <v>466.6</v>
      </c>
      <c r="H21" s="6">
        <v>466</v>
      </c>
      <c r="I21" s="6">
        <v>464.4</v>
      </c>
      <c r="J21" s="6">
        <v>463.7</v>
      </c>
      <c r="K21" s="75">
        <v>463.5</v>
      </c>
      <c r="L21" s="6">
        <v>463.3</v>
      </c>
      <c r="M21" s="6">
        <v>462.4</v>
      </c>
      <c r="N21" s="6">
        <v>462.2</v>
      </c>
      <c r="O21" s="6">
        <v>461.5</v>
      </c>
      <c r="P21" s="27">
        <v>459.2</v>
      </c>
      <c r="Q21" s="6">
        <v>458.9</v>
      </c>
      <c r="R21" s="6">
        <v>458.7</v>
      </c>
      <c r="S21" s="6">
        <v>458.4</v>
      </c>
      <c r="T21" s="6">
        <v>457.9</v>
      </c>
      <c r="U21" s="6"/>
      <c r="AA21" s="6"/>
      <c r="AC21" s="6"/>
      <c r="AD21" s="6"/>
      <c r="AF21" s="6"/>
      <c r="AG21" s="6"/>
      <c r="AI21" s="6"/>
      <c r="AK21" s="6"/>
    </row>
    <row r="22" spans="1:37">
      <c r="A22" s="1">
        <v>21</v>
      </c>
      <c r="B22" s="37">
        <v>472.3</v>
      </c>
      <c r="C22" s="37">
        <v>472</v>
      </c>
      <c r="D22" s="37">
        <v>471.8</v>
      </c>
      <c r="E22" s="6">
        <v>471.6</v>
      </c>
      <c r="F22" s="27">
        <v>471.5</v>
      </c>
      <c r="G22" s="6">
        <v>471.3</v>
      </c>
      <c r="H22" s="6">
        <v>471.1</v>
      </c>
      <c r="I22" s="6">
        <v>470.8</v>
      </c>
      <c r="J22" s="6">
        <v>470.6</v>
      </c>
      <c r="K22" s="75">
        <v>470.4</v>
      </c>
      <c r="L22" s="6">
        <v>470.2</v>
      </c>
      <c r="M22" s="6">
        <v>470</v>
      </c>
      <c r="N22" s="6">
        <v>469.9</v>
      </c>
      <c r="O22" s="6">
        <v>469.4</v>
      </c>
      <c r="P22" s="27">
        <v>469.3</v>
      </c>
      <c r="Q22" s="6">
        <v>468.9</v>
      </c>
      <c r="R22" s="6">
        <v>468.7</v>
      </c>
      <c r="S22" s="6">
        <v>468.6</v>
      </c>
      <c r="T22" s="6">
        <v>468.4</v>
      </c>
      <c r="U22" s="6"/>
      <c r="AA22" s="6"/>
      <c r="AC22" s="6"/>
      <c r="AD22" s="6"/>
      <c r="AF22" s="6"/>
      <c r="AG22" s="6"/>
      <c r="AI22" s="6"/>
      <c r="AJ22" s="6"/>
    </row>
    <row r="23" spans="1:37">
      <c r="A23" s="1">
        <v>22</v>
      </c>
      <c r="B23" s="37">
        <v>465.7</v>
      </c>
      <c r="C23" s="37">
        <v>465.5</v>
      </c>
      <c r="D23" s="37">
        <v>465.3</v>
      </c>
      <c r="E23" s="6">
        <v>465.1</v>
      </c>
      <c r="F23" s="27">
        <v>465</v>
      </c>
      <c r="G23" s="6">
        <v>464.7</v>
      </c>
      <c r="H23" s="6">
        <v>464.5</v>
      </c>
      <c r="I23" s="6">
        <v>464.3</v>
      </c>
      <c r="J23" s="6">
        <v>464.1</v>
      </c>
      <c r="K23" s="75">
        <v>463.9</v>
      </c>
      <c r="L23" s="6">
        <v>463.7</v>
      </c>
      <c r="M23" s="6">
        <v>463.5</v>
      </c>
      <c r="N23" s="6">
        <v>463.4</v>
      </c>
      <c r="O23" s="6">
        <v>463.1</v>
      </c>
      <c r="P23" s="27">
        <v>469.9</v>
      </c>
      <c r="Q23" s="6">
        <v>469.5</v>
      </c>
      <c r="R23" s="6">
        <v>469.2</v>
      </c>
      <c r="S23" s="6">
        <v>469</v>
      </c>
      <c r="T23" s="6">
        <v>468.9</v>
      </c>
      <c r="U23" s="6"/>
      <c r="AA23" s="6"/>
      <c r="AC23" s="6"/>
      <c r="AD23" s="6"/>
      <c r="AF23" s="6"/>
      <c r="AG23" s="6"/>
      <c r="AI23" s="6"/>
    </row>
    <row r="24" spans="1:37">
      <c r="A24" s="1">
        <v>23</v>
      </c>
      <c r="B24" s="37">
        <v>455</v>
      </c>
      <c r="C24" s="37">
        <v>454.7</v>
      </c>
      <c r="D24" s="37">
        <v>454.5</v>
      </c>
      <c r="E24" s="6">
        <v>453.5</v>
      </c>
      <c r="F24" s="27">
        <v>453.3</v>
      </c>
      <c r="G24" s="6">
        <v>452.6</v>
      </c>
      <c r="H24" s="6">
        <v>452.3</v>
      </c>
      <c r="I24" s="6">
        <v>469.1</v>
      </c>
      <c r="J24" s="6">
        <v>468.9</v>
      </c>
      <c r="K24" s="75">
        <v>468.7</v>
      </c>
      <c r="L24" s="6">
        <v>468.5</v>
      </c>
      <c r="M24" s="6">
        <v>468.2</v>
      </c>
      <c r="N24" s="6">
        <v>468.2</v>
      </c>
      <c r="O24" s="6">
        <v>467.9</v>
      </c>
      <c r="P24" s="27">
        <v>467.6</v>
      </c>
      <c r="Q24" s="6">
        <v>467.4</v>
      </c>
      <c r="R24" s="6">
        <v>467.2</v>
      </c>
      <c r="S24" s="6">
        <v>467</v>
      </c>
      <c r="T24" s="6">
        <v>466.9</v>
      </c>
      <c r="U24" s="6"/>
      <c r="AA24" s="6"/>
      <c r="AC24" s="6"/>
      <c r="AD24" s="6"/>
      <c r="AF24" s="6"/>
      <c r="AG24" s="6"/>
      <c r="AI24" s="6"/>
    </row>
    <row r="25" spans="1:37">
      <c r="A25" s="1">
        <v>24</v>
      </c>
      <c r="B25" s="37">
        <v>461.1</v>
      </c>
      <c r="C25" s="37">
        <v>460.9</v>
      </c>
      <c r="D25" s="37">
        <v>460.7</v>
      </c>
      <c r="E25" s="6">
        <v>460.5</v>
      </c>
      <c r="F25" s="27">
        <v>460.3</v>
      </c>
      <c r="G25" s="6">
        <v>460</v>
      </c>
      <c r="H25" s="6">
        <v>459.8</v>
      </c>
      <c r="I25" s="6">
        <v>459.7</v>
      </c>
      <c r="J25" s="6">
        <v>459.5</v>
      </c>
      <c r="K25" s="75">
        <v>459.2</v>
      </c>
      <c r="L25" s="6">
        <v>459</v>
      </c>
      <c r="M25" s="6">
        <v>458.8</v>
      </c>
      <c r="N25" s="6">
        <v>458.5</v>
      </c>
      <c r="O25" s="6">
        <v>458.2</v>
      </c>
      <c r="P25" s="27">
        <v>458</v>
      </c>
      <c r="Q25" s="6">
        <v>457.8</v>
      </c>
      <c r="R25" s="6">
        <v>457.5</v>
      </c>
      <c r="S25" s="6">
        <v>457.3</v>
      </c>
      <c r="T25" s="6">
        <v>457.1</v>
      </c>
      <c r="U25" s="6"/>
      <c r="AA25" s="6"/>
      <c r="AC25" s="6"/>
      <c r="AD25" s="6"/>
      <c r="AF25" s="6"/>
      <c r="AG25" s="6"/>
      <c r="AI25" s="6"/>
    </row>
    <row r="26" spans="1:37">
      <c r="A26" s="1">
        <v>25</v>
      </c>
      <c r="B26" s="37">
        <v>456.7</v>
      </c>
      <c r="C26" s="37">
        <v>456.5</v>
      </c>
      <c r="D26" s="37">
        <v>456.3</v>
      </c>
      <c r="E26" s="6">
        <v>456.3</v>
      </c>
      <c r="F26" s="27">
        <v>456.1</v>
      </c>
      <c r="G26" s="6">
        <v>455.8</v>
      </c>
      <c r="H26" s="6">
        <v>455.5</v>
      </c>
      <c r="I26" s="6">
        <v>468.3</v>
      </c>
      <c r="J26" s="6">
        <v>467.9</v>
      </c>
      <c r="K26" s="75">
        <v>467.7</v>
      </c>
      <c r="L26" s="6">
        <v>467.4</v>
      </c>
      <c r="M26" s="6">
        <v>467.2</v>
      </c>
      <c r="N26" s="6">
        <v>467</v>
      </c>
      <c r="O26" s="6">
        <v>466.8</v>
      </c>
      <c r="P26" s="27">
        <v>466.2</v>
      </c>
      <c r="Q26" s="6">
        <v>465.9</v>
      </c>
      <c r="R26" s="6">
        <v>465.8</v>
      </c>
      <c r="S26" s="6">
        <v>465.6</v>
      </c>
      <c r="T26" s="6">
        <v>465.4</v>
      </c>
      <c r="U26" s="6"/>
      <c r="AA26" s="6"/>
      <c r="AC26" s="6"/>
      <c r="AD26" s="6"/>
      <c r="AF26" s="6"/>
      <c r="AG26" s="6"/>
      <c r="AI26" s="6"/>
    </row>
    <row r="27" spans="1:37">
      <c r="A27" s="1">
        <v>26</v>
      </c>
      <c r="B27" s="37">
        <v>459.5</v>
      </c>
      <c r="C27" s="37">
        <v>459.3</v>
      </c>
      <c r="D27" s="37">
        <v>459.2</v>
      </c>
      <c r="E27" s="6">
        <v>458.8</v>
      </c>
      <c r="F27" s="27">
        <v>458.7</v>
      </c>
      <c r="G27" s="6">
        <v>458.4</v>
      </c>
      <c r="H27" s="6">
        <v>458.1</v>
      </c>
      <c r="I27" s="6">
        <v>457.9</v>
      </c>
      <c r="J27" s="6">
        <v>457.7</v>
      </c>
      <c r="K27" s="75">
        <v>462.27300000000002</v>
      </c>
      <c r="L27" s="6">
        <v>476.9</v>
      </c>
      <c r="M27" s="6">
        <v>476.6</v>
      </c>
      <c r="N27" s="6">
        <v>476.5</v>
      </c>
      <c r="O27" s="6">
        <v>476.3</v>
      </c>
      <c r="P27" s="27">
        <v>476.1</v>
      </c>
      <c r="Q27" s="6">
        <v>475.7</v>
      </c>
      <c r="R27" s="6">
        <v>475.4</v>
      </c>
      <c r="S27" s="6">
        <v>475.2</v>
      </c>
      <c r="T27" s="6">
        <v>474.9</v>
      </c>
      <c r="U27" s="6"/>
      <c r="AA27" s="6"/>
      <c r="AC27" s="6"/>
      <c r="AD27" s="6"/>
      <c r="AF27" s="6"/>
      <c r="AG27" s="6"/>
      <c r="AI27" s="6"/>
      <c r="AJ27" s="6"/>
    </row>
    <row r="28" spans="1:37">
      <c r="A28" s="1">
        <v>27</v>
      </c>
      <c r="B28" s="37">
        <v>460.3</v>
      </c>
      <c r="C28" s="37">
        <v>460</v>
      </c>
      <c r="D28" s="37">
        <v>459.8</v>
      </c>
      <c r="E28" s="6">
        <v>459.5</v>
      </c>
      <c r="F28" s="27">
        <v>459.3</v>
      </c>
      <c r="G28" s="6">
        <v>486.8</v>
      </c>
      <c r="H28" s="6">
        <v>486.8</v>
      </c>
      <c r="I28" s="6">
        <v>486.6</v>
      </c>
      <c r="J28" s="6">
        <v>486.3</v>
      </c>
      <c r="K28" s="75">
        <v>486.1</v>
      </c>
      <c r="L28" s="6">
        <v>485.8</v>
      </c>
      <c r="M28" s="6">
        <v>485.6</v>
      </c>
      <c r="N28" s="6">
        <v>485.4</v>
      </c>
      <c r="O28" s="6">
        <v>485.1</v>
      </c>
      <c r="P28" s="27">
        <v>484.9</v>
      </c>
      <c r="Q28" s="6">
        <v>484.6</v>
      </c>
      <c r="R28" s="6">
        <v>482.3</v>
      </c>
      <c r="S28" s="6">
        <v>482.2</v>
      </c>
      <c r="T28" s="6">
        <v>480.4</v>
      </c>
      <c r="U28" s="6"/>
      <c r="AA28" s="6"/>
      <c r="AC28" s="6"/>
      <c r="AD28" s="6"/>
      <c r="AF28" s="6"/>
      <c r="AG28" s="6"/>
      <c r="AI28" s="6"/>
    </row>
    <row r="29" spans="1:37">
      <c r="A29" s="1">
        <v>28</v>
      </c>
      <c r="B29" s="37">
        <v>466.5</v>
      </c>
      <c r="C29" s="37">
        <v>466.3</v>
      </c>
      <c r="D29" s="37">
        <v>466.1</v>
      </c>
      <c r="E29" s="6">
        <v>465.9</v>
      </c>
      <c r="F29" s="27">
        <v>465.8</v>
      </c>
      <c r="G29" s="6">
        <v>465.6</v>
      </c>
      <c r="H29" s="6">
        <v>465.5</v>
      </c>
      <c r="I29" s="6">
        <v>465.3</v>
      </c>
      <c r="J29" s="6">
        <v>465.1</v>
      </c>
      <c r="K29" s="75">
        <v>465</v>
      </c>
      <c r="L29" s="6">
        <v>464.7</v>
      </c>
      <c r="M29" s="6">
        <v>464.5</v>
      </c>
      <c r="N29" s="6">
        <v>464.3</v>
      </c>
      <c r="O29" s="6">
        <v>463.9</v>
      </c>
      <c r="P29" s="27">
        <v>463.6</v>
      </c>
      <c r="Q29" s="6">
        <v>463.3</v>
      </c>
      <c r="R29" s="6">
        <v>463.2</v>
      </c>
      <c r="S29" s="6">
        <v>463</v>
      </c>
      <c r="T29" s="6">
        <v>462.6</v>
      </c>
      <c r="U29" s="6"/>
      <c r="AA29" s="6"/>
      <c r="AC29" s="6"/>
      <c r="AD29" s="6"/>
      <c r="AF29" s="6"/>
      <c r="AG29" s="6"/>
      <c r="AI29" s="6"/>
    </row>
    <row r="30" spans="1:37">
      <c r="A30" s="1">
        <v>29</v>
      </c>
      <c r="B30" s="37">
        <v>465.4</v>
      </c>
      <c r="C30" s="37">
        <v>464.4</v>
      </c>
      <c r="D30" s="37">
        <v>463.2</v>
      </c>
      <c r="E30" s="6">
        <v>461.9</v>
      </c>
      <c r="F30" s="27">
        <v>461.2</v>
      </c>
      <c r="G30" s="6">
        <v>460.4</v>
      </c>
      <c r="H30" s="6">
        <v>458</v>
      </c>
      <c r="I30" s="6">
        <v>468.7</v>
      </c>
      <c r="J30" s="6">
        <v>467.2</v>
      </c>
      <c r="K30" s="75">
        <v>466.9</v>
      </c>
      <c r="L30" s="6">
        <v>465.3</v>
      </c>
      <c r="M30" s="6">
        <v>465</v>
      </c>
      <c r="N30" s="6">
        <v>464.4</v>
      </c>
      <c r="O30" s="6">
        <v>463.8</v>
      </c>
      <c r="P30" s="27">
        <v>463.4</v>
      </c>
      <c r="Q30" s="6">
        <v>461.9</v>
      </c>
      <c r="R30" s="6">
        <v>459.9</v>
      </c>
      <c r="S30" s="6">
        <v>459.6</v>
      </c>
      <c r="T30" s="6">
        <v>458.9</v>
      </c>
      <c r="U30" s="6"/>
      <c r="AA30" s="6"/>
      <c r="AC30" s="6"/>
      <c r="AD30" s="6"/>
      <c r="AF30" s="6"/>
      <c r="AG30" s="6"/>
      <c r="AI30" s="6"/>
    </row>
    <row r="31" spans="1:37">
      <c r="A31" s="1">
        <v>30</v>
      </c>
      <c r="B31" s="37">
        <v>476.9</v>
      </c>
      <c r="C31" s="37">
        <v>476.5</v>
      </c>
      <c r="D31" s="37">
        <v>476</v>
      </c>
      <c r="E31" s="6">
        <v>474.9</v>
      </c>
      <c r="F31" s="27">
        <v>474.5</v>
      </c>
      <c r="G31" s="6">
        <v>472.4</v>
      </c>
      <c r="H31" s="6">
        <v>471</v>
      </c>
      <c r="I31" s="6">
        <v>470.7</v>
      </c>
      <c r="J31" s="6">
        <v>470.1</v>
      </c>
      <c r="K31" s="75">
        <v>469.9</v>
      </c>
      <c r="L31" s="6">
        <v>469.6</v>
      </c>
      <c r="M31" s="6">
        <v>469.4</v>
      </c>
      <c r="N31" s="6">
        <v>468.7</v>
      </c>
      <c r="O31" s="6">
        <v>468</v>
      </c>
      <c r="P31" s="27">
        <v>467.1</v>
      </c>
      <c r="Q31" s="6">
        <v>466.6</v>
      </c>
      <c r="R31" s="6">
        <v>464.7</v>
      </c>
      <c r="S31" s="6">
        <v>463.5</v>
      </c>
      <c r="T31" s="6">
        <v>463.2</v>
      </c>
      <c r="U31" s="6"/>
      <c r="AA31" s="6"/>
      <c r="AC31" s="6"/>
      <c r="AD31" s="6"/>
      <c r="AF31" s="6"/>
      <c r="AG31" s="6"/>
      <c r="AI31" s="6"/>
    </row>
    <row r="32" spans="1:37">
      <c r="A32" s="1">
        <v>31</v>
      </c>
      <c r="B32" s="37">
        <v>451.4</v>
      </c>
      <c r="C32" s="37">
        <v>450.7</v>
      </c>
      <c r="D32" s="37">
        <v>449.7</v>
      </c>
      <c r="E32" s="6">
        <v>447.9</v>
      </c>
      <c r="F32" s="27">
        <v>447.7</v>
      </c>
      <c r="G32" s="6">
        <v>446.3</v>
      </c>
      <c r="H32" s="6">
        <v>445.7</v>
      </c>
      <c r="I32" s="6">
        <v>468.6</v>
      </c>
      <c r="J32" s="6">
        <v>465.3</v>
      </c>
      <c r="K32" s="27">
        <v>465.2</v>
      </c>
      <c r="L32" s="6">
        <v>461.7</v>
      </c>
      <c r="M32" s="6">
        <v>458.5</v>
      </c>
      <c r="N32" s="6">
        <v>457.8</v>
      </c>
      <c r="O32" s="6">
        <v>456.3</v>
      </c>
      <c r="P32" s="27">
        <v>456</v>
      </c>
      <c r="Q32" s="6">
        <v>455.5</v>
      </c>
      <c r="R32" s="6">
        <v>454.7</v>
      </c>
      <c r="S32" s="6">
        <v>453.7</v>
      </c>
      <c r="T32" s="6">
        <v>452.6</v>
      </c>
      <c r="U32" s="6"/>
      <c r="AA32" s="6"/>
      <c r="AC32" s="6"/>
      <c r="AD32" s="6"/>
      <c r="AF32" s="6"/>
      <c r="AG32" s="6"/>
      <c r="AI32" s="6"/>
      <c r="AJ32" s="6"/>
    </row>
    <row r="33" spans="1:37">
      <c r="A33" s="1">
        <v>32</v>
      </c>
      <c r="B33" s="37">
        <v>457.1</v>
      </c>
      <c r="C33" s="37">
        <v>456.3</v>
      </c>
      <c r="D33" s="37">
        <v>456</v>
      </c>
      <c r="E33" s="6">
        <v>454.4</v>
      </c>
      <c r="F33" s="27">
        <v>454.1</v>
      </c>
      <c r="G33" s="6">
        <v>453.8</v>
      </c>
      <c r="H33" s="6">
        <v>453.5</v>
      </c>
      <c r="I33" s="6">
        <v>452.1</v>
      </c>
      <c r="J33" s="6">
        <v>451.9</v>
      </c>
      <c r="K33" s="27">
        <v>451.7</v>
      </c>
      <c r="L33" s="6">
        <v>464</v>
      </c>
      <c r="M33" s="6">
        <v>460.8</v>
      </c>
      <c r="N33" s="6">
        <v>460.6</v>
      </c>
      <c r="O33" s="6">
        <v>458.5</v>
      </c>
      <c r="P33" s="27">
        <v>457.1</v>
      </c>
      <c r="Q33" s="6">
        <v>454.1</v>
      </c>
      <c r="R33" s="6">
        <v>449.7</v>
      </c>
      <c r="S33" s="6">
        <v>444.1</v>
      </c>
      <c r="T33" s="6">
        <v>439.6</v>
      </c>
      <c r="U33" s="6"/>
      <c r="AA33" s="6"/>
      <c r="AC33" s="6"/>
      <c r="AD33" s="6"/>
      <c r="AF33" s="6"/>
      <c r="AG33" s="6"/>
      <c r="AI33" s="6"/>
    </row>
    <row r="34" spans="1:37">
      <c r="A34" s="1">
        <v>33</v>
      </c>
      <c r="B34" s="37">
        <v>462.1</v>
      </c>
      <c r="C34" s="37">
        <v>461.7</v>
      </c>
      <c r="D34" s="37">
        <v>461.5</v>
      </c>
      <c r="E34" s="6">
        <v>461.3</v>
      </c>
      <c r="F34" s="27">
        <v>461.2</v>
      </c>
      <c r="G34" s="6">
        <v>460.8</v>
      </c>
      <c r="H34" s="6">
        <v>460.4</v>
      </c>
      <c r="I34" s="6">
        <v>460</v>
      </c>
      <c r="J34" s="6">
        <v>459.8</v>
      </c>
      <c r="K34" s="27">
        <v>459.4</v>
      </c>
      <c r="L34" s="6">
        <v>459.2</v>
      </c>
      <c r="M34" s="6">
        <v>458.9</v>
      </c>
      <c r="N34" s="6">
        <v>458.7</v>
      </c>
      <c r="O34" s="6">
        <v>458.4</v>
      </c>
      <c r="P34" s="27">
        <v>458.1</v>
      </c>
      <c r="Q34" s="6">
        <v>457.8</v>
      </c>
      <c r="R34" s="6">
        <v>457.4</v>
      </c>
      <c r="S34" s="6">
        <v>457.2</v>
      </c>
      <c r="T34" s="6">
        <v>456.9</v>
      </c>
      <c r="U34" s="6"/>
      <c r="AA34" s="6"/>
      <c r="AC34" s="6"/>
      <c r="AD34" s="6"/>
      <c r="AF34" s="6"/>
      <c r="AG34" s="6"/>
      <c r="AI34" s="6"/>
    </row>
    <row r="35" spans="1:37">
      <c r="A35" s="1">
        <v>34</v>
      </c>
      <c r="B35" s="37">
        <v>459.7</v>
      </c>
      <c r="C35" s="37">
        <v>458.3</v>
      </c>
      <c r="D35" s="37">
        <v>458.1</v>
      </c>
      <c r="E35" s="6">
        <v>457.4</v>
      </c>
      <c r="F35" s="27">
        <v>456.1</v>
      </c>
      <c r="G35" s="6">
        <v>455.8</v>
      </c>
      <c r="H35" s="6">
        <v>454.6</v>
      </c>
      <c r="I35" s="6">
        <v>469.2</v>
      </c>
      <c r="J35" s="6">
        <v>468.5</v>
      </c>
      <c r="K35" s="27">
        <v>468.3</v>
      </c>
      <c r="L35" s="6">
        <v>466.5</v>
      </c>
      <c r="M35" s="6">
        <v>466.3</v>
      </c>
      <c r="N35" s="6">
        <v>466.1</v>
      </c>
      <c r="O35" s="6">
        <v>464.4</v>
      </c>
      <c r="P35" s="27">
        <v>464.2</v>
      </c>
      <c r="Q35" s="6">
        <v>463.9</v>
      </c>
      <c r="R35" s="6">
        <v>462.6</v>
      </c>
      <c r="S35" s="6">
        <v>461</v>
      </c>
      <c r="T35" s="6">
        <v>457.7</v>
      </c>
      <c r="U35" s="6"/>
      <c r="AA35" s="6"/>
      <c r="AC35" s="6"/>
      <c r="AD35" s="6"/>
      <c r="AF35" s="6"/>
      <c r="AG35" s="6"/>
      <c r="AI35" s="6"/>
    </row>
    <row r="36" spans="1:37">
      <c r="A36" s="1">
        <v>35</v>
      </c>
      <c r="B36" s="37">
        <v>458</v>
      </c>
      <c r="C36" s="37">
        <v>457</v>
      </c>
      <c r="D36" s="37">
        <v>456.8</v>
      </c>
      <c r="E36" s="6">
        <v>456.7</v>
      </c>
      <c r="F36" s="27">
        <v>456.3</v>
      </c>
      <c r="G36" s="6">
        <v>455.9</v>
      </c>
      <c r="H36" s="6">
        <v>455.8</v>
      </c>
      <c r="I36" s="6">
        <v>471.4</v>
      </c>
      <c r="J36" s="6">
        <v>470.8</v>
      </c>
      <c r="K36" s="27">
        <v>470.6</v>
      </c>
      <c r="L36" s="6">
        <v>470</v>
      </c>
      <c r="M36" s="6">
        <v>469.8</v>
      </c>
      <c r="N36" s="6">
        <v>469.6</v>
      </c>
      <c r="O36" s="6">
        <v>469</v>
      </c>
      <c r="P36" s="27">
        <v>468.8</v>
      </c>
      <c r="Q36" s="6">
        <v>468.6</v>
      </c>
      <c r="R36" s="6">
        <v>468.4</v>
      </c>
      <c r="S36" s="6">
        <v>468.2</v>
      </c>
      <c r="T36" s="6">
        <v>467.9</v>
      </c>
      <c r="U36" s="6"/>
      <c r="AA36" s="6"/>
      <c r="AC36" s="6"/>
      <c r="AD36" s="6"/>
      <c r="AF36" s="6"/>
      <c r="AG36" s="6"/>
      <c r="AI36" s="6"/>
      <c r="AJ36" s="6"/>
    </row>
    <row r="37" spans="1:37">
      <c r="A37" s="1">
        <v>36</v>
      </c>
      <c r="B37" s="37">
        <v>462.5</v>
      </c>
      <c r="C37" s="37">
        <v>462.3</v>
      </c>
      <c r="D37" s="37">
        <v>462</v>
      </c>
      <c r="E37" s="6">
        <v>461.9</v>
      </c>
      <c r="F37" s="27">
        <v>461.8</v>
      </c>
      <c r="G37" s="6">
        <v>461.5</v>
      </c>
      <c r="H37" s="6">
        <v>461.1</v>
      </c>
      <c r="I37" s="6">
        <v>460.9</v>
      </c>
      <c r="J37" s="6">
        <v>460.6</v>
      </c>
      <c r="K37" s="27">
        <v>460.3</v>
      </c>
      <c r="L37" s="6">
        <v>460.1</v>
      </c>
      <c r="M37" s="6">
        <v>459.9</v>
      </c>
      <c r="N37" s="6">
        <v>459.8</v>
      </c>
      <c r="O37" s="6">
        <v>459.4</v>
      </c>
      <c r="P37" s="27">
        <v>459.3</v>
      </c>
      <c r="Q37" s="6">
        <v>459</v>
      </c>
      <c r="R37" s="6">
        <v>458.8</v>
      </c>
      <c r="S37" s="6">
        <v>458.6</v>
      </c>
      <c r="T37" s="6">
        <v>458.3</v>
      </c>
      <c r="U37" s="6"/>
      <c r="AA37" s="6"/>
      <c r="AC37" s="6"/>
      <c r="AD37" s="6"/>
      <c r="AF37" s="6"/>
      <c r="AG37" s="6"/>
      <c r="AI37" s="6"/>
    </row>
    <row r="38" spans="1:37">
      <c r="A38" s="1">
        <v>37</v>
      </c>
      <c r="B38" s="37">
        <v>459.3</v>
      </c>
      <c r="C38" s="37">
        <v>458.9</v>
      </c>
      <c r="D38" s="37">
        <v>458.4</v>
      </c>
      <c r="E38" s="6">
        <v>458.3</v>
      </c>
      <c r="F38" s="27">
        <v>458.1</v>
      </c>
      <c r="G38" s="6">
        <v>457.8</v>
      </c>
      <c r="H38" s="6">
        <v>457.4</v>
      </c>
      <c r="I38" s="6">
        <v>457.2</v>
      </c>
      <c r="J38" s="6">
        <v>456.8</v>
      </c>
      <c r="K38" s="27">
        <v>456.4</v>
      </c>
      <c r="L38" s="6">
        <v>456.3</v>
      </c>
      <c r="M38" s="6">
        <v>456</v>
      </c>
      <c r="N38" s="6">
        <v>455.9</v>
      </c>
      <c r="O38" s="6">
        <v>455.6</v>
      </c>
      <c r="P38" s="27">
        <v>454.4</v>
      </c>
      <c r="Q38" s="6">
        <v>454.2</v>
      </c>
      <c r="R38" s="6">
        <v>453.5</v>
      </c>
      <c r="S38" s="6">
        <v>453.3</v>
      </c>
      <c r="T38" s="6">
        <v>453</v>
      </c>
      <c r="U38" s="6"/>
      <c r="AA38" s="6"/>
      <c r="AC38" s="6"/>
      <c r="AD38" s="6"/>
      <c r="AF38" s="6"/>
      <c r="AG38" s="6"/>
      <c r="AI38" s="6"/>
    </row>
    <row r="39" spans="1:37">
      <c r="A39" s="1">
        <v>38</v>
      </c>
      <c r="B39" s="37">
        <v>464</v>
      </c>
      <c r="C39" s="37">
        <v>463.8</v>
      </c>
      <c r="D39" s="37">
        <v>463.6</v>
      </c>
      <c r="E39" s="6">
        <v>463.5</v>
      </c>
      <c r="F39" s="27">
        <v>463.4</v>
      </c>
      <c r="G39" s="6">
        <v>463.1</v>
      </c>
      <c r="H39" s="6">
        <v>462.9</v>
      </c>
      <c r="I39" s="6">
        <v>462.8</v>
      </c>
      <c r="J39" s="6">
        <v>462.4</v>
      </c>
      <c r="K39" s="27">
        <v>462.2</v>
      </c>
      <c r="L39" s="6">
        <v>462</v>
      </c>
      <c r="M39" s="6">
        <v>461.7</v>
      </c>
      <c r="N39" s="6">
        <v>461.6</v>
      </c>
      <c r="O39" s="6">
        <v>461.3</v>
      </c>
      <c r="P39" s="27">
        <v>461.1</v>
      </c>
      <c r="Q39" s="6">
        <v>460.8</v>
      </c>
      <c r="R39" s="6">
        <v>460.4</v>
      </c>
      <c r="S39" s="6">
        <v>460.3</v>
      </c>
      <c r="T39" s="6">
        <v>460</v>
      </c>
      <c r="U39" s="6"/>
      <c r="AA39" s="6"/>
      <c r="AC39" s="6"/>
      <c r="AD39" s="6"/>
      <c r="AF39" s="6"/>
      <c r="AG39" s="6"/>
      <c r="AI39" s="6"/>
    </row>
    <row r="40" spans="1:37">
      <c r="A40" s="1">
        <v>39</v>
      </c>
      <c r="B40" s="37">
        <v>469</v>
      </c>
      <c r="C40" s="37">
        <v>468.8</v>
      </c>
      <c r="D40" s="37">
        <v>468.6</v>
      </c>
      <c r="E40" s="6">
        <v>468.3</v>
      </c>
      <c r="F40" s="27">
        <v>468.2</v>
      </c>
      <c r="G40" s="6">
        <v>468</v>
      </c>
      <c r="H40" s="6">
        <v>467.7</v>
      </c>
      <c r="I40" s="6">
        <v>467.5</v>
      </c>
      <c r="J40" s="6">
        <v>467.2</v>
      </c>
      <c r="K40" s="27">
        <v>467.1</v>
      </c>
      <c r="L40" s="6">
        <v>466.8</v>
      </c>
      <c r="M40" s="6">
        <v>466</v>
      </c>
      <c r="N40" s="6">
        <v>465.7</v>
      </c>
      <c r="O40" s="6">
        <v>465.3</v>
      </c>
      <c r="P40" s="27">
        <v>465.1</v>
      </c>
      <c r="Q40" s="6">
        <v>464.7</v>
      </c>
      <c r="R40" s="6">
        <v>461.8</v>
      </c>
      <c r="S40" s="6">
        <v>460.7</v>
      </c>
      <c r="T40" s="6">
        <v>459.6</v>
      </c>
      <c r="U40" s="6"/>
      <c r="AA40" s="6"/>
      <c r="AC40" s="6"/>
      <c r="AD40" s="6"/>
      <c r="AF40" s="6"/>
      <c r="AG40" s="6"/>
      <c r="AI40" s="6"/>
    </row>
    <row r="41" spans="1:37">
      <c r="A41" s="1">
        <v>40</v>
      </c>
      <c r="B41" s="37">
        <v>464.2</v>
      </c>
      <c r="C41" s="37">
        <v>456.4</v>
      </c>
      <c r="D41" s="37">
        <v>453.1</v>
      </c>
      <c r="E41" s="6">
        <v>446.3</v>
      </c>
      <c r="F41" s="27">
        <v>439.3</v>
      </c>
      <c r="G41" s="6">
        <v>470.3</v>
      </c>
      <c r="H41" s="6">
        <v>468.3</v>
      </c>
      <c r="I41" s="6">
        <v>462.3</v>
      </c>
      <c r="J41" s="6">
        <v>452.9</v>
      </c>
      <c r="K41" s="27">
        <v>449</v>
      </c>
      <c r="L41" s="6">
        <v>469.3</v>
      </c>
      <c r="M41" s="6">
        <v>464.9</v>
      </c>
      <c r="N41" s="6">
        <v>457.8</v>
      </c>
      <c r="O41" s="6">
        <v>453.5</v>
      </c>
      <c r="P41" s="27">
        <v>460.6</v>
      </c>
      <c r="Q41" s="6">
        <v>457.2</v>
      </c>
      <c r="R41" s="6">
        <v>453.5</v>
      </c>
      <c r="S41" s="6">
        <v>449.2</v>
      </c>
      <c r="T41" s="6">
        <v>442.7</v>
      </c>
      <c r="U41" s="6"/>
      <c r="AA41" s="6"/>
      <c r="AC41" s="6"/>
      <c r="AD41" s="6"/>
      <c r="AF41" s="6"/>
      <c r="AG41" s="6"/>
      <c r="AI41" s="6"/>
    </row>
    <row r="42" spans="1:37">
      <c r="A42" s="1">
        <v>41</v>
      </c>
      <c r="B42" s="37">
        <v>466.4</v>
      </c>
      <c r="C42" s="37">
        <v>466.2</v>
      </c>
      <c r="D42" s="37">
        <v>466</v>
      </c>
      <c r="E42" s="6">
        <v>465.8</v>
      </c>
      <c r="F42" s="27">
        <v>465.7</v>
      </c>
      <c r="G42" s="6">
        <v>465.4</v>
      </c>
      <c r="H42" s="6">
        <v>465.2</v>
      </c>
      <c r="I42" s="6">
        <v>465</v>
      </c>
      <c r="J42" s="6">
        <v>464.9</v>
      </c>
      <c r="K42" s="27">
        <v>464.6</v>
      </c>
      <c r="L42" s="6">
        <v>464.5</v>
      </c>
      <c r="M42" s="6">
        <v>464.3</v>
      </c>
      <c r="N42" s="6">
        <v>464.2</v>
      </c>
      <c r="O42" s="6">
        <v>464</v>
      </c>
      <c r="P42" s="27">
        <v>463.7</v>
      </c>
      <c r="Q42" s="6">
        <v>463.4</v>
      </c>
      <c r="R42" s="6">
        <v>463.2</v>
      </c>
      <c r="S42" s="6">
        <v>463</v>
      </c>
      <c r="T42" s="6">
        <v>462.8</v>
      </c>
      <c r="U42" s="6"/>
      <c r="AA42" s="6"/>
      <c r="AC42" s="6"/>
      <c r="AD42" s="6"/>
      <c r="AF42" s="6"/>
      <c r="AG42" s="6"/>
      <c r="AI42" s="6"/>
    </row>
    <row r="43" spans="1:37">
      <c r="A43" s="1">
        <v>42</v>
      </c>
      <c r="B43" s="37">
        <v>467.6</v>
      </c>
      <c r="C43" s="37">
        <v>467.3</v>
      </c>
      <c r="D43" s="37">
        <v>467.1</v>
      </c>
      <c r="E43" s="6">
        <v>465.5</v>
      </c>
      <c r="F43" s="27">
        <v>465.2</v>
      </c>
      <c r="G43" s="6">
        <v>464.8</v>
      </c>
      <c r="H43" s="6">
        <v>464</v>
      </c>
      <c r="I43" s="6">
        <v>463.9</v>
      </c>
      <c r="J43" s="6">
        <v>463.6</v>
      </c>
      <c r="K43" s="27">
        <v>463.4</v>
      </c>
      <c r="L43" s="6">
        <v>463.2</v>
      </c>
      <c r="M43" s="6">
        <v>462.9</v>
      </c>
      <c r="N43" s="6">
        <v>462.5</v>
      </c>
      <c r="O43" s="6">
        <v>462.3</v>
      </c>
      <c r="P43" s="27">
        <v>462</v>
      </c>
      <c r="Q43" s="6">
        <v>461.7</v>
      </c>
      <c r="R43" s="6">
        <v>459.6</v>
      </c>
      <c r="S43" s="6">
        <v>459.4</v>
      </c>
      <c r="T43" s="6">
        <v>457.8</v>
      </c>
      <c r="U43" s="6"/>
      <c r="AA43" s="6"/>
      <c r="AC43" s="6"/>
      <c r="AD43" s="6"/>
      <c r="AF43" s="6"/>
      <c r="AG43" s="6"/>
      <c r="AI43" s="6"/>
    </row>
    <row r="44" spans="1:37">
      <c r="A44" s="1">
        <v>43</v>
      </c>
      <c r="B44" s="37">
        <v>460.9</v>
      </c>
      <c r="C44" s="37">
        <v>460.7</v>
      </c>
      <c r="D44" s="37">
        <v>460.6</v>
      </c>
      <c r="E44" s="6">
        <v>460.9</v>
      </c>
      <c r="F44" s="27">
        <v>460.3</v>
      </c>
      <c r="G44" s="6">
        <v>460</v>
      </c>
      <c r="H44" s="6">
        <v>459.4</v>
      </c>
      <c r="I44" s="6">
        <v>474.5</v>
      </c>
      <c r="J44" s="6">
        <v>474.2</v>
      </c>
      <c r="K44" s="27">
        <v>474</v>
      </c>
      <c r="L44" s="6">
        <v>473.8</v>
      </c>
      <c r="M44" s="6">
        <v>473.1</v>
      </c>
      <c r="N44" s="6">
        <v>472.9</v>
      </c>
      <c r="O44" s="6">
        <v>472.7</v>
      </c>
      <c r="P44" s="27">
        <v>472.6</v>
      </c>
      <c r="Q44" s="6">
        <v>472.3</v>
      </c>
      <c r="R44" s="6">
        <v>472.1</v>
      </c>
      <c r="S44" s="6">
        <v>471.9</v>
      </c>
      <c r="T44" s="6">
        <v>471.7</v>
      </c>
      <c r="U44" s="6"/>
      <c r="AA44" s="6"/>
      <c r="AC44" s="6"/>
      <c r="AD44" s="6"/>
      <c r="AF44" s="6"/>
      <c r="AG44" s="6"/>
      <c r="AI44" s="6"/>
    </row>
    <row r="45" spans="1:37">
      <c r="A45" s="1">
        <v>44</v>
      </c>
      <c r="B45" s="37">
        <v>454.7</v>
      </c>
      <c r="C45" s="37">
        <v>454.4</v>
      </c>
      <c r="D45" s="37">
        <v>454</v>
      </c>
      <c r="E45" s="6">
        <v>453.9</v>
      </c>
      <c r="F45" s="27">
        <v>453.7</v>
      </c>
      <c r="G45" s="6">
        <v>453.4</v>
      </c>
      <c r="H45" s="6">
        <v>453.1</v>
      </c>
      <c r="I45" s="6">
        <v>452.9</v>
      </c>
      <c r="J45" s="6">
        <v>452.5</v>
      </c>
      <c r="K45" s="27">
        <v>452.3</v>
      </c>
      <c r="L45" s="6">
        <v>467.4</v>
      </c>
      <c r="M45" s="6">
        <v>467</v>
      </c>
      <c r="N45" s="6">
        <v>466.8</v>
      </c>
      <c r="O45" s="6">
        <v>466.6</v>
      </c>
      <c r="P45" s="27">
        <v>466.5</v>
      </c>
      <c r="Q45" s="6">
        <v>466.2</v>
      </c>
      <c r="R45" s="6">
        <v>465.8</v>
      </c>
      <c r="S45" s="6">
        <v>465.7</v>
      </c>
      <c r="T45" s="6">
        <v>465.4</v>
      </c>
      <c r="U45" s="6"/>
      <c r="AA45" s="6"/>
      <c r="AC45" s="6"/>
      <c r="AD45" s="6"/>
      <c r="AF45" s="6"/>
      <c r="AG45" s="6"/>
      <c r="AI45" s="6"/>
      <c r="AJ45" s="6"/>
      <c r="AK45" s="6"/>
    </row>
    <row r="46" spans="1:37">
      <c r="A46" s="1">
        <v>45</v>
      </c>
      <c r="B46" s="37">
        <v>447.4</v>
      </c>
      <c r="C46" s="37">
        <v>447.3</v>
      </c>
      <c r="D46" s="37">
        <v>447.1</v>
      </c>
      <c r="E46" s="6">
        <v>446.9</v>
      </c>
      <c r="F46" s="27">
        <v>446.7</v>
      </c>
      <c r="G46" s="6">
        <v>476.8</v>
      </c>
      <c r="H46" s="6">
        <v>476.6</v>
      </c>
      <c r="I46" s="6">
        <v>476.4</v>
      </c>
      <c r="J46" s="6">
        <v>476.2</v>
      </c>
      <c r="K46" s="27">
        <v>475.9</v>
      </c>
      <c r="L46" s="6">
        <v>475.7</v>
      </c>
      <c r="M46" s="6">
        <v>475.4</v>
      </c>
      <c r="N46" s="6">
        <v>475.3</v>
      </c>
      <c r="O46" s="6">
        <v>475.1</v>
      </c>
      <c r="P46" s="27">
        <v>474.9</v>
      </c>
      <c r="Q46" s="6">
        <v>474.6</v>
      </c>
      <c r="R46" s="6">
        <v>474.4</v>
      </c>
      <c r="S46" s="6">
        <v>474.3</v>
      </c>
      <c r="T46" s="6">
        <v>474.1</v>
      </c>
      <c r="U46" s="6"/>
      <c r="AA46" s="6"/>
      <c r="AC46" s="6"/>
      <c r="AD46" s="6"/>
      <c r="AF46" s="6"/>
      <c r="AG46" s="6"/>
      <c r="AI46" s="6"/>
    </row>
    <row r="47" spans="1:37">
      <c r="A47" s="1">
        <v>46</v>
      </c>
      <c r="B47" s="37">
        <v>469</v>
      </c>
      <c r="C47" s="37">
        <v>468.7</v>
      </c>
      <c r="D47" s="37">
        <v>468.6</v>
      </c>
      <c r="E47" s="6">
        <v>468.4</v>
      </c>
      <c r="F47" s="27">
        <v>468.3</v>
      </c>
      <c r="G47" s="6">
        <v>467.9</v>
      </c>
      <c r="H47" s="6">
        <v>467.7</v>
      </c>
      <c r="I47" s="6">
        <v>467.6</v>
      </c>
      <c r="J47" s="6">
        <v>467.3</v>
      </c>
      <c r="K47" s="27">
        <v>467.1</v>
      </c>
      <c r="L47" s="6">
        <v>466.8</v>
      </c>
      <c r="M47" s="6">
        <v>466.6</v>
      </c>
      <c r="N47" s="6">
        <v>466.5</v>
      </c>
      <c r="O47" s="6">
        <v>466.2</v>
      </c>
      <c r="P47" s="27">
        <v>465.9</v>
      </c>
      <c r="Q47" s="6">
        <v>465.6</v>
      </c>
      <c r="R47" s="6">
        <v>465.4</v>
      </c>
      <c r="S47" s="6">
        <v>465</v>
      </c>
      <c r="T47" s="6">
        <v>464.4</v>
      </c>
      <c r="U47" s="6"/>
      <c r="AA47" s="6"/>
      <c r="AC47" s="6"/>
      <c r="AD47" s="6"/>
      <c r="AF47" s="6"/>
      <c r="AG47" s="6"/>
      <c r="AI47" s="6"/>
    </row>
    <row r="48" spans="1:37">
      <c r="A48" s="1">
        <v>47</v>
      </c>
      <c r="B48" s="37">
        <v>466.2</v>
      </c>
      <c r="C48" s="37">
        <v>464.8</v>
      </c>
      <c r="D48" s="37">
        <v>463.5</v>
      </c>
      <c r="E48" s="6">
        <v>462.7</v>
      </c>
      <c r="F48" s="27">
        <v>461.3</v>
      </c>
      <c r="G48" s="6">
        <v>460.7</v>
      </c>
      <c r="H48" s="6">
        <v>459.3</v>
      </c>
      <c r="I48" s="6">
        <v>469.8</v>
      </c>
      <c r="J48" s="6">
        <v>469.4</v>
      </c>
      <c r="K48" s="27">
        <v>468.7</v>
      </c>
      <c r="L48" s="6">
        <v>466.9</v>
      </c>
      <c r="M48" s="6">
        <v>466.2</v>
      </c>
      <c r="N48" s="6">
        <v>465.1</v>
      </c>
      <c r="O48" s="6">
        <v>462.5</v>
      </c>
      <c r="P48" s="27">
        <v>458.1</v>
      </c>
      <c r="Q48" s="6">
        <v>456.3</v>
      </c>
      <c r="R48" s="6">
        <v>454.2</v>
      </c>
      <c r="S48" s="6">
        <v>451.1</v>
      </c>
      <c r="T48" s="6">
        <v>449.7</v>
      </c>
      <c r="U48" s="6"/>
      <c r="AA48" s="6"/>
      <c r="AC48" s="6"/>
      <c r="AD48" s="6"/>
      <c r="AF48" s="6"/>
      <c r="AG48" s="6"/>
      <c r="AI48" s="6"/>
    </row>
    <row r="49" spans="1:37">
      <c r="A49" s="1">
        <v>48</v>
      </c>
      <c r="B49" s="37">
        <v>460.5</v>
      </c>
      <c r="C49" s="37">
        <v>460</v>
      </c>
      <c r="D49" s="37">
        <v>459.8</v>
      </c>
      <c r="E49" s="6">
        <v>459.3</v>
      </c>
      <c r="F49" s="27">
        <v>459</v>
      </c>
      <c r="G49" s="6">
        <v>458.6</v>
      </c>
      <c r="H49" s="6">
        <v>458.5</v>
      </c>
      <c r="I49" s="6">
        <v>457.9</v>
      </c>
      <c r="J49" s="6">
        <v>457.2</v>
      </c>
      <c r="K49" s="27">
        <v>456.5</v>
      </c>
      <c r="L49" s="6">
        <v>456</v>
      </c>
      <c r="M49" s="6">
        <v>452.8</v>
      </c>
      <c r="N49" s="6">
        <v>452.7</v>
      </c>
      <c r="O49" s="6">
        <v>449.6</v>
      </c>
      <c r="P49" s="27">
        <v>463.7</v>
      </c>
      <c r="Q49" s="6">
        <v>462.1</v>
      </c>
      <c r="R49" s="6">
        <v>458.6</v>
      </c>
      <c r="S49" s="6">
        <v>456.2</v>
      </c>
      <c r="T49" s="6">
        <v>451.1</v>
      </c>
      <c r="U49" s="6"/>
      <c r="AA49" s="6"/>
      <c r="AC49" s="6"/>
      <c r="AD49" s="6"/>
      <c r="AF49" s="6"/>
      <c r="AG49" s="6"/>
      <c r="AI49" s="6"/>
    </row>
    <row r="50" spans="1:37">
      <c r="A50" s="1">
        <v>49</v>
      </c>
      <c r="B50" s="37">
        <v>464</v>
      </c>
      <c r="C50" s="37">
        <v>460.1</v>
      </c>
      <c r="D50" s="37">
        <v>459.9</v>
      </c>
      <c r="E50" s="6">
        <v>459.7</v>
      </c>
      <c r="F50" s="27">
        <v>459.5</v>
      </c>
      <c r="G50" s="6">
        <v>457.9</v>
      </c>
      <c r="H50" s="6">
        <v>455.4</v>
      </c>
      <c r="I50" s="6">
        <v>464.5</v>
      </c>
      <c r="J50" s="6">
        <v>463.4</v>
      </c>
      <c r="K50" s="27">
        <v>463.1</v>
      </c>
      <c r="L50" s="6">
        <v>462.9</v>
      </c>
      <c r="M50" s="6">
        <v>462.6</v>
      </c>
      <c r="N50" s="6">
        <v>462.4</v>
      </c>
      <c r="O50" s="6">
        <v>456.2</v>
      </c>
      <c r="P50" s="27">
        <v>463.8</v>
      </c>
      <c r="Q50" s="6">
        <v>459.5</v>
      </c>
      <c r="R50" s="6">
        <v>457.4</v>
      </c>
      <c r="S50" s="6">
        <v>457.2</v>
      </c>
      <c r="T50" s="6">
        <v>454.7</v>
      </c>
      <c r="U50" s="6"/>
      <c r="AA50" s="6"/>
      <c r="AC50" s="6"/>
      <c r="AD50" s="6"/>
      <c r="AF50" s="6"/>
      <c r="AG50" s="6"/>
      <c r="AI50" s="6"/>
    </row>
    <row r="51" spans="1:37">
      <c r="A51" s="1">
        <v>50</v>
      </c>
      <c r="B51" s="37">
        <v>466.9</v>
      </c>
      <c r="C51" s="37">
        <v>466.6</v>
      </c>
      <c r="D51" s="37">
        <v>465.9</v>
      </c>
      <c r="E51" s="6">
        <v>465.9</v>
      </c>
      <c r="F51" s="27">
        <v>465.8</v>
      </c>
      <c r="G51" s="6">
        <v>465.1</v>
      </c>
      <c r="H51" s="6">
        <v>464.5</v>
      </c>
      <c r="I51" s="6">
        <v>463.4</v>
      </c>
      <c r="J51" s="6">
        <v>463.2</v>
      </c>
      <c r="K51" s="27">
        <v>463</v>
      </c>
      <c r="L51" s="6">
        <v>462.9</v>
      </c>
      <c r="M51" s="6">
        <v>462.4</v>
      </c>
      <c r="N51" s="6">
        <v>462.3</v>
      </c>
      <c r="O51" s="6">
        <v>462.2</v>
      </c>
      <c r="P51" s="27">
        <v>461.6</v>
      </c>
      <c r="Q51" s="6">
        <v>461.3</v>
      </c>
      <c r="R51" s="6">
        <v>460.2</v>
      </c>
      <c r="S51" s="6">
        <v>459.6</v>
      </c>
      <c r="T51" s="6">
        <v>457.1</v>
      </c>
      <c r="U51" s="6"/>
      <c r="AA51" s="6"/>
      <c r="AC51" s="6"/>
      <c r="AD51" s="6"/>
      <c r="AF51" s="6"/>
      <c r="AG51" s="6"/>
      <c r="AI51" s="6"/>
    </row>
    <row r="52" spans="1:37">
      <c r="A52" s="1">
        <v>51</v>
      </c>
      <c r="B52" s="37">
        <v>455.4</v>
      </c>
      <c r="C52" s="37">
        <v>455.2</v>
      </c>
      <c r="D52" s="37">
        <v>455</v>
      </c>
      <c r="E52" s="6">
        <v>451.1</v>
      </c>
      <c r="F52" s="27">
        <v>450.9</v>
      </c>
      <c r="G52" s="6">
        <v>479.6</v>
      </c>
      <c r="H52" s="6">
        <v>478.9</v>
      </c>
      <c r="I52" s="6">
        <v>478.2</v>
      </c>
      <c r="J52" s="6">
        <v>477.7</v>
      </c>
      <c r="K52" s="27">
        <v>477.1</v>
      </c>
      <c r="L52" s="6">
        <v>476.9</v>
      </c>
      <c r="M52" s="6">
        <v>475.1</v>
      </c>
      <c r="N52" s="6">
        <v>474.9</v>
      </c>
      <c r="O52" s="6">
        <v>474.3</v>
      </c>
      <c r="P52" s="27">
        <v>474.2</v>
      </c>
      <c r="Q52" s="6">
        <v>473.8</v>
      </c>
      <c r="R52" s="6">
        <v>473.6</v>
      </c>
      <c r="S52" s="6">
        <v>472.3</v>
      </c>
      <c r="T52" s="6">
        <v>472</v>
      </c>
      <c r="U52" s="6"/>
      <c r="AA52" s="6"/>
      <c r="AC52" s="6"/>
      <c r="AD52" s="6"/>
      <c r="AF52" s="6"/>
      <c r="AG52" s="6"/>
      <c r="AI52" s="6"/>
      <c r="AJ52" s="6"/>
      <c r="AK52" s="6"/>
    </row>
    <row r="53" spans="1:37">
      <c r="A53" s="1">
        <v>52</v>
      </c>
      <c r="B53" s="37">
        <v>462.1</v>
      </c>
      <c r="C53" s="37">
        <v>462</v>
      </c>
      <c r="D53" s="37">
        <v>461.6</v>
      </c>
      <c r="E53" s="6">
        <v>461.3</v>
      </c>
      <c r="F53" s="27">
        <v>461.2</v>
      </c>
      <c r="G53" s="6">
        <v>460.9</v>
      </c>
      <c r="H53" s="6">
        <v>460.7</v>
      </c>
      <c r="I53" s="6">
        <v>460.5</v>
      </c>
      <c r="J53" s="6">
        <v>460.3</v>
      </c>
      <c r="K53" s="27">
        <v>460.1</v>
      </c>
      <c r="L53" s="6">
        <v>460.1</v>
      </c>
      <c r="M53" s="6">
        <v>459.7</v>
      </c>
      <c r="N53" s="6">
        <v>459.6</v>
      </c>
      <c r="O53" s="6">
        <v>457.5</v>
      </c>
      <c r="P53" s="27">
        <v>457.3</v>
      </c>
      <c r="Q53" s="6">
        <v>457</v>
      </c>
      <c r="R53" s="6">
        <v>456.8</v>
      </c>
      <c r="S53" s="6">
        <v>456.7</v>
      </c>
      <c r="T53" s="6">
        <v>456.1</v>
      </c>
      <c r="U53" s="6"/>
      <c r="AA53" s="6"/>
      <c r="AC53" s="6"/>
      <c r="AD53" s="6"/>
      <c r="AF53" s="6"/>
      <c r="AG53" s="6"/>
      <c r="AI53" s="6"/>
    </row>
    <row r="54" spans="1:37">
      <c r="A54" s="1">
        <v>53</v>
      </c>
      <c r="B54" s="37">
        <v>457.6</v>
      </c>
      <c r="C54" s="37">
        <v>457.4</v>
      </c>
      <c r="D54" s="37">
        <v>457.3</v>
      </c>
      <c r="E54" s="6">
        <v>457.1</v>
      </c>
      <c r="F54" s="27">
        <v>457</v>
      </c>
      <c r="G54" s="6">
        <v>456.7</v>
      </c>
      <c r="H54" s="6">
        <v>456.6</v>
      </c>
      <c r="I54" s="6">
        <v>456.4</v>
      </c>
      <c r="J54" s="6">
        <v>456.2</v>
      </c>
      <c r="K54" s="27">
        <v>456</v>
      </c>
      <c r="L54" s="6">
        <v>455.9</v>
      </c>
      <c r="M54" s="6">
        <v>455.5</v>
      </c>
      <c r="N54" s="6">
        <v>455.5</v>
      </c>
      <c r="O54" s="6">
        <v>455.2</v>
      </c>
      <c r="P54" s="27">
        <v>455</v>
      </c>
      <c r="Q54" s="6">
        <v>454.8</v>
      </c>
      <c r="R54" s="6">
        <v>454.7</v>
      </c>
      <c r="S54" s="6">
        <v>454.4</v>
      </c>
      <c r="T54" s="6">
        <v>454.3</v>
      </c>
      <c r="U54" s="6"/>
      <c r="AA54" s="6"/>
      <c r="AC54" s="6"/>
      <c r="AD54" s="6"/>
      <c r="AF54" s="6"/>
      <c r="AG54" s="6"/>
      <c r="AI54" s="6"/>
    </row>
    <row r="55" spans="1:37">
      <c r="A55" s="1">
        <v>54</v>
      </c>
      <c r="B55" s="37">
        <v>449.1</v>
      </c>
      <c r="C55" s="37">
        <v>448.8</v>
      </c>
      <c r="D55" s="37">
        <v>448.5</v>
      </c>
      <c r="E55" s="6">
        <v>448.3</v>
      </c>
      <c r="F55" s="27">
        <v>448.1</v>
      </c>
      <c r="G55" s="6">
        <v>480.4</v>
      </c>
      <c r="H55" s="6">
        <v>480.2</v>
      </c>
      <c r="I55" s="6">
        <v>480.1</v>
      </c>
      <c r="J55" s="6">
        <v>479.9</v>
      </c>
      <c r="K55" s="27">
        <v>479.6</v>
      </c>
      <c r="L55" s="6">
        <v>479.3</v>
      </c>
      <c r="M55" s="6">
        <v>479.1</v>
      </c>
      <c r="N55" s="6">
        <v>478.9</v>
      </c>
      <c r="O55" s="6">
        <v>478.7</v>
      </c>
      <c r="P55" s="27">
        <v>478.5</v>
      </c>
      <c r="Q55" s="6">
        <v>478.2</v>
      </c>
      <c r="R55" s="6">
        <v>478</v>
      </c>
      <c r="S55" s="6">
        <v>477.8</v>
      </c>
      <c r="T55" s="6">
        <v>477.4</v>
      </c>
      <c r="U55" s="6"/>
      <c r="AA55" s="6"/>
      <c r="AC55" s="6"/>
      <c r="AD55" s="6"/>
      <c r="AF55" s="6"/>
      <c r="AG55" s="6"/>
      <c r="AI55" s="6"/>
      <c r="AJ55" s="6"/>
    </row>
    <row r="56" spans="1:37">
      <c r="A56" s="1">
        <v>55</v>
      </c>
      <c r="B56" s="37">
        <v>454.9</v>
      </c>
      <c r="C56" s="37">
        <v>454.7</v>
      </c>
      <c r="D56" s="37">
        <v>454.5</v>
      </c>
      <c r="E56" s="6">
        <v>454.2</v>
      </c>
      <c r="F56" s="27">
        <v>454.2</v>
      </c>
      <c r="G56" s="6">
        <v>475.4</v>
      </c>
      <c r="H56" s="6">
        <v>475.2</v>
      </c>
      <c r="I56" s="6">
        <v>475.1</v>
      </c>
      <c r="J56" s="6">
        <v>471.1</v>
      </c>
      <c r="K56" s="27">
        <v>470.8</v>
      </c>
      <c r="L56" s="6">
        <v>470.6</v>
      </c>
      <c r="M56" s="6">
        <v>470.3</v>
      </c>
      <c r="N56" s="6">
        <v>467.8</v>
      </c>
      <c r="O56" s="6">
        <v>467.2</v>
      </c>
      <c r="P56" s="27">
        <v>466.9</v>
      </c>
      <c r="Q56" s="6">
        <v>466.6</v>
      </c>
      <c r="R56" s="6">
        <v>464.9</v>
      </c>
      <c r="S56" s="6">
        <v>463.4</v>
      </c>
      <c r="T56" s="6">
        <v>462.4</v>
      </c>
      <c r="U56" s="6"/>
      <c r="AA56" s="6"/>
      <c r="AC56" s="6"/>
      <c r="AD56" s="6"/>
      <c r="AF56" s="6"/>
      <c r="AG56" s="6"/>
      <c r="AI56" s="6"/>
      <c r="AK56" s="6"/>
    </row>
    <row r="57" spans="1:37">
      <c r="A57" s="1">
        <v>56</v>
      </c>
      <c r="B57" s="37">
        <v>449.5</v>
      </c>
      <c r="C57" s="37">
        <v>449.2</v>
      </c>
      <c r="D57" s="37">
        <v>449.1</v>
      </c>
      <c r="E57" s="6">
        <v>449</v>
      </c>
      <c r="F57" s="27">
        <v>448.9</v>
      </c>
      <c r="G57" s="6">
        <v>473.6</v>
      </c>
      <c r="H57" s="6">
        <v>473.6</v>
      </c>
      <c r="I57" s="6">
        <v>473.6</v>
      </c>
      <c r="J57" s="6">
        <v>473.4</v>
      </c>
      <c r="K57" s="27">
        <v>473.2</v>
      </c>
      <c r="L57" s="6">
        <v>473</v>
      </c>
      <c r="M57" s="6">
        <v>472.8</v>
      </c>
      <c r="N57" s="6">
        <v>472.7</v>
      </c>
      <c r="O57" s="6">
        <v>472.5</v>
      </c>
      <c r="P57" s="27">
        <v>472.3</v>
      </c>
      <c r="Q57" s="6">
        <v>472.1</v>
      </c>
      <c r="R57" s="6">
        <v>471.9</v>
      </c>
      <c r="S57" s="6">
        <v>471.8</v>
      </c>
      <c r="T57" s="6">
        <v>471.6</v>
      </c>
      <c r="U57" s="6"/>
      <c r="AA57" s="6"/>
      <c r="AC57" s="6"/>
      <c r="AD57" s="6"/>
      <c r="AF57" s="6"/>
      <c r="AG57" s="6"/>
      <c r="AI57" s="6"/>
    </row>
    <row r="58" spans="1:37">
      <c r="A58" s="1">
        <v>57</v>
      </c>
      <c r="B58" s="37">
        <v>447.7</v>
      </c>
      <c r="C58" s="37">
        <v>447</v>
      </c>
      <c r="D58" s="37">
        <v>446.9</v>
      </c>
      <c r="E58" s="6">
        <v>446.8</v>
      </c>
      <c r="F58" s="27">
        <v>446.7</v>
      </c>
      <c r="G58" s="6">
        <v>468</v>
      </c>
      <c r="H58" s="6">
        <v>467.9</v>
      </c>
      <c r="I58" s="6">
        <v>467.4</v>
      </c>
      <c r="J58" s="6">
        <v>467.2</v>
      </c>
      <c r="K58" s="27">
        <v>466.6</v>
      </c>
      <c r="L58" s="6">
        <v>466.4</v>
      </c>
      <c r="M58" s="6">
        <v>464.8</v>
      </c>
      <c r="N58" s="6">
        <v>464.6</v>
      </c>
      <c r="O58" s="6">
        <v>463.5</v>
      </c>
      <c r="P58" s="27">
        <v>463.2</v>
      </c>
      <c r="Q58" s="6">
        <v>462.9</v>
      </c>
      <c r="R58" s="6">
        <v>461.6</v>
      </c>
      <c r="S58" s="6">
        <v>461.5</v>
      </c>
      <c r="T58" s="6">
        <v>461</v>
      </c>
      <c r="U58" s="6"/>
      <c r="AA58" s="6"/>
      <c r="AC58" s="6"/>
      <c r="AD58" s="6"/>
      <c r="AF58" s="6"/>
      <c r="AG58" s="6"/>
      <c r="AI58" s="6"/>
    </row>
    <row r="59" spans="1:37">
      <c r="A59" s="1">
        <v>58</v>
      </c>
      <c r="B59" s="37">
        <v>465.9</v>
      </c>
      <c r="C59" s="37">
        <v>464.1</v>
      </c>
      <c r="D59" s="37">
        <v>462.5</v>
      </c>
      <c r="E59" s="6">
        <v>459.4</v>
      </c>
      <c r="F59" s="27">
        <v>459.1</v>
      </c>
      <c r="G59" s="6">
        <v>456.2</v>
      </c>
      <c r="H59" s="6">
        <v>453.3</v>
      </c>
      <c r="I59" s="6">
        <v>451.7</v>
      </c>
      <c r="J59" s="6">
        <v>450</v>
      </c>
      <c r="K59" s="27">
        <v>448.3</v>
      </c>
      <c r="L59" s="6">
        <v>444.9</v>
      </c>
      <c r="M59" s="6">
        <v>441.1</v>
      </c>
      <c r="N59" s="6">
        <v>440.4</v>
      </c>
      <c r="O59" s="6">
        <v>437.1</v>
      </c>
      <c r="P59" s="27">
        <v>460</v>
      </c>
      <c r="Q59" s="6">
        <v>458.6</v>
      </c>
      <c r="R59" s="6">
        <v>457.3</v>
      </c>
      <c r="S59" s="6">
        <v>456.6</v>
      </c>
      <c r="T59" s="6">
        <v>453.2</v>
      </c>
      <c r="U59" s="6"/>
      <c r="AA59" s="6"/>
      <c r="AC59" s="6"/>
      <c r="AD59" s="6"/>
      <c r="AF59" s="6"/>
      <c r="AG59" s="6"/>
      <c r="AI59" s="6"/>
      <c r="AK59" s="6"/>
    </row>
    <row r="60" spans="1:37">
      <c r="A60" s="1">
        <v>59</v>
      </c>
      <c r="B60" s="37">
        <v>459.4</v>
      </c>
      <c r="C60" s="37">
        <v>459.2</v>
      </c>
      <c r="D60" s="37">
        <v>459.1</v>
      </c>
      <c r="E60" s="6">
        <v>458.9</v>
      </c>
      <c r="F60" s="27">
        <v>458.9</v>
      </c>
      <c r="G60" s="6">
        <v>458.6</v>
      </c>
      <c r="H60" s="6">
        <v>458.3</v>
      </c>
      <c r="I60" s="6">
        <v>458.2</v>
      </c>
      <c r="J60" s="6">
        <v>458</v>
      </c>
      <c r="K60" s="27">
        <v>457.8</v>
      </c>
      <c r="L60" s="6">
        <v>457.4</v>
      </c>
      <c r="M60" s="6">
        <v>457.1</v>
      </c>
      <c r="N60" s="6">
        <v>457</v>
      </c>
      <c r="O60" s="6">
        <v>456.9</v>
      </c>
      <c r="P60" s="27">
        <v>456.7</v>
      </c>
      <c r="Q60" s="6">
        <v>456.5</v>
      </c>
      <c r="R60" s="6">
        <v>456.3</v>
      </c>
      <c r="S60" s="6">
        <v>456.2</v>
      </c>
      <c r="T60" s="6">
        <v>456</v>
      </c>
      <c r="U60" s="6"/>
      <c r="AA60" s="6"/>
      <c r="AC60" s="6"/>
      <c r="AD60" s="6"/>
      <c r="AF60" s="6"/>
      <c r="AG60" s="6"/>
      <c r="AI60" s="6"/>
    </row>
    <row r="61" spans="1:37">
      <c r="A61" s="1">
        <v>60</v>
      </c>
      <c r="B61" s="37">
        <v>454.2</v>
      </c>
      <c r="C61" s="37">
        <v>454</v>
      </c>
      <c r="D61" s="37">
        <v>453.7</v>
      </c>
      <c r="E61" s="6">
        <v>453.5</v>
      </c>
      <c r="F61" s="27">
        <v>453.4</v>
      </c>
      <c r="G61" s="6">
        <v>473.2</v>
      </c>
      <c r="H61" s="6">
        <v>473.1</v>
      </c>
      <c r="I61" s="6">
        <v>472.9</v>
      </c>
      <c r="J61" s="6">
        <v>472.7</v>
      </c>
      <c r="K61" s="27">
        <v>472.4</v>
      </c>
      <c r="L61" s="6">
        <v>472.2</v>
      </c>
      <c r="M61" s="6">
        <v>472</v>
      </c>
      <c r="N61" s="6">
        <v>471.9</v>
      </c>
      <c r="O61" s="6">
        <v>471.7</v>
      </c>
      <c r="P61" s="27">
        <v>471.5</v>
      </c>
      <c r="Q61" s="6">
        <v>471.1</v>
      </c>
      <c r="R61" s="6">
        <v>470.9</v>
      </c>
      <c r="S61" s="6">
        <v>470.7</v>
      </c>
      <c r="T61" s="6">
        <v>470.5</v>
      </c>
      <c r="U61" s="6"/>
      <c r="AA61" s="6"/>
      <c r="AC61" s="6"/>
      <c r="AD61" s="6"/>
      <c r="AF61" s="6"/>
      <c r="AG61" s="6"/>
      <c r="AI61" s="6"/>
    </row>
    <row r="62" spans="1:37">
      <c r="A62" t="s">
        <v>71</v>
      </c>
      <c r="B62" s="37">
        <v>456.3</v>
      </c>
      <c r="C62" s="37">
        <v>456.2</v>
      </c>
      <c r="D62" s="37">
        <v>456.1</v>
      </c>
      <c r="E62" s="6">
        <v>455.8</v>
      </c>
      <c r="F62" s="27">
        <v>455.8</v>
      </c>
      <c r="G62" s="6">
        <v>476.4</v>
      </c>
      <c r="H62" s="6">
        <v>476.3</v>
      </c>
      <c r="I62" s="6">
        <v>476.1</v>
      </c>
      <c r="J62" s="6">
        <v>475.9</v>
      </c>
      <c r="K62" s="27">
        <v>475.6</v>
      </c>
      <c r="L62" s="6">
        <v>475.4</v>
      </c>
      <c r="M62" s="6">
        <v>475.1</v>
      </c>
      <c r="N62" s="6">
        <v>474.9</v>
      </c>
      <c r="O62" s="6">
        <v>474.8</v>
      </c>
      <c r="P62" s="27">
        <v>474.6</v>
      </c>
      <c r="Q62" s="6">
        <v>474.3</v>
      </c>
      <c r="R62" s="6">
        <v>474</v>
      </c>
      <c r="S62" s="6">
        <v>473.9</v>
      </c>
      <c r="T62" s="6">
        <v>473.7</v>
      </c>
      <c r="U62" s="6"/>
      <c r="AA62" s="6"/>
      <c r="AC62" s="6"/>
      <c r="AD62" s="6"/>
      <c r="AF62" s="6"/>
      <c r="AG62" s="6"/>
      <c r="AI62" s="6"/>
      <c r="AK62" s="6"/>
    </row>
    <row r="63" spans="1:37" s="9" customFormat="1">
      <c r="A63" s="9" t="s">
        <v>72</v>
      </c>
      <c r="B63" s="79">
        <v>458.3</v>
      </c>
      <c r="C63" s="79">
        <v>458</v>
      </c>
      <c r="D63" s="79">
        <v>457.9</v>
      </c>
      <c r="E63" s="14">
        <v>457.8</v>
      </c>
      <c r="F63" s="28">
        <v>457.7</v>
      </c>
      <c r="G63" s="14">
        <v>457.4</v>
      </c>
      <c r="H63" s="14">
        <v>457.1</v>
      </c>
      <c r="I63" s="14">
        <v>457</v>
      </c>
      <c r="J63" s="14">
        <v>456.8</v>
      </c>
      <c r="K63" s="28">
        <v>456.5</v>
      </c>
      <c r="L63" s="14">
        <v>456.4</v>
      </c>
      <c r="M63" s="14">
        <v>455.9</v>
      </c>
      <c r="N63" s="14">
        <v>455.9</v>
      </c>
      <c r="O63" s="14">
        <v>455.8</v>
      </c>
      <c r="P63" s="28">
        <v>455.6</v>
      </c>
      <c r="Q63" s="14">
        <v>455.4</v>
      </c>
      <c r="R63" s="14">
        <v>455.2</v>
      </c>
      <c r="S63" s="14">
        <v>455</v>
      </c>
      <c r="T63" s="14">
        <v>454.8</v>
      </c>
      <c r="U63" s="14"/>
      <c r="AA63" s="14"/>
      <c r="AC63" s="14"/>
      <c r="AD63" s="14"/>
      <c r="AF63" s="14"/>
      <c r="AG63" s="14"/>
      <c r="AI63" s="14"/>
    </row>
    <row r="64" spans="1:37">
      <c r="A64" t="s">
        <v>73</v>
      </c>
      <c r="B64" s="37">
        <v>499.9</v>
      </c>
      <c r="C64" s="37">
        <v>500</v>
      </c>
      <c r="D64" s="37">
        <v>500</v>
      </c>
      <c r="E64" s="6">
        <v>500</v>
      </c>
      <c r="F64" s="27">
        <v>500</v>
      </c>
      <c r="G64" s="6">
        <v>500</v>
      </c>
      <c r="H64" s="6">
        <v>500</v>
      </c>
      <c r="I64" s="6">
        <v>500</v>
      </c>
      <c r="J64" s="6">
        <v>500</v>
      </c>
      <c r="K64" s="27">
        <v>500</v>
      </c>
      <c r="L64" s="6">
        <v>500</v>
      </c>
      <c r="M64" s="6">
        <v>500</v>
      </c>
      <c r="N64" s="6">
        <v>500</v>
      </c>
      <c r="O64" s="6">
        <v>500</v>
      </c>
      <c r="P64" s="27">
        <v>500</v>
      </c>
      <c r="Q64" s="6">
        <v>500</v>
      </c>
      <c r="R64" s="6">
        <v>500</v>
      </c>
      <c r="S64" s="6">
        <v>500</v>
      </c>
      <c r="T64" s="6">
        <v>499.9</v>
      </c>
      <c r="U64" s="6"/>
      <c r="AA64" s="6"/>
      <c r="AC64" s="6"/>
      <c r="AD64" s="6"/>
      <c r="AF64" s="6"/>
      <c r="AG64" s="6"/>
      <c r="AI64" s="6"/>
      <c r="AJ64" s="6"/>
      <c r="AK64" s="6"/>
    </row>
    <row r="65" spans="1:20">
      <c r="A65" t="s">
        <v>77</v>
      </c>
      <c r="B65" s="37">
        <f>500-B64</f>
        <v>0.10000000000002274</v>
      </c>
      <c r="C65" s="37">
        <f t="shared" ref="C65:T65" si="0">500-C64</f>
        <v>0</v>
      </c>
      <c r="D65" s="37">
        <f t="shared" si="0"/>
        <v>0</v>
      </c>
      <c r="E65" s="37">
        <f t="shared" si="0"/>
        <v>0</v>
      </c>
      <c r="F65" s="37">
        <f t="shared" si="0"/>
        <v>0</v>
      </c>
      <c r="G65" s="37">
        <f t="shared" si="0"/>
        <v>0</v>
      </c>
      <c r="H65" s="37">
        <f t="shared" si="0"/>
        <v>0</v>
      </c>
      <c r="I65" s="37">
        <f t="shared" si="0"/>
        <v>0</v>
      </c>
      <c r="J65" s="37">
        <f t="shared" si="0"/>
        <v>0</v>
      </c>
      <c r="K65" s="37">
        <f t="shared" si="0"/>
        <v>0</v>
      </c>
      <c r="L65" s="37">
        <f t="shared" si="0"/>
        <v>0</v>
      </c>
      <c r="M65" s="37">
        <f t="shared" si="0"/>
        <v>0</v>
      </c>
      <c r="N65" s="37">
        <f t="shared" si="0"/>
        <v>0</v>
      </c>
      <c r="O65" s="37">
        <f t="shared" si="0"/>
        <v>0</v>
      </c>
      <c r="P65" s="37">
        <f t="shared" si="0"/>
        <v>0</v>
      </c>
      <c r="Q65" s="37">
        <f t="shared" si="0"/>
        <v>0</v>
      </c>
      <c r="R65" s="37">
        <f t="shared" si="0"/>
        <v>0</v>
      </c>
      <c r="S65" s="37">
        <f t="shared" si="0"/>
        <v>0</v>
      </c>
      <c r="T65" s="37">
        <f t="shared" si="0"/>
        <v>0.10000000000002274</v>
      </c>
    </row>
    <row r="66" spans="1:20">
      <c r="B66" s="23"/>
      <c r="C66" s="23"/>
      <c r="D66" s="23"/>
    </row>
    <row r="67" spans="1:20">
      <c r="B67" s="23"/>
      <c r="C67" s="23"/>
      <c r="D67" s="23"/>
    </row>
    <row r="68" spans="1:20">
      <c r="B68" s="23"/>
      <c r="C68" s="23"/>
      <c r="D68" s="23"/>
    </row>
    <row r="69" spans="1:20">
      <c r="B69" s="23"/>
      <c r="C69" s="23"/>
      <c r="D69" s="23"/>
    </row>
    <row r="70" spans="1:20">
      <c r="B70" s="23"/>
      <c r="C70" s="23"/>
      <c r="D70" s="23"/>
    </row>
    <row r="71" spans="1:20">
      <c r="B71" s="23"/>
      <c r="C71" s="23"/>
      <c r="D71" s="23"/>
    </row>
    <row r="72" spans="1:20">
      <c r="B72" s="23"/>
      <c r="C72" s="23"/>
      <c r="D72" s="23"/>
    </row>
    <row r="73" spans="1:20">
      <c r="B73" s="23"/>
      <c r="C73" s="23"/>
      <c r="D73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19B5-4029-4983-A265-AB6AE4B1567D}">
  <dimension ref="A1:AK156"/>
  <sheetViews>
    <sheetView workbookViewId="0">
      <pane xSplit="1" topLeftCell="B1" activePane="topRight" state="frozen"/>
      <selection pane="topRight" activeCell="B2" sqref="B2"/>
    </sheetView>
  </sheetViews>
  <sheetFormatPr defaultColWidth="7.453125" defaultRowHeight="14.5"/>
  <cols>
    <col min="2" max="5" width="7.453125" customWidth="1"/>
    <col min="6" max="6" width="7.453125" style="16" customWidth="1"/>
    <col min="7" max="10" width="7.453125" customWidth="1"/>
    <col min="11" max="11" width="7.453125" style="16" customWidth="1"/>
    <col min="12" max="15" width="7.453125" customWidth="1"/>
    <col min="16" max="16" width="7.453125" style="16" customWidth="1"/>
    <col min="17" max="19" width="7.453125" customWidth="1"/>
    <col min="21" max="21" width="7.453125" style="16"/>
  </cols>
  <sheetData>
    <row r="1" spans="1:36" s="3" customFormat="1">
      <c r="A1" s="3" t="s">
        <v>1</v>
      </c>
      <c r="B1" s="32">
        <v>45957</v>
      </c>
      <c r="C1" s="32">
        <v>45958</v>
      </c>
      <c r="D1" s="32">
        <v>45959</v>
      </c>
      <c r="E1" s="32">
        <v>45960</v>
      </c>
      <c r="F1" s="66">
        <v>45961</v>
      </c>
      <c r="G1" s="30">
        <v>45964</v>
      </c>
      <c r="H1" s="30">
        <v>45965</v>
      </c>
      <c r="I1" s="30">
        <v>45966</v>
      </c>
      <c r="J1" s="30">
        <v>45967</v>
      </c>
      <c r="K1" s="31">
        <v>45968</v>
      </c>
      <c r="L1" s="30">
        <v>45971</v>
      </c>
      <c r="M1" s="30">
        <v>45972</v>
      </c>
      <c r="N1" s="30">
        <v>45973</v>
      </c>
      <c r="O1" s="30">
        <v>45974</v>
      </c>
      <c r="P1" s="31">
        <v>45975</v>
      </c>
      <c r="Q1" s="30">
        <v>45978</v>
      </c>
      <c r="R1" s="30">
        <v>45979</v>
      </c>
      <c r="S1" s="30">
        <v>45980</v>
      </c>
      <c r="T1" s="30">
        <v>45981</v>
      </c>
      <c r="U1" s="31"/>
    </row>
    <row r="2" spans="1:36">
      <c r="A2" s="1">
        <v>1</v>
      </c>
      <c r="B2" s="23">
        <v>473.3</v>
      </c>
      <c r="C2" s="23">
        <v>473.3</v>
      </c>
      <c r="D2" s="37">
        <v>472</v>
      </c>
      <c r="E2">
        <v>471.9</v>
      </c>
      <c r="F2" s="16">
        <v>471.8</v>
      </c>
      <c r="G2">
        <v>471.4</v>
      </c>
      <c r="H2">
        <v>471.2</v>
      </c>
      <c r="I2">
        <v>476.8</v>
      </c>
      <c r="J2">
        <v>472.7</v>
      </c>
      <c r="K2" s="16">
        <v>472.4</v>
      </c>
      <c r="L2">
        <v>471.2</v>
      </c>
      <c r="M2">
        <v>469.5</v>
      </c>
      <c r="N2">
        <v>468.4</v>
      </c>
      <c r="O2">
        <v>468.2</v>
      </c>
      <c r="P2" s="16">
        <v>468.2</v>
      </c>
      <c r="Q2">
        <v>464.5</v>
      </c>
      <c r="R2">
        <v>464.3</v>
      </c>
      <c r="S2">
        <v>463.7</v>
      </c>
      <c r="T2">
        <v>462.8</v>
      </c>
      <c r="U2" s="27"/>
      <c r="Z2" s="6"/>
      <c r="AG2" s="6"/>
      <c r="AI2" s="6"/>
    </row>
    <row r="3" spans="1:36">
      <c r="A3" s="1">
        <v>2</v>
      </c>
      <c r="B3" s="23">
        <v>468.2</v>
      </c>
      <c r="C3" s="23">
        <v>468</v>
      </c>
      <c r="D3" s="23">
        <v>467.9</v>
      </c>
      <c r="E3">
        <v>467.7</v>
      </c>
      <c r="F3" s="16">
        <v>467.6</v>
      </c>
      <c r="G3">
        <v>467.2</v>
      </c>
      <c r="H3">
        <v>466.9</v>
      </c>
      <c r="I3">
        <v>482.4</v>
      </c>
      <c r="J3">
        <v>482.3</v>
      </c>
      <c r="K3" s="16">
        <v>482.1</v>
      </c>
      <c r="L3">
        <v>481.8</v>
      </c>
      <c r="M3">
        <v>481.7</v>
      </c>
      <c r="N3">
        <v>481.3</v>
      </c>
      <c r="O3">
        <v>481.3</v>
      </c>
      <c r="P3" s="16">
        <v>481.2</v>
      </c>
      <c r="Q3">
        <v>480.9</v>
      </c>
      <c r="R3">
        <v>480.7</v>
      </c>
      <c r="S3">
        <v>480.6</v>
      </c>
      <c r="T3">
        <v>480.3</v>
      </c>
      <c r="U3" s="27"/>
      <c r="Z3" s="6"/>
      <c r="AG3" s="6"/>
      <c r="AH3" s="6"/>
      <c r="AI3" s="6"/>
    </row>
    <row r="4" spans="1:36">
      <c r="A4" s="1">
        <v>3</v>
      </c>
      <c r="B4" s="23">
        <v>468.3</v>
      </c>
      <c r="C4" s="23">
        <v>468.2</v>
      </c>
      <c r="D4" s="37">
        <v>468</v>
      </c>
      <c r="E4">
        <v>467.8</v>
      </c>
      <c r="F4" s="16">
        <v>467.7</v>
      </c>
      <c r="G4">
        <v>467.4</v>
      </c>
      <c r="H4">
        <v>467.2</v>
      </c>
      <c r="I4" s="6">
        <v>467</v>
      </c>
      <c r="J4">
        <v>466.5</v>
      </c>
      <c r="K4" s="16">
        <v>466.4</v>
      </c>
      <c r="L4" s="6">
        <v>466</v>
      </c>
      <c r="M4">
        <v>465.8</v>
      </c>
      <c r="N4">
        <v>465.5</v>
      </c>
      <c r="O4">
        <v>465.3</v>
      </c>
      <c r="P4" s="16">
        <v>477.1</v>
      </c>
      <c r="Q4">
        <v>476.8</v>
      </c>
      <c r="R4">
        <v>476.6</v>
      </c>
      <c r="S4">
        <v>476.5</v>
      </c>
      <c r="T4">
        <v>476.3</v>
      </c>
      <c r="U4" s="27"/>
      <c r="Z4" s="6"/>
      <c r="AG4" s="6"/>
      <c r="AI4" s="6"/>
    </row>
    <row r="5" spans="1:36">
      <c r="A5" s="1">
        <v>4</v>
      </c>
      <c r="B5" s="23">
        <v>477.9</v>
      </c>
      <c r="C5" s="23">
        <v>477.7</v>
      </c>
      <c r="D5" s="23">
        <v>477.5</v>
      </c>
      <c r="E5">
        <v>477.4</v>
      </c>
      <c r="F5" s="16">
        <v>477.2</v>
      </c>
      <c r="G5">
        <v>476.8</v>
      </c>
      <c r="H5">
        <v>476.7</v>
      </c>
      <c r="I5">
        <v>476.5</v>
      </c>
      <c r="J5">
        <v>475.9</v>
      </c>
      <c r="K5" s="16">
        <v>475.8</v>
      </c>
      <c r="L5">
        <v>475.5</v>
      </c>
      <c r="M5">
        <v>475.3</v>
      </c>
      <c r="N5">
        <v>475.1</v>
      </c>
      <c r="O5">
        <v>474.8</v>
      </c>
      <c r="P5" s="16">
        <v>474.7</v>
      </c>
      <c r="Q5">
        <v>474.4</v>
      </c>
      <c r="R5">
        <v>474.2</v>
      </c>
      <c r="S5" s="6">
        <v>474</v>
      </c>
      <c r="T5">
        <v>473.9</v>
      </c>
      <c r="U5" s="27"/>
      <c r="Z5" s="6"/>
      <c r="AG5" s="6"/>
      <c r="AI5" s="6"/>
    </row>
    <row r="6" spans="1:36">
      <c r="A6" s="1">
        <v>5</v>
      </c>
      <c r="B6" s="23">
        <v>479.7</v>
      </c>
      <c r="C6" s="23">
        <v>479.5</v>
      </c>
      <c r="D6" s="23">
        <v>478.7</v>
      </c>
      <c r="E6">
        <v>478.6</v>
      </c>
      <c r="F6" s="16">
        <v>478.5</v>
      </c>
      <c r="G6">
        <v>475.8</v>
      </c>
      <c r="H6">
        <v>471</v>
      </c>
      <c r="I6">
        <v>467.2</v>
      </c>
      <c r="J6" s="6">
        <v>467</v>
      </c>
      <c r="K6" s="16">
        <v>465.7</v>
      </c>
      <c r="L6">
        <v>464.1</v>
      </c>
      <c r="M6" s="6">
        <v>464</v>
      </c>
      <c r="N6">
        <v>463.3</v>
      </c>
      <c r="O6">
        <v>463.2</v>
      </c>
      <c r="P6" s="16">
        <v>475.2</v>
      </c>
      <c r="Q6">
        <v>474.7</v>
      </c>
      <c r="R6">
        <v>474.5</v>
      </c>
      <c r="S6">
        <v>474.3</v>
      </c>
      <c r="T6">
        <v>474.1</v>
      </c>
      <c r="U6" s="27"/>
      <c r="Z6" s="6"/>
      <c r="AG6" s="6"/>
      <c r="AI6" s="6"/>
    </row>
    <row r="7" spans="1:36">
      <c r="A7" s="1">
        <v>6</v>
      </c>
      <c r="B7" s="23">
        <v>457.2</v>
      </c>
      <c r="C7" s="23">
        <v>457</v>
      </c>
      <c r="D7" s="23">
        <v>456.7</v>
      </c>
      <c r="E7">
        <v>456.5</v>
      </c>
      <c r="F7" s="16">
        <v>456.2</v>
      </c>
      <c r="G7">
        <v>473.4</v>
      </c>
      <c r="H7">
        <v>473.2</v>
      </c>
      <c r="I7">
        <v>473.1</v>
      </c>
      <c r="J7">
        <v>472.9</v>
      </c>
      <c r="K7" s="16">
        <v>470.8</v>
      </c>
      <c r="L7">
        <v>470.5</v>
      </c>
      <c r="M7">
        <v>470.1</v>
      </c>
      <c r="N7">
        <v>469.9</v>
      </c>
      <c r="O7">
        <v>469.3</v>
      </c>
      <c r="P7" s="16">
        <v>469.2</v>
      </c>
      <c r="Q7">
        <v>468.5</v>
      </c>
      <c r="R7">
        <v>466.2</v>
      </c>
      <c r="S7">
        <v>466.1</v>
      </c>
      <c r="T7">
        <v>465.6</v>
      </c>
      <c r="U7" s="27"/>
      <c r="Z7" s="6"/>
      <c r="AG7" s="6"/>
      <c r="AI7" s="6"/>
    </row>
    <row r="8" spans="1:36">
      <c r="A8" s="1">
        <v>7</v>
      </c>
      <c r="B8" s="23">
        <v>464.6</v>
      </c>
      <c r="C8" s="23">
        <v>464.4</v>
      </c>
      <c r="D8" s="23">
        <v>464.3</v>
      </c>
      <c r="E8">
        <v>464.1</v>
      </c>
      <c r="F8" s="16">
        <v>463.8</v>
      </c>
      <c r="G8">
        <v>463.5</v>
      </c>
      <c r="H8">
        <v>463.3</v>
      </c>
      <c r="I8">
        <v>472.1</v>
      </c>
      <c r="J8">
        <v>471.9</v>
      </c>
      <c r="K8" s="16">
        <v>471.6</v>
      </c>
      <c r="L8">
        <v>471.4</v>
      </c>
      <c r="M8">
        <v>471.1</v>
      </c>
      <c r="N8">
        <v>470.9</v>
      </c>
      <c r="O8">
        <v>470.8</v>
      </c>
      <c r="P8" s="16">
        <v>470.7</v>
      </c>
      <c r="Q8">
        <v>470.4</v>
      </c>
      <c r="R8">
        <v>470.2</v>
      </c>
      <c r="S8" s="6">
        <v>470</v>
      </c>
      <c r="T8">
        <v>469.8</v>
      </c>
      <c r="U8" s="27"/>
      <c r="Z8" s="6"/>
      <c r="AG8" s="6"/>
      <c r="AI8" s="6"/>
    </row>
    <row r="9" spans="1:36">
      <c r="A9" s="1">
        <v>8</v>
      </c>
      <c r="B9" s="23">
        <v>479.3</v>
      </c>
      <c r="C9" s="23">
        <v>479.1</v>
      </c>
      <c r="D9" s="23">
        <v>478.8</v>
      </c>
      <c r="E9">
        <v>478.6</v>
      </c>
      <c r="F9" s="16">
        <v>478.4</v>
      </c>
      <c r="G9">
        <v>478.1</v>
      </c>
      <c r="H9">
        <v>478</v>
      </c>
      <c r="I9">
        <v>477.7</v>
      </c>
      <c r="J9">
        <v>477.5</v>
      </c>
      <c r="K9" s="16">
        <v>477.2</v>
      </c>
      <c r="L9">
        <v>476.9</v>
      </c>
      <c r="M9">
        <v>476.8</v>
      </c>
      <c r="N9">
        <v>476.5</v>
      </c>
      <c r="O9">
        <v>476.3</v>
      </c>
      <c r="P9" s="16">
        <v>476.1</v>
      </c>
      <c r="Q9">
        <v>475.8</v>
      </c>
      <c r="R9">
        <v>475.5</v>
      </c>
      <c r="S9">
        <v>475.4</v>
      </c>
      <c r="T9">
        <v>475.2</v>
      </c>
      <c r="U9" s="27"/>
      <c r="Z9" s="6"/>
      <c r="AG9" s="6"/>
      <c r="AI9" s="6"/>
    </row>
    <row r="10" spans="1:36">
      <c r="A10" s="1">
        <v>9</v>
      </c>
      <c r="B10" s="23">
        <v>478.8</v>
      </c>
      <c r="C10" s="23">
        <v>477.4</v>
      </c>
      <c r="D10" s="23">
        <v>472.3</v>
      </c>
      <c r="E10" s="6">
        <v>472</v>
      </c>
      <c r="F10" s="16">
        <v>470.9</v>
      </c>
      <c r="G10">
        <v>469.5</v>
      </c>
      <c r="H10" s="23">
        <v>464.3</v>
      </c>
      <c r="I10">
        <v>460.6</v>
      </c>
      <c r="J10">
        <v>459.1</v>
      </c>
      <c r="K10" s="16">
        <v>455.4</v>
      </c>
      <c r="L10">
        <v>474.8</v>
      </c>
      <c r="M10">
        <v>470.4</v>
      </c>
      <c r="N10">
        <v>465.2</v>
      </c>
      <c r="O10">
        <v>464.5</v>
      </c>
      <c r="P10" s="16">
        <v>460.9</v>
      </c>
      <c r="Q10">
        <v>454.6</v>
      </c>
      <c r="R10">
        <v>454.2</v>
      </c>
      <c r="S10">
        <v>449.5</v>
      </c>
      <c r="T10">
        <v>445.9</v>
      </c>
      <c r="U10" s="27"/>
      <c r="Z10" s="6"/>
      <c r="AG10" s="6"/>
      <c r="AI10" s="6"/>
      <c r="AJ10" s="6"/>
    </row>
    <row r="11" spans="1:36">
      <c r="A11" s="1">
        <v>10</v>
      </c>
      <c r="B11" s="23">
        <v>471.8</v>
      </c>
      <c r="C11" s="23">
        <v>470.8</v>
      </c>
      <c r="D11" s="23">
        <v>468.3</v>
      </c>
      <c r="E11" s="23">
        <v>466.9</v>
      </c>
      <c r="F11" s="16">
        <v>466.7</v>
      </c>
      <c r="G11">
        <v>463.8</v>
      </c>
      <c r="H11" s="23">
        <v>462.9</v>
      </c>
      <c r="I11" s="6">
        <v>477</v>
      </c>
      <c r="J11">
        <v>476.3</v>
      </c>
      <c r="K11" s="16">
        <v>467.6</v>
      </c>
      <c r="L11">
        <v>466.6</v>
      </c>
      <c r="M11">
        <v>464.8</v>
      </c>
      <c r="N11">
        <v>460.7</v>
      </c>
      <c r="O11">
        <v>457.6</v>
      </c>
      <c r="P11" s="16">
        <v>474.3</v>
      </c>
      <c r="Q11">
        <v>470.5</v>
      </c>
      <c r="R11">
        <v>468.4</v>
      </c>
      <c r="S11">
        <v>465.9</v>
      </c>
      <c r="T11">
        <v>463.7</v>
      </c>
      <c r="U11" s="27"/>
      <c r="Z11" s="6"/>
      <c r="AG11" s="6"/>
      <c r="AI11" s="6"/>
    </row>
    <row r="12" spans="1:36">
      <c r="A12" s="1">
        <v>11</v>
      </c>
      <c r="B12" s="23">
        <v>472.9</v>
      </c>
      <c r="C12" s="23">
        <v>472.6</v>
      </c>
      <c r="D12" s="23">
        <v>471.5</v>
      </c>
      <c r="E12">
        <v>471.3</v>
      </c>
      <c r="F12" s="16">
        <v>470.9</v>
      </c>
      <c r="G12">
        <v>470.4</v>
      </c>
      <c r="H12">
        <v>469.8</v>
      </c>
      <c r="I12">
        <v>482.7</v>
      </c>
      <c r="J12">
        <v>482.5</v>
      </c>
      <c r="K12" s="16">
        <v>482.3</v>
      </c>
      <c r="L12">
        <v>481.4</v>
      </c>
      <c r="M12">
        <v>481.3</v>
      </c>
      <c r="N12">
        <v>480.8</v>
      </c>
      <c r="O12">
        <v>480.7</v>
      </c>
      <c r="P12" s="16">
        <v>480.6</v>
      </c>
      <c r="Q12">
        <v>479.4</v>
      </c>
      <c r="R12">
        <v>479.2</v>
      </c>
      <c r="S12">
        <v>478.6</v>
      </c>
      <c r="T12">
        <v>478.1</v>
      </c>
      <c r="U12" s="27"/>
      <c r="Z12" s="6"/>
      <c r="AG12" s="6"/>
      <c r="AI12" s="6"/>
    </row>
    <row r="13" spans="1:36">
      <c r="A13" s="1">
        <v>12</v>
      </c>
      <c r="B13" s="23">
        <v>469.4</v>
      </c>
      <c r="C13" s="23">
        <v>468.8</v>
      </c>
      <c r="D13" s="23">
        <v>468.7</v>
      </c>
      <c r="E13">
        <v>461.9</v>
      </c>
      <c r="F13" s="16">
        <v>461.7</v>
      </c>
      <c r="G13">
        <v>461</v>
      </c>
      <c r="H13">
        <v>458.9</v>
      </c>
      <c r="I13">
        <v>466.9</v>
      </c>
      <c r="J13">
        <v>466.7</v>
      </c>
      <c r="K13" s="16">
        <v>465.6</v>
      </c>
      <c r="L13">
        <v>464.9</v>
      </c>
      <c r="M13">
        <v>462.9</v>
      </c>
      <c r="N13" s="6">
        <v>459</v>
      </c>
      <c r="O13">
        <v>458.7</v>
      </c>
      <c r="P13" s="16">
        <v>476.6</v>
      </c>
      <c r="Q13">
        <v>471.9</v>
      </c>
      <c r="R13">
        <v>469.7</v>
      </c>
      <c r="S13">
        <v>467.7</v>
      </c>
      <c r="T13">
        <v>466.2</v>
      </c>
      <c r="U13" s="27"/>
      <c r="Z13" s="6"/>
      <c r="AG13" s="6"/>
      <c r="AH13" s="6"/>
      <c r="AI13" s="6"/>
    </row>
    <row r="14" spans="1:36">
      <c r="A14" s="1">
        <v>13</v>
      </c>
      <c r="B14" s="23">
        <v>485.1</v>
      </c>
      <c r="C14" s="23">
        <v>484.2</v>
      </c>
      <c r="D14" s="37">
        <v>484</v>
      </c>
      <c r="E14">
        <v>483.9</v>
      </c>
      <c r="F14" s="16">
        <v>483.5</v>
      </c>
      <c r="G14">
        <v>482.5</v>
      </c>
      <c r="H14">
        <v>480.6</v>
      </c>
      <c r="I14">
        <v>480.4</v>
      </c>
      <c r="J14">
        <v>480.1</v>
      </c>
      <c r="K14" s="16">
        <v>479.9</v>
      </c>
      <c r="L14">
        <v>478.5</v>
      </c>
      <c r="M14">
        <v>477.9</v>
      </c>
      <c r="N14">
        <v>477.2</v>
      </c>
      <c r="O14">
        <v>477.1</v>
      </c>
      <c r="P14" s="16">
        <v>476.6</v>
      </c>
      <c r="Q14">
        <v>471.4</v>
      </c>
      <c r="R14">
        <v>469.1</v>
      </c>
      <c r="S14">
        <v>463.8</v>
      </c>
      <c r="T14">
        <v>463.3</v>
      </c>
      <c r="U14" s="27"/>
      <c r="Z14" s="6"/>
      <c r="AG14" s="6"/>
      <c r="AI14" s="6"/>
    </row>
    <row r="15" spans="1:36">
      <c r="A15" s="1">
        <v>14</v>
      </c>
      <c r="B15" s="23">
        <v>463.2</v>
      </c>
      <c r="C15" s="23">
        <v>463</v>
      </c>
      <c r="D15" s="37">
        <v>462</v>
      </c>
      <c r="E15">
        <v>461.4</v>
      </c>
      <c r="F15" s="16">
        <v>461.1</v>
      </c>
      <c r="G15">
        <v>460.1</v>
      </c>
      <c r="H15">
        <v>459.2</v>
      </c>
      <c r="I15">
        <v>458.8</v>
      </c>
      <c r="J15">
        <v>458.5</v>
      </c>
      <c r="K15" s="16">
        <v>458.3</v>
      </c>
      <c r="L15" s="6">
        <v>458</v>
      </c>
      <c r="M15">
        <v>457.7</v>
      </c>
      <c r="N15">
        <v>456.4</v>
      </c>
      <c r="O15">
        <v>456.1</v>
      </c>
      <c r="P15" s="16">
        <v>466.7</v>
      </c>
      <c r="Q15">
        <v>466.3</v>
      </c>
      <c r="R15">
        <v>466.1</v>
      </c>
      <c r="S15">
        <v>465.2</v>
      </c>
      <c r="T15">
        <v>464.3</v>
      </c>
      <c r="U15" s="27"/>
      <c r="Z15" s="6"/>
      <c r="AG15" s="6"/>
      <c r="AI15" s="6"/>
    </row>
    <row r="16" spans="1:36">
      <c r="A16" s="1">
        <v>15</v>
      </c>
      <c r="B16" s="23">
        <v>460.3</v>
      </c>
      <c r="C16" s="23">
        <v>459.8</v>
      </c>
      <c r="D16" s="23">
        <v>458.5</v>
      </c>
      <c r="E16">
        <v>455.4</v>
      </c>
      <c r="F16" s="16">
        <v>453.2</v>
      </c>
      <c r="G16">
        <v>452.1</v>
      </c>
      <c r="H16">
        <v>451.9</v>
      </c>
      <c r="I16">
        <v>465.2</v>
      </c>
      <c r="J16" s="6">
        <v>464</v>
      </c>
      <c r="K16" s="16">
        <v>463.8</v>
      </c>
      <c r="L16">
        <v>463.5</v>
      </c>
      <c r="M16">
        <v>461.7</v>
      </c>
      <c r="N16">
        <v>461.3</v>
      </c>
      <c r="O16">
        <v>461.1</v>
      </c>
      <c r="P16" s="16">
        <v>460.9</v>
      </c>
      <c r="Q16">
        <v>458.3</v>
      </c>
      <c r="R16">
        <v>457.9</v>
      </c>
      <c r="S16">
        <v>454.7</v>
      </c>
      <c r="T16">
        <v>454.5</v>
      </c>
      <c r="U16" s="27"/>
      <c r="Z16" s="6"/>
      <c r="AG16" s="6"/>
      <c r="AI16" s="6"/>
    </row>
    <row r="17" spans="1:36">
      <c r="A17" s="1">
        <v>16</v>
      </c>
      <c r="B17" s="23">
        <v>471.5</v>
      </c>
      <c r="C17" s="23">
        <v>470</v>
      </c>
      <c r="D17" s="23">
        <v>463.4</v>
      </c>
      <c r="E17">
        <v>461.1</v>
      </c>
      <c r="F17" s="16">
        <v>458.7</v>
      </c>
      <c r="G17">
        <v>457.8</v>
      </c>
      <c r="H17">
        <v>457.2</v>
      </c>
      <c r="I17">
        <v>473.2</v>
      </c>
      <c r="J17">
        <v>472.6</v>
      </c>
      <c r="K17" s="16">
        <v>472.1</v>
      </c>
      <c r="L17">
        <v>471.7</v>
      </c>
      <c r="M17">
        <v>468.1</v>
      </c>
      <c r="N17">
        <v>465.5</v>
      </c>
      <c r="O17">
        <v>465.2</v>
      </c>
      <c r="P17" s="16">
        <v>472.5</v>
      </c>
      <c r="Q17">
        <v>469.8</v>
      </c>
      <c r="R17">
        <v>469.3</v>
      </c>
      <c r="S17">
        <v>468.3</v>
      </c>
      <c r="T17">
        <v>467.5</v>
      </c>
      <c r="U17" s="27"/>
      <c r="Z17" s="6"/>
      <c r="AG17" s="6"/>
      <c r="AI17" s="6"/>
    </row>
    <row r="18" spans="1:36">
      <c r="A18" s="1">
        <v>17</v>
      </c>
      <c r="B18" s="23">
        <v>460.2</v>
      </c>
      <c r="C18" s="23">
        <v>459.9</v>
      </c>
      <c r="D18" s="23">
        <v>459.7</v>
      </c>
      <c r="E18">
        <v>459.5</v>
      </c>
      <c r="F18" s="16">
        <v>459.2</v>
      </c>
      <c r="G18">
        <v>458.9</v>
      </c>
      <c r="H18">
        <v>458.7</v>
      </c>
      <c r="I18">
        <v>475.7</v>
      </c>
      <c r="J18">
        <v>475.5</v>
      </c>
      <c r="K18" s="16">
        <v>475.4</v>
      </c>
      <c r="L18" s="6">
        <v>475</v>
      </c>
      <c r="M18">
        <v>474.7</v>
      </c>
      <c r="N18">
        <v>474.5</v>
      </c>
      <c r="O18">
        <v>474.4</v>
      </c>
      <c r="P18" s="16">
        <v>474.3</v>
      </c>
      <c r="Q18" s="6">
        <v>474</v>
      </c>
      <c r="R18">
        <v>473.8</v>
      </c>
      <c r="S18">
        <v>473.6</v>
      </c>
      <c r="T18">
        <v>473.4</v>
      </c>
      <c r="U18" s="27"/>
      <c r="Z18" s="6"/>
      <c r="AG18" s="6"/>
      <c r="AH18" s="6"/>
      <c r="AI18" s="6"/>
      <c r="AJ18" s="6"/>
    </row>
    <row r="19" spans="1:36">
      <c r="A19" s="1">
        <v>18</v>
      </c>
      <c r="B19" s="23">
        <v>453.1</v>
      </c>
      <c r="C19" s="23">
        <v>452.8</v>
      </c>
      <c r="D19" s="23">
        <v>452.7</v>
      </c>
      <c r="E19">
        <v>452.5</v>
      </c>
      <c r="F19" s="16">
        <v>452.1</v>
      </c>
      <c r="G19">
        <v>451.8</v>
      </c>
      <c r="H19">
        <v>451.3</v>
      </c>
      <c r="I19">
        <v>451.1</v>
      </c>
      <c r="J19">
        <v>450.7</v>
      </c>
      <c r="K19" s="16">
        <v>450.4</v>
      </c>
      <c r="L19" s="6">
        <v>450</v>
      </c>
      <c r="M19">
        <v>449.8</v>
      </c>
      <c r="N19">
        <v>449.4</v>
      </c>
      <c r="O19">
        <v>449.3</v>
      </c>
      <c r="P19" s="16">
        <v>465.9</v>
      </c>
      <c r="Q19">
        <v>465.5</v>
      </c>
      <c r="R19">
        <v>465.2</v>
      </c>
      <c r="S19">
        <v>465.1</v>
      </c>
      <c r="T19">
        <v>464.9</v>
      </c>
      <c r="U19" s="27"/>
      <c r="Z19" s="6"/>
      <c r="AG19" s="6"/>
      <c r="AI19" s="6"/>
    </row>
    <row r="20" spans="1:36">
      <c r="A20" s="1">
        <v>19</v>
      </c>
      <c r="B20" s="23">
        <v>462.3</v>
      </c>
      <c r="C20" s="23">
        <v>462.1</v>
      </c>
      <c r="D20" s="23">
        <v>459.6</v>
      </c>
      <c r="E20">
        <v>459.5</v>
      </c>
      <c r="F20" s="16">
        <v>459.2</v>
      </c>
      <c r="G20">
        <v>458.8</v>
      </c>
      <c r="H20">
        <v>457.3</v>
      </c>
      <c r="I20">
        <v>456.4</v>
      </c>
      <c r="J20" s="6">
        <v>456</v>
      </c>
      <c r="K20" s="16">
        <v>455.7</v>
      </c>
      <c r="L20">
        <v>469.1</v>
      </c>
      <c r="M20">
        <v>464.8</v>
      </c>
      <c r="N20">
        <v>464.4</v>
      </c>
      <c r="O20">
        <v>463.4</v>
      </c>
      <c r="P20" s="16">
        <v>460.2</v>
      </c>
      <c r="Q20">
        <v>457.2</v>
      </c>
      <c r="R20" s="6">
        <v>457</v>
      </c>
      <c r="S20">
        <v>455.7</v>
      </c>
      <c r="T20">
        <v>449.6</v>
      </c>
      <c r="U20" s="27"/>
      <c r="Z20" s="6"/>
      <c r="AG20" s="6"/>
      <c r="AH20" s="6"/>
      <c r="AI20" s="6"/>
    </row>
    <row r="21" spans="1:36">
      <c r="A21" s="1">
        <v>20</v>
      </c>
      <c r="B21" s="23">
        <v>468.7</v>
      </c>
      <c r="C21" s="23">
        <v>468</v>
      </c>
      <c r="D21" s="23">
        <v>467.6</v>
      </c>
      <c r="E21">
        <v>467.4</v>
      </c>
      <c r="F21" s="16">
        <v>466.8</v>
      </c>
      <c r="G21">
        <v>465.9</v>
      </c>
      <c r="H21">
        <v>464.5</v>
      </c>
      <c r="I21">
        <v>463.9</v>
      </c>
      <c r="J21">
        <v>463.7</v>
      </c>
      <c r="K21" s="16">
        <v>463.5</v>
      </c>
      <c r="L21">
        <v>462.5</v>
      </c>
      <c r="M21">
        <v>462.3</v>
      </c>
      <c r="N21">
        <v>461.4</v>
      </c>
      <c r="O21">
        <v>459.3</v>
      </c>
      <c r="P21" s="16">
        <v>459.2</v>
      </c>
      <c r="Q21">
        <v>458.8</v>
      </c>
      <c r="R21">
        <v>458.5</v>
      </c>
      <c r="S21" s="6">
        <v>458</v>
      </c>
      <c r="T21">
        <v>457.7</v>
      </c>
      <c r="U21" s="27"/>
      <c r="Z21" s="6"/>
      <c r="AG21" s="6"/>
      <c r="AH21" s="6"/>
      <c r="AI21" s="6"/>
    </row>
    <row r="22" spans="1:36">
      <c r="A22" s="1">
        <v>21</v>
      </c>
      <c r="B22" s="23">
        <v>472.2</v>
      </c>
      <c r="C22" s="23">
        <v>471.9</v>
      </c>
      <c r="D22" s="23">
        <v>471.8</v>
      </c>
      <c r="E22">
        <v>471.6</v>
      </c>
      <c r="F22" s="16">
        <v>471.5</v>
      </c>
      <c r="G22">
        <v>471.1</v>
      </c>
      <c r="H22">
        <v>470.9</v>
      </c>
      <c r="I22">
        <v>470.8</v>
      </c>
      <c r="J22">
        <v>470.6</v>
      </c>
      <c r="K22" s="16">
        <v>470.3</v>
      </c>
      <c r="L22">
        <v>470.1</v>
      </c>
      <c r="M22" s="6">
        <v>470</v>
      </c>
      <c r="N22">
        <v>469.4</v>
      </c>
      <c r="O22">
        <v>469.4</v>
      </c>
      <c r="P22" s="16">
        <v>469.2</v>
      </c>
      <c r="Q22">
        <v>468.9</v>
      </c>
      <c r="R22">
        <v>468.7</v>
      </c>
      <c r="S22">
        <v>468.4</v>
      </c>
      <c r="T22">
        <v>468.3</v>
      </c>
      <c r="U22" s="27"/>
      <c r="Z22" s="6"/>
      <c r="AG22" s="6"/>
      <c r="AI22" s="6"/>
    </row>
    <row r="23" spans="1:36">
      <c r="A23" s="1">
        <v>22</v>
      </c>
      <c r="B23" s="23">
        <v>465.6</v>
      </c>
      <c r="C23" s="23">
        <v>465.4</v>
      </c>
      <c r="D23" s="23">
        <v>465.2</v>
      </c>
      <c r="E23">
        <v>465.1</v>
      </c>
      <c r="F23" s="16">
        <v>464.9</v>
      </c>
      <c r="G23">
        <v>464.5</v>
      </c>
      <c r="H23">
        <v>464.4</v>
      </c>
      <c r="I23">
        <v>464.3</v>
      </c>
      <c r="J23">
        <v>464.1</v>
      </c>
      <c r="K23" s="16">
        <v>463.9</v>
      </c>
      <c r="L23">
        <v>463.5</v>
      </c>
      <c r="M23">
        <v>463.4</v>
      </c>
      <c r="N23">
        <v>463.1</v>
      </c>
      <c r="O23">
        <v>463</v>
      </c>
      <c r="P23" s="16">
        <v>469.8</v>
      </c>
      <c r="Q23">
        <v>469.5</v>
      </c>
      <c r="R23">
        <v>469.1</v>
      </c>
      <c r="S23" s="6">
        <v>469</v>
      </c>
      <c r="T23">
        <v>468.8</v>
      </c>
      <c r="U23" s="27"/>
      <c r="Z23" s="6"/>
      <c r="AG23" s="6"/>
      <c r="AH23" s="6"/>
      <c r="AI23" s="6"/>
    </row>
    <row r="24" spans="1:36">
      <c r="A24" s="1">
        <v>23</v>
      </c>
      <c r="B24" s="23">
        <v>454.8</v>
      </c>
      <c r="C24" s="23">
        <v>454.6</v>
      </c>
      <c r="D24" s="23">
        <v>453.6</v>
      </c>
      <c r="E24">
        <v>453.4</v>
      </c>
      <c r="F24" s="16">
        <v>452.8</v>
      </c>
      <c r="G24">
        <v>452.4</v>
      </c>
      <c r="H24">
        <v>451.8</v>
      </c>
      <c r="I24" s="6">
        <v>469</v>
      </c>
      <c r="J24">
        <v>468.9</v>
      </c>
      <c r="K24" s="16">
        <v>468.7</v>
      </c>
      <c r="L24">
        <v>468.3</v>
      </c>
      <c r="M24">
        <v>468.2</v>
      </c>
      <c r="N24">
        <v>467.9</v>
      </c>
      <c r="O24">
        <v>467.7</v>
      </c>
      <c r="P24" s="16">
        <v>467.7</v>
      </c>
      <c r="Q24">
        <v>467.3</v>
      </c>
      <c r="R24">
        <v>467.2</v>
      </c>
      <c r="S24" s="6">
        <v>467</v>
      </c>
      <c r="T24">
        <v>466.8</v>
      </c>
      <c r="U24" s="27"/>
      <c r="Z24" s="6"/>
      <c r="AG24" s="6"/>
      <c r="AI24" s="6"/>
    </row>
    <row r="25" spans="1:36">
      <c r="A25" s="1">
        <v>24</v>
      </c>
      <c r="B25" s="23">
        <v>461</v>
      </c>
      <c r="C25" s="23">
        <v>460.8</v>
      </c>
      <c r="D25" s="23">
        <v>460.6</v>
      </c>
      <c r="E25">
        <v>460.4</v>
      </c>
      <c r="F25" s="16">
        <v>460.2</v>
      </c>
      <c r="G25">
        <v>459.9</v>
      </c>
      <c r="H25">
        <v>459.7</v>
      </c>
      <c r="I25">
        <v>459.6</v>
      </c>
      <c r="J25">
        <v>459.2</v>
      </c>
      <c r="K25" s="16">
        <v>459.1</v>
      </c>
      <c r="L25">
        <v>458.8</v>
      </c>
      <c r="M25">
        <v>458.6</v>
      </c>
      <c r="N25">
        <v>458.2</v>
      </c>
      <c r="O25">
        <v>458.1</v>
      </c>
      <c r="P25" s="27">
        <v>458</v>
      </c>
      <c r="Q25">
        <v>457.7</v>
      </c>
      <c r="R25">
        <v>457.4</v>
      </c>
      <c r="S25">
        <v>457.2</v>
      </c>
      <c r="T25" s="6">
        <v>457</v>
      </c>
      <c r="U25" s="27"/>
      <c r="Z25" s="6"/>
      <c r="AG25" s="6"/>
      <c r="AI25" s="6"/>
    </row>
    <row r="26" spans="1:36">
      <c r="A26" s="1">
        <v>25</v>
      </c>
      <c r="B26" s="23">
        <v>456.6</v>
      </c>
      <c r="C26" s="23">
        <v>456.4</v>
      </c>
      <c r="D26" s="23">
        <v>456.4</v>
      </c>
      <c r="E26">
        <v>456.2</v>
      </c>
      <c r="F26" s="16">
        <v>455.9</v>
      </c>
      <c r="G26">
        <v>455.6</v>
      </c>
      <c r="H26">
        <v>455.4</v>
      </c>
      <c r="I26">
        <v>468.1</v>
      </c>
      <c r="J26">
        <v>467.8</v>
      </c>
      <c r="K26" s="16">
        <v>467.6</v>
      </c>
      <c r="L26">
        <v>467.3</v>
      </c>
      <c r="M26" s="6">
        <v>467</v>
      </c>
      <c r="N26">
        <v>466.8</v>
      </c>
      <c r="O26">
        <v>466.3</v>
      </c>
      <c r="P26" s="16">
        <v>466.3</v>
      </c>
      <c r="Q26">
        <v>465.9</v>
      </c>
      <c r="R26">
        <v>465.7</v>
      </c>
      <c r="S26">
        <v>465.5</v>
      </c>
      <c r="T26">
        <v>465.3</v>
      </c>
      <c r="U26" s="27"/>
      <c r="Z26" s="6"/>
      <c r="AG26" s="6"/>
      <c r="AH26" s="6"/>
      <c r="AI26" s="6"/>
    </row>
    <row r="27" spans="1:36">
      <c r="A27" s="1">
        <v>26</v>
      </c>
      <c r="B27" s="23">
        <v>459.4</v>
      </c>
      <c r="C27" s="23">
        <v>459.2</v>
      </c>
      <c r="D27" s="23">
        <v>458.9</v>
      </c>
      <c r="E27">
        <v>458.8</v>
      </c>
      <c r="F27" s="16">
        <v>458.6</v>
      </c>
      <c r="G27">
        <v>458.2</v>
      </c>
      <c r="H27">
        <v>458</v>
      </c>
      <c r="I27">
        <v>457.8</v>
      </c>
      <c r="J27">
        <v>457.5</v>
      </c>
      <c r="K27" s="16">
        <v>457.3</v>
      </c>
      <c r="L27">
        <v>476.7</v>
      </c>
      <c r="M27">
        <v>476.6</v>
      </c>
      <c r="N27">
        <v>476.3</v>
      </c>
      <c r="O27">
        <v>476.2</v>
      </c>
      <c r="P27" s="27">
        <v>476</v>
      </c>
      <c r="Q27">
        <v>475.6</v>
      </c>
      <c r="R27">
        <v>475.3</v>
      </c>
      <c r="S27" s="6">
        <v>475</v>
      </c>
      <c r="T27">
        <v>474.9</v>
      </c>
      <c r="U27" s="27"/>
      <c r="Z27" s="6"/>
      <c r="AG27" s="6"/>
      <c r="AH27" s="6"/>
      <c r="AI27" s="6"/>
    </row>
    <row r="28" spans="1:36">
      <c r="A28" s="1">
        <v>27</v>
      </c>
      <c r="B28" s="23">
        <v>460.1</v>
      </c>
      <c r="C28" s="23">
        <v>459.9</v>
      </c>
      <c r="D28" s="23">
        <v>459.6</v>
      </c>
      <c r="E28">
        <v>459.4</v>
      </c>
      <c r="F28" s="16">
        <v>459.2</v>
      </c>
      <c r="G28">
        <v>486.8</v>
      </c>
      <c r="H28">
        <v>486.7</v>
      </c>
      <c r="I28">
        <v>486.4</v>
      </c>
      <c r="J28">
        <v>486.2</v>
      </c>
      <c r="K28" s="27">
        <v>486</v>
      </c>
      <c r="L28">
        <v>485.7</v>
      </c>
      <c r="M28">
        <v>485.6</v>
      </c>
      <c r="N28">
        <v>485.1</v>
      </c>
      <c r="O28">
        <v>485.1</v>
      </c>
      <c r="P28" s="27">
        <v>485</v>
      </c>
      <c r="Q28">
        <v>482.5</v>
      </c>
      <c r="R28">
        <v>482.3</v>
      </c>
      <c r="S28">
        <v>480.5</v>
      </c>
      <c r="T28">
        <v>480.4</v>
      </c>
      <c r="U28" s="27"/>
      <c r="Z28" s="6"/>
      <c r="AG28" s="6"/>
      <c r="AI28" s="6"/>
    </row>
    <row r="29" spans="1:36">
      <c r="A29" s="1">
        <v>28</v>
      </c>
      <c r="B29" s="23">
        <v>466.4</v>
      </c>
      <c r="C29" s="23">
        <v>466.2</v>
      </c>
      <c r="D29" s="37">
        <v>466</v>
      </c>
      <c r="E29" s="6">
        <v>466</v>
      </c>
      <c r="F29" s="16">
        <v>465.8</v>
      </c>
      <c r="G29">
        <v>465.5</v>
      </c>
      <c r="H29">
        <v>465.3</v>
      </c>
      <c r="I29">
        <v>465.2</v>
      </c>
      <c r="J29">
        <v>465.1</v>
      </c>
      <c r="K29" s="16">
        <v>464.9</v>
      </c>
      <c r="L29">
        <v>464.6</v>
      </c>
      <c r="M29">
        <v>464.4</v>
      </c>
      <c r="N29">
        <v>463.9</v>
      </c>
      <c r="O29">
        <v>463.7</v>
      </c>
      <c r="P29" s="16">
        <v>463.6</v>
      </c>
      <c r="Q29">
        <v>463.3</v>
      </c>
      <c r="R29">
        <v>463.1</v>
      </c>
      <c r="S29">
        <v>462.7</v>
      </c>
      <c r="T29">
        <v>462.5</v>
      </c>
      <c r="U29" s="27"/>
      <c r="Z29" s="6"/>
      <c r="AG29" s="6"/>
      <c r="AI29" s="6"/>
    </row>
    <row r="30" spans="1:36">
      <c r="A30" s="1">
        <v>29</v>
      </c>
      <c r="B30" s="23">
        <v>464.5</v>
      </c>
      <c r="C30" s="23">
        <v>463.3</v>
      </c>
      <c r="D30" s="37">
        <v>462</v>
      </c>
      <c r="E30">
        <v>461.3</v>
      </c>
      <c r="F30" s="16">
        <v>460.6</v>
      </c>
      <c r="G30">
        <v>458</v>
      </c>
      <c r="H30">
        <v>457.7</v>
      </c>
      <c r="I30">
        <v>467.3</v>
      </c>
      <c r="J30">
        <v>467.1</v>
      </c>
      <c r="K30" s="16">
        <v>465.5</v>
      </c>
      <c r="L30">
        <v>465.1</v>
      </c>
      <c r="M30">
        <v>464.5</v>
      </c>
      <c r="N30">
        <v>463.8</v>
      </c>
      <c r="O30">
        <v>463.5</v>
      </c>
      <c r="P30" s="16">
        <v>462.1</v>
      </c>
      <c r="Q30" s="6">
        <v>460</v>
      </c>
      <c r="R30">
        <v>459.8</v>
      </c>
      <c r="S30" s="6">
        <v>459</v>
      </c>
      <c r="T30">
        <v>457.2</v>
      </c>
      <c r="U30" s="27"/>
      <c r="Z30" s="6"/>
      <c r="AG30" s="6"/>
      <c r="AI30" s="6"/>
    </row>
    <row r="31" spans="1:36">
      <c r="A31" s="1">
        <v>30</v>
      </c>
      <c r="B31" s="23">
        <v>476.6</v>
      </c>
      <c r="C31" s="23">
        <v>476.1</v>
      </c>
      <c r="D31" s="37">
        <v>475</v>
      </c>
      <c r="E31">
        <v>474.6</v>
      </c>
      <c r="F31" s="16">
        <v>472.6</v>
      </c>
      <c r="G31">
        <v>471.1</v>
      </c>
      <c r="H31">
        <v>470.8</v>
      </c>
      <c r="I31">
        <v>470.2</v>
      </c>
      <c r="J31" s="6">
        <v>470</v>
      </c>
      <c r="K31" s="16">
        <v>469.8</v>
      </c>
      <c r="L31">
        <v>469.4</v>
      </c>
      <c r="M31">
        <v>468.8</v>
      </c>
      <c r="N31" s="6">
        <v>468</v>
      </c>
      <c r="O31">
        <v>467.2</v>
      </c>
      <c r="P31" s="16">
        <v>466.9</v>
      </c>
      <c r="Q31">
        <v>464.9</v>
      </c>
      <c r="R31">
        <v>463.6</v>
      </c>
      <c r="S31">
        <v>463.3</v>
      </c>
      <c r="T31">
        <v>460.7</v>
      </c>
      <c r="U31" s="27"/>
      <c r="Z31" s="6"/>
      <c r="AG31" s="6"/>
      <c r="AI31" s="6"/>
      <c r="AJ31" s="6"/>
    </row>
    <row r="32" spans="1:36">
      <c r="A32" s="1">
        <v>31</v>
      </c>
      <c r="B32" s="23">
        <v>450.8</v>
      </c>
      <c r="C32" s="23">
        <v>449.8</v>
      </c>
      <c r="D32" s="23">
        <v>448.1</v>
      </c>
      <c r="E32">
        <v>447.8</v>
      </c>
      <c r="F32" s="16">
        <v>446.5</v>
      </c>
      <c r="G32">
        <v>445.7</v>
      </c>
      <c r="H32">
        <v>442.3</v>
      </c>
      <c r="I32">
        <v>465.4</v>
      </c>
      <c r="J32">
        <v>465.3</v>
      </c>
      <c r="K32" s="16">
        <v>461.9</v>
      </c>
      <c r="L32">
        <v>458.5</v>
      </c>
      <c r="M32">
        <v>457.9</v>
      </c>
      <c r="N32">
        <v>456.3</v>
      </c>
      <c r="O32">
        <v>456.1</v>
      </c>
      <c r="P32" s="16">
        <v>455.7</v>
      </c>
      <c r="Q32">
        <v>454.9</v>
      </c>
      <c r="R32">
        <v>453.7</v>
      </c>
      <c r="S32">
        <v>452.7</v>
      </c>
      <c r="T32">
        <v>452.6</v>
      </c>
      <c r="U32" s="27"/>
      <c r="Z32" s="6"/>
      <c r="AG32" s="6"/>
      <c r="AI32" s="6"/>
    </row>
    <row r="33" spans="1:37">
      <c r="A33" s="1">
        <v>32</v>
      </c>
      <c r="B33" s="23">
        <v>456.4</v>
      </c>
      <c r="C33" s="23">
        <v>456.2</v>
      </c>
      <c r="D33" s="23">
        <v>454.5</v>
      </c>
      <c r="E33">
        <v>454.2</v>
      </c>
      <c r="F33" s="16">
        <v>453.9</v>
      </c>
      <c r="G33">
        <v>453.6</v>
      </c>
      <c r="H33">
        <v>452.2</v>
      </c>
      <c r="I33" s="6">
        <v>452</v>
      </c>
      <c r="J33">
        <v>451.7</v>
      </c>
      <c r="K33" s="16">
        <v>448.4</v>
      </c>
      <c r="L33">
        <v>460.9</v>
      </c>
      <c r="M33">
        <v>460.6</v>
      </c>
      <c r="N33">
        <v>458.5</v>
      </c>
      <c r="O33">
        <v>457.2</v>
      </c>
      <c r="P33" s="16">
        <v>454.4</v>
      </c>
      <c r="Q33">
        <v>449.8</v>
      </c>
      <c r="R33">
        <v>444.2</v>
      </c>
      <c r="S33">
        <v>439.7</v>
      </c>
      <c r="T33">
        <v>436.1</v>
      </c>
      <c r="U33" s="27"/>
      <c r="Z33" s="6"/>
      <c r="AG33" s="6"/>
      <c r="AI33" s="6"/>
    </row>
    <row r="34" spans="1:37">
      <c r="A34" s="1">
        <v>33</v>
      </c>
      <c r="B34" s="23">
        <v>461.8</v>
      </c>
      <c r="C34" s="23">
        <v>461.6</v>
      </c>
      <c r="D34" s="23">
        <v>461.4</v>
      </c>
      <c r="E34">
        <v>461.2</v>
      </c>
      <c r="F34" s="27">
        <v>461</v>
      </c>
      <c r="G34">
        <v>460.5</v>
      </c>
      <c r="H34">
        <v>460.1</v>
      </c>
      <c r="I34">
        <v>459.9</v>
      </c>
      <c r="J34">
        <v>459.5</v>
      </c>
      <c r="K34" s="16">
        <v>459.3</v>
      </c>
      <c r="L34">
        <v>458.9</v>
      </c>
      <c r="M34">
        <v>458.7</v>
      </c>
      <c r="N34">
        <v>458.4</v>
      </c>
      <c r="O34">
        <v>458.2</v>
      </c>
      <c r="P34" s="27">
        <v>458</v>
      </c>
      <c r="Q34">
        <v>457.5</v>
      </c>
      <c r="R34">
        <v>457.2</v>
      </c>
      <c r="S34" s="6">
        <v>457</v>
      </c>
      <c r="T34">
        <v>456.8</v>
      </c>
      <c r="U34" s="27"/>
      <c r="Z34" s="6"/>
      <c r="AG34" s="6"/>
      <c r="AI34" s="6"/>
    </row>
    <row r="35" spans="1:37">
      <c r="A35" s="1">
        <v>34</v>
      </c>
      <c r="B35" s="23">
        <v>458.4</v>
      </c>
      <c r="C35" s="23">
        <v>458.2</v>
      </c>
      <c r="D35" s="23">
        <v>457.4</v>
      </c>
      <c r="E35">
        <v>456.2</v>
      </c>
      <c r="F35" s="16">
        <v>455.9</v>
      </c>
      <c r="G35">
        <v>454.7</v>
      </c>
      <c r="H35">
        <v>452.3</v>
      </c>
      <c r="I35">
        <v>468.6</v>
      </c>
      <c r="J35">
        <v>468.4</v>
      </c>
      <c r="K35" s="16">
        <v>466.7</v>
      </c>
      <c r="L35">
        <v>466.3</v>
      </c>
      <c r="M35">
        <v>466.2</v>
      </c>
      <c r="N35">
        <v>464.4</v>
      </c>
      <c r="O35">
        <v>464.3</v>
      </c>
      <c r="P35" s="16">
        <v>464.2</v>
      </c>
      <c r="Q35">
        <v>462.8</v>
      </c>
      <c r="R35">
        <v>461.1</v>
      </c>
      <c r="S35">
        <v>457.8</v>
      </c>
      <c r="T35">
        <v>456.6</v>
      </c>
      <c r="U35" s="27"/>
      <c r="Z35" s="6"/>
      <c r="AG35" s="6"/>
      <c r="AI35" s="6"/>
    </row>
    <row r="36" spans="1:37">
      <c r="A36" s="1">
        <v>35</v>
      </c>
      <c r="B36" s="23">
        <v>457</v>
      </c>
      <c r="C36" s="23">
        <v>456.9</v>
      </c>
      <c r="D36" s="23">
        <v>456.7</v>
      </c>
      <c r="E36">
        <v>456.4</v>
      </c>
      <c r="F36" s="16">
        <v>456.1</v>
      </c>
      <c r="G36">
        <v>455.8</v>
      </c>
      <c r="H36">
        <v>454.7</v>
      </c>
      <c r="I36">
        <v>470.9</v>
      </c>
      <c r="J36">
        <v>470.7</v>
      </c>
      <c r="K36" s="16">
        <v>470.2</v>
      </c>
      <c r="L36">
        <v>469.8</v>
      </c>
      <c r="M36">
        <v>469.6</v>
      </c>
      <c r="N36" s="6">
        <v>469</v>
      </c>
      <c r="O36">
        <v>468.9</v>
      </c>
      <c r="P36" s="16">
        <v>468.8</v>
      </c>
      <c r="Q36">
        <v>468.6</v>
      </c>
      <c r="R36">
        <v>468.3</v>
      </c>
      <c r="S36">
        <v>468.1</v>
      </c>
      <c r="T36">
        <v>467.9</v>
      </c>
      <c r="U36" s="27"/>
      <c r="Z36" s="6"/>
      <c r="AG36" s="6"/>
      <c r="AI36" s="6"/>
    </row>
    <row r="37" spans="1:37">
      <c r="A37" s="1">
        <v>36</v>
      </c>
      <c r="B37" s="23">
        <v>462.4</v>
      </c>
      <c r="C37" s="23">
        <v>462.1</v>
      </c>
      <c r="D37" s="37">
        <v>462</v>
      </c>
      <c r="E37">
        <v>461.8</v>
      </c>
      <c r="F37" s="16">
        <v>461.6</v>
      </c>
      <c r="G37">
        <v>461.1</v>
      </c>
      <c r="H37">
        <v>460.9</v>
      </c>
      <c r="I37">
        <v>460.7</v>
      </c>
      <c r="J37">
        <v>460.4</v>
      </c>
      <c r="K37" s="16">
        <v>460.2</v>
      </c>
      <c r="L37">
        <v>459.9</v>
      </c>
      <c r="M37">
        <v>459.9</v>
      </c>
      <c r="N37">
        <v>459.4</v>
      </c>
      <c r="O37">
        <v>459.3</v>
      </c>
      <c r="P37" s="16">
        <v>459.3</v>
      </c>
      <c r="Q37">
        <v>458.9</v>
      </c>
      <c r="R37">
        <v>458.7</v>
      </c>
      <c r="S37">
        <v>458.4</v>
      </c>
      <c r="T37">
        <v>458.3</v>
      </c>
      <c r="U37" s="27"/>
      <c r="Z37" s="6"/>
      <c r="AG37" s="6"/>
      <c r="AI37" s="6"/>
    </row>
    <row r="38" spans="1:37">
      <c r="A38" s="1">
        <v>37</v>
      </c>
      <c r="B38" s="23">
        <v>458.9</v>
      </c>
      <c r="C38" s="23">
        <v>458.5</v>
      </c>
      <c r="D38" s="23">
        <v>458.4</v>
      </c>
      <c r="E38">
        <v>458.2</v>
      </c>
      <c r="F38" s="27">
        <v>458</v>
      </c>
      <c r="G38">
        <v>457.5</v>
      </c>
      <c r="H38">
        <v>457.2</v>
      </c>
      <c r="I38">
        <v>456.9</v>
      </c>
      <c r="J38">
        <v>456.6</v>
      </c>
      <c r="K38" s="16">
        <v>456.4</v>
      </c>
      <c r="L38">
        <v>456.1</v>
      </c>
      <c r="M38">
        <v>455.9</v>
      </c>
      <c r="N38">
        <v>455.6</v>
      </c>
      <c r="O38">
        <v>455.3</v>
      </c>
      <c r="P38" s="16">
        <v>454.5</v>
      </c>
      <c r="Q38">
        <v>453.7</v>
      </c>
      <c r="R38">
        <v>453.4</v>
      </c>
      <c r="S38">
        <v>453.1</v>
      </c>
      <c r="T38">
        <v>452.9</v>
      </c>
      <c r="U38" s="27"/>
      <c r="Z38" s="6"/>
      <c r="AG38" s="6"/>
      <c r="AI38" s="6"/>
      <c r="AJ38" s="6"/>
    </row>
    <row r="39" spans="1:37">
      <c r="A39" s="1">
        <v>38</v>
      </c>
      <c r="B39" s="23">
        <v>463.9</v>
      </c>
      <c r="C39" s="23">
        <v>463.7</v>
      </c>
      <c r="D39" s="23">
        <v>463.7</v>
      </c>
      <c r="E39">
        <v>463.5</v>
      </c>
      <c r="F39" s="16">
        <v>463.4</v>
      </c>
      <c r="G39">
        <v>463</v>
      </c>
      <c r="H39">
        <v>462.8</v>
      </c>
      <c r="I39">
        <v>462.5</v>
      </c>
      <c r="J39">
        <v>462.3</v>
      </c>
      <c r="K39" s="16">
        <v>462.1</v>
      </c>
      <c r="L39">
        <v>461.8</v>
      </c>
      <c r="M39">
        <v>461.6</v>
      </c>
      <c r="N39">
        <v>461.3</v>
      </c>
      <c r="O39">
        <v>461.2</v>
      </c>
      <c r="P39" s="16">
        <v>461.1</v>
      </c>
      <c r="Q39">
        <v>460.6</v>
      </c>
      <c r="R39">
        <v>460.3</v>
      </c>
      <c r="S39">
        <v>460.1</v>
      </c>
      <c r="T39">
        <v>459.9</v>
      </c>
      <c r="U39" s="27"/>
      <c r="Z39" s="6"/>
      <c r="AG39" s="6"/>
      <c r="AI39" s="6"/>
    </row>
    <row r="40" spans="1:37">
      <c r="A40" s="1">
        <v>39</v>
      </c>
      <c r="B40" s="23">
        <v>468.8</v>
      </c>
      <c r="C40" s="23">
        <v>468.7</v>
      </c>
      <c r="D40" s="23">
        <v>468.6</v>
      </c>
      <c r="E40">
        <v>468.3</v>
      </c>
      <c r="F40" s="16">
        <v>468.2</v>
      </c>
      <c r="G40">
        <v>467.8</v>
      </c>
      <c r="H40">
        <v>467.6</v>
      </c>
      <c r="I40">
        <v>467.4</v>
      </c>
      <c r="J40">
        <v>467.2</v>
      </c>
      <c r="K40" s="16">
        <v>466.9</v>
      </c>
      <c r="L40">
        <v>466.1</v>
      </c>
      <c r="M40">
        <v>465.9</v>
      </c>
      <c r="N40">
        <v>465.3</v>
      </c>
      <c r="O40">
        <v>465.2</v>
      </c>
      <c r="P40" s="16">
        <v>465.1</v>
      </c>
      <c r="Q40" s="6">
        <v>462</v>
      </c>
      <c r="R40">
        <v>460.9</v>
      </c>
      <c r="S40">
        <v>459.7</v>
      </c>
      <c r="T40">
        <v>459.4</v>
      </c>
      <c r="U40" s="27"/>
      <c r="Z40" s="6"/>
      <c r="AG40" s="6"/>
      <c r="AI40" s="6"/>
    </row>
    <row r="41" spans="1:37">
      <c r="A41" s="1">
        <v>40</v>
      </c>
      <c r="B41" s="23">
        <v>456.5</v>
      </c>
      <c r="C41" s="23">
        <v>453.2</v>
      </c>
      <c r="D41" s="23">
        <v>446.5</v>
      </c>
      <c r="E41">
        <v>439.3</v>
      </c>
      <c r="F41" s="16">
        <v>434.6</v>
      </c>
      <c r="G41">
        <v>468.3</v>
      </c>
      <c r="H41">
        <v>462.4</v>
      </c>
      <c r="I41" s="6">
        <v>453</v>
      </c>
      <c r="J41" s="6">
        <v>449</v>
      </c>
      <c r="K41" s="27">
        <v>443</v>
      </c>
      <c r="L41">
        <v>464.9</v>
      </c>
      <c r="M41" s="6">
        <v>458</v>
      </c>
      <c r="N41">
        <v>453.5</v>
      </c>
      <c r="O41" s="6">
        <v>450.6</v>
      </c>
      <c r="P41" s="16">
        <v>457.5</v>
      </c>
      <c r="Q41">
        <v>453.7</v>
      </c>
      <c r="R41">
        <v>449.3</v>
      </c>
      <c r="S41">
        <v>442.8</v>
      </c>
      <c r="T41">
        <v>439.6</v>
      </c>
      <c r="U41" s="27"/>
      <c r="Z41" s="6"/>
      <c r="AG41" s="6"/>
      <c r="AI41" s="6"/>
    </row>
    <row r="42" spans="1:37">
      <c r="A42" s="1">
        <v>41</v>
      </c>
      <c r="B42" s="23">
        <v>466.2</v>
      </c>
      <c r="C42" s="23">
        <v>466.1</v>
      </c>
      <c r="D42" s="37">
        <v>466</v>
      </c>
      <c r="E42">
        <v>465.8</v>
      </c>
      <c r="F42" s="16">
        <v>465.6</v>
      </c>
      <c r="G42">
        <v>465.3</v>
      </c>
      <c r="H42">
        <v>465.1</v>
      </c>
      <c r="I42" s="6">
        <v>465</v>
      </c>
      <c r="J42">
        <v>464.8</v>
      </c>
      <c r="K42" s="16">
        <v>464.7</v>
      </c>
      <c r="L42">
        <v>464.4</v>
      </c>
      <c r="M42">
        <v>464.3</v>
      </c>
      <c r="N42">
        <v>463.9</v>
      </c>
      <c r="O42">
        <v>463.9</v>
      </c>
      <c r="P42" s="16">
        <v>463.7</v>
      </c>
      <c r="Q42">
        <v>463.3</v>
      </c>
      <c r="R42">
        <v>463.1</v>
      </c>
      <c r="S42" s="6">
        <v>463</v>
      </c>
      <c r="T42">
        <v>462.8</v>
      </c>
      <c r="U42" s="27"/>
      <c r="Z42" s="6"/>
      <c r="AG42" s="6"/>
      <c r="AI42" s="6"/>
    </row>
    <row r="43" spans="1:37">
      <c r="A43" s="1">
        <v>42</v>
      </c>
      <c r="B43" s="23">
        <v>467.4</v>
      </c>
      <c r="C43" s="23">
        <v>467.2</v>
      </c>
      <c r="D43" s="23">
        <v>465.6</v>
      </c>
      <c r="E43">
        <v>465.3</v>
      </c>
      <c r="F43" s="27">
        <v>465</v>
      </c>
      <c r="G43">
        <v>464</v>
      </c>
      <c r="H43">
        <v>463.9</v>
      </c>
      <c r="I43">
        <v>463.8</v>
      </c>
      <c r="J43">
        <v>463.6</v>
      </c>
      <c r="K43" s="16">
        <v>463.4</v>
      </c>
      <c r="L43" s="6">
        <v>463</v>
      </c>
      <c r="M43">
        <v>462.6</v>
      </c>
      <c r="N43">
        <v>462.3</v>
      </c>
      <c r="O43">
        <v>462.1</v>
      </c>
      <c r="P43" s="27">
        <v>462</v>
      </c>
      <c r="Q43">
        <v>459.7</v>
      </c>
      <c r="R43">
        <v>459.5</v>
      </c>
      <c r="S43">
        <v>457.9</v>
      </c>
      <c r="T43" s="6">
        <v>456</v>
      </c>
      <c r="U43" s="27"/>
      <c r="Z43" s="6"/>
      <c r="AG43" s="6"/>
      <c r="AI43" s="6"/>
      <c r="AK43" s="6"/>
    </row>
    <row r="44" spans="1:37">
      <c r="A44" s="1">
        <v>43</v>
      </c>
      <c r="B44" s="23">
        <v>460.8</v>
      </c>
      <c r="C44" s="23">
        <v>460.7</v>
      </c>
      <c r="D44" s="23">
        <v>460.5</v>
      </c>
      <c r="E44">
        <v>460.4</v>
      </c>
      <c r="F44" s="16">
        <v>460.2</v>
      </c>
      <c r="G44">
        <v>459.5</v>
      </c>
      <c r="H44">
        <v>459.3</v>
      </c>
      <c r="I44">
        <v>474.3</v>
      </c>
      <c r="J44">
        <v>474.2</v>
      </c>
      <c r="K44" s="27">
        <v>474</v>
      </c>
      <c r="L44">
        <v>473.2</v>
      </c>
      <c r="M44">
        <v>473.1</v>
      </c>
      <c r="N44">
        <v>472.8</v>
      </c>
      <c r="O44">
        <v>472.7</v>
      </c>
      <c r="P44" s="16">
        <v>472.6</v>
      </c>
      <c r="Q44">
        <v>472.2</v>
      </c>
      <c r="R44">
        <v>472.1</v>
      </c>
      <c r="S44">
        <v>471.9</v>
      </c>
      <c r="T44">
        <v>471.7</v>
      </c>
      <c r="U44" s="27"/>
      <c r="Z44" s="6"/>
      <c r="AG44" s="6"/>
      <c r="AI44" s="6"/>
      <c r="AK44" s="6"/>
    </row>
    <row r="45" spans="1:37">
      <c r="A45" s="1">
        <v>44</v>
      </c>
      <c r="B45" s="23">
        <v>454.5</v>
      </c>
      <c r="C45" s="23">
        <v>454.1</v>
      </c>
      <c r="D45" s="23">
        <v>454.1</v>
      </c>
      <c r="E45">
        <v>453.7</v>
      </c>
      <c r="F45" s="16">
        <v>453.5</v>
      </c>
      <c r="G45">
        <v>453.1</v>
      </c>
      <c r="H45">
        <v>452.9</v>
      </c>
      <c r="I45">
        <v>452.7</v>
      </c>
      <c r="J45">
        <v>452.4</v>
      </c>
      <c r="K45" s="16">
        <v>452.2</v>
      </c>
      <c r="L45">
        <v>467.1</v>
      </c>
      <c r="M45">
        <v>466.9</v>
      </c>
      <c r="N45">
        <v>466.6</v>
      </c>
      <c r="O45">
        <v>466.6</v>
      </c>
      <c r="P45" s="16">
        <v>466.5</v>
      </c>
      <c r="Q45" s="6">
        <v>466</v>
      </c>
      <c r="R45">
        <v>465.8</v>
      </c>
      <c r="S45">
        <v>465.6</v>
      </c>
      <c r="T45">
        <v>465.3</v>
      </c>
      <c r="U45" s="27"/>
      <c r="Z45" s="6"/>
      <c r="AG45" s="6"/>
      <c r="AI45" s="6"/>
    </row>
    <row r="46" spans="1:37">
      <c r="A46" s="1">
        <v>45</v>
      </c>
      <c r="B46" s="23">
        <v>447.3</v>
      </c>
      <c r="C46" s="23">
        <v>447.2</v>
      </c>
      <c r="D46" s="37">
        <v>447</v>
      </c>
      <c r="E46">
        <v>446.8</v>
      </c>
      <c r="F46" s="16">
        <v>446.6</v>
      </c>
      <c r="G46">
        <v>476.7</v>
      </c>
      <c r="H46">
        <v>476.5</v>
      </c>
      <c r="I46">
        <v>476.4</v>
      </c>
      <c r="J46">
        <v>476.1</v>
      </c>
      <c r="K46" s="16">
        <v>475.9</v>
      </c>
      <c r="L46">
        <v>475.6</v>
      </c>
      <c r="M46">
        <v>475.4</v>
      </c>
      <c r="N46">
        <v>475.1</v>
      </c>
      <c r="O46">
        <v>475</v>
      </c>
      <c r="P46" s="16">
        <v>474.9</v>
      </c>
      <c r="Q46">
        <v>474.6</v>
      </c>
      <c r="R46">
        <v>474.4</v>
      </c>
      <c r="S46">
        <v>474.2</v>
      </c>
      <c r="T46">
        <v>474.1</v>
      </c>
      <c r="U46" s="27"/>
      <c r="Z46" s="6"/>
      <c r="AG46" s="6"/>
      <c r="AI46" s="6"/>
    </row>
    <row r="47" spans="1:37">
      <c r="A47" s="1">
        <v>46</v>
      </c>
      <c r="B47" s="23">
        <v>468.8</v>
      </c>
      <c r="C47" s="23">
        <v>468.7</v>
      </c>
      <c r="D47" s="23">
        <v>468.6</v>
      </c>
      <c r="E47">
        <v>468.3</v>
      </c>
      <c r="F47" s="16">
        <v>468.1</v>
      </c>
      <c r="G47">
        <v>467.7</v>
      </c>
      <c r="H47">
        <v>467.9</v>
      </c>
      <c r="I47">
        <v>467.4</v>
      </c>
      <c r="J47">
        <v>467.2</v>
      </c>
      <c r="K47" s="16">
        <v>466.9</v>
      </c>
      <c r="L47">
        <v>466.7</v>
      </c>
      <c r="M47">
        <v>466.6</v>
      </c>
      <c r="N47">
        <v>466.1</v>
      </c>
      <c r="O47">
        <v>466</v>
      </c>
      <c r="P47" s="16">
        <v>465.9</v>
      </c>
      <c r="Q47">
        <v>465.6</v>
      </c>
      <c r="R47">
        <v>465.1</v>
      </c>
      <c r="S47">
        <v>464.5</v>
      </c>
      <c r="T47">
        <v>464.2</v>
      </c>
      <c r="U47" s="27"/>
      <c r="Z47" s="6"/>
      <c r="AG47" s="6"/>
      <c r="AI47" s="6"/>
    </row>
    <row r="48" spans="1:37">
      <c r="A48" s="1">
        <v>47</v>
      </c>
      <c r="B48" s="23">
        <v>464.9</v>
      </c>
      <c r="C48" s="23">
        <v>463.6</v>
      </c>
      <c r="D48" s="23">
        <v>462.8</v>
      </c>
      <c r="E48">
        <v>461.4</v>
      </c>
      <c r="F48" s="16">
        <v>460.9</v>
      </c>
      <c r="G48">
        <v>459.4</v>
      </c>
      <c r="H48">
        <v>458</v>
      </c>
      <c r="I48">
        <v>469.5</v>
      </c>
      <c r="J48">
        <v>468.8</v>
      </c>
      <c r="K48" s="27">
        <v>467</v>
      </c>
      <c r="L48">
        <v>466.3</v>
      </c>
      <c r="M48">
        <v>465.2</v>
      </c>
      <c r="N48">
        <v>462.5</v>
      </c>
      <c r="O48">
        <v>458.1</v>
      </c>
      <c r="P48" s="16">
        <v>456.6</v>
      </c>
      <c r="Q48">
        <v>454.3</v>
      </c>
      <c r="R48">
        <v>451.2</v>
      </c>
      <c r="S48">
        <v>449.9</v>
      </c>
      <c r="T48">
        <v>448.4</v>
      </c>
      <c r="U48" s="27"/>
      <c r="Z48" s="6"/>
      <c r="AG48" s="6"/>
      <c r="AI48" s="6"/>
    </row>
    <row r="49" spans="1:37">
      <c r="A49" s="1">
        <v>48</v>
      </c>
      <c r="B49" s="23">
        <v>460.1</v>
      </c>
      <c r="C49" s="23">
        <v>459.9</v>
      </c>
      <c r="D49" s="23">
        <v>459.4</v>
      </c>
      <c r="E49">
        <v>459.1</v>
      </c>
      <c r="F49" s="16">
        <v>458.8</v>
      </c>
      <c r="G49">
        <v>458.5</v>
      </c>
      <c r="H49">
        <v>457.9</v>
      </c>
      <c r="I49">
        <v>457.3</v>
      </c>
      <c r="J49">
        <v>456.6</v>
      </c>
      <c r="K49" s="16">
        <v>456.1</v>
      </c>
      <c r="L49">
        <v>452.9</v>
      </c>
      <c r="M49">
        <v>452.8</v>
      </c>
      <c r="N49">
        <v>449.7</v>
      </c>
      <c r="O49">
        <v>447.2</v>
      </c>
      <c r="P49" s="16">
        <v>462.4</v>
      </c>
      <c r="Q49">
        <v>458.7</v>
      </c>
      <c r="R49">
        <v>456.2</v>
      </c>
      <c r="S49">
        <v>451.2</v>
      </c>
      <c r="T49" s="6">
        <v>447</v>
      </c>
      <c r="U49" s="27"/>
      <c r="Z49" s="6"/>
      <c r="AG49" s="6"/>
      <c r="AI49" s="6"/>
    </row>
    <row r="50" spans="1:37">
      <c r="A50" s="1">
        <v>49</v>
      </c>
      <c r="B50" s="23">
        <v>460.1</v>
      </c>
      <c r="C50" s="23">
        <v>460</v>
      </c>
      <c r="D50" s="23">
        <v>459.8</v>
      </c>
      <c r="E50">
        <v>459.6</v>
      </c>
      <c r="F50" s="16">
        <v>458.1</v>
      </c>
      <c r="G50">
        <v>455.4</v>
      </c>
      <c r="H50">
        <v>452.9</v>
      </c>
      <c r="I50">
        <v>463.5</v>
      </c>
      <c r="J50">
        <v>463.3</v>
      </c>
      <c r="K50" s="16">
        <v>463.1</v>
      </c>
      <c r="L50">
        <v>462.7</v>
      </c>
      <c r="M50">
        <v>462.5</v>
      </c>
      <c r="N50">
        <v>456.2</v>
      </c>
      <c r="O50">
        <v>454.9</v>
      </c>
      <c r="P50" s="16">
        <v>459.7</v>
      </c>
      <c r="Q50">
        <v>457.5</v>
      </c>
      <c r="R50">
        <v>457.3</v>
      </c>
      <c r="S50">
        <v>454.8</v>
      </c>
      <c r="T50">
        <v>448.9</v>
      </c>
      <c r="U50" s="27"/>
      <c r="Z50" s="6"/>
      <c r="AG50" s="6"/>
      <c r="AI50" s="6"/>
    </row>
    <row r="51" spans="1:37">
      <c r="A51" s="1">
        <v>50</v>
      </c>
      <c r="B51" s="23">
        <v>466.7</v>
      </c>
      <c r="C51" s="23">
        <v>466.1</v>
      </c>
      <c r="D51" s="37">
        <v>466</v>
      </c>
      <c r="E51">
        <v>465.9</v>
      </c>
      <c r="F51" s="16">
        <v>465.3</v>
      </c>
      <c r="G51">
        <v>464.6</v>
      </c>
      <c r="H51">
        <v>463.5</v>
      </c>
      <c r="I51">
        <v>463.3</v>
      </c>
      <c r="J51">
        <v>463.1</v>
      </c>
      <c r="K51" s="27">
        <v>463</v>
      </c>
      <c r="L51">
        <v>462.5</v>
      </c>
      <c r="M51">
        <v>462.4</v>
      </c>
      <c r="N51">
        <v>462.1</v>
      </c>
      <c r="O51">
        <v>461.7</v>
      </c>
      <c r="P51" s="16">
        <v>461.6</v>
      </c>
      <c r="Q51">
        <v>460.3</v>
      </c>
      <c r="R51">
        <v>459.7</v>
      </c>
      <c r="S51">
        <v>457.2</v>
      </c>
      <c r="T51">
        <v>456.3</v>
      </c>
      <c r="U51" s="27"/>
      <c r="Z51" s="6"/>
      <c r="AG51" s="6"/>
      <c r="AI51" s="6"/>
    </row>
    <row r="52" spans="1:37">
      <c r="A52" s="1">
        <v>51</v>
      </c>
      <c r="B52" s="23">
        <v>455.3</v>
      </c>
      <c r="C52" s="23">
        <v>455.1</v>
      </c>
      <c r="D52" s="23">
        <v>451.2</v>
      </c>
      <c r="E52" s="6">
        <v>451</v>
      </c>
      <c r="F52" s="16">
        <v>450.8</v>
      </c>
      <c r="G52">
        <v>479.1</v>
      </c>
      <c r="H52">
        <v>478.3</v>
      </c>
      <c r="I52">
        <v>477.9</v>
      </c>
      <c r="J52">
        <v>477.3</v>
      </c>
      <c r="K52" s="16">
        <v>477.2</v>
      </c>
      <c r="L52">
        <v>475.3</v>
      </c>
      <c r="M52">
        <v>475.1</v>
      </c>
      <c r="N52">
        <v>474.4</v>
      </c>
      <c r="O52">
        <v>474.3</v>
      </c>
      <c r="P52" s="16">
        <v>474.2</v>
      </c>
      <c r="Q52">
        <v>473.8</v>
      </c>
      <c r="R52">
        <v>472.5</v>
      </c>
      <c r="S52">
        <v>472.1</v>
      </c>
      <c r="T52">
        <v>471.8</v>
      </c>
      <c r="U52" s="27"/>
      <c r="Z52" s="6"/>
      <c r="AG52" s="6"/>
      <c r="AI52" s="6"/>
    </row>
    <row r="53" spans="1:37">
      <c r="A53" s="1">
        <v>52</v>
      </c>
      <c r="B53" s="23">
        <v>462</v>
      </c>
      <c r="C53" s="23">
        <v>461.8</v>
      </c>
      <c r="D53" s="23">
        <v>461.4</v>
      </c>
      <c r="E53">
        <v>461.2</v>
      </c>
      <c r="F53" s="16">
        <v>461.1</v>
      </c>
      <c r="G53">
        <v>460.7</v>
      </c>
      <c r="H53">
        <v>460.6</v>
      </c>
      <c r="I53">
        <v>460.5</v>
      </c>
      <c r="J53">
        <v>460.3</v>
      </c>
      <c r="K53" s="16">
        <v>460.1</v>
      </c>
      <c r="L53">
        <v>459.8</v>
      </c>
      <c r="M53">
        <v>459.7</v>
      </c>
      <c r="N53">
        <v>457.5</v>
      </c>
      <c r="O53">
        <v>457.4</v>
      </c>
      <c r="P53" s="16">
        <v>457.3</v>
      </c>
      <c r="Q53" s="6">
        <v>457</v>
      </c>
      <c r="R53">
        <v>456.8</v>
      </c>
      <c r="S53">
        <v>456.2</v>
      </c>
      <c r="T53" s="6">
        <v>456</v>
      </c>
      <c r="U53" s="27"/>
      <c r="Z53" s="6"/>
      <c r="AG53" s="6"/>
      <c r="AI53" s="6"/>
    </row>
    <row r="54" spans="1:37">
      <c r="A54" s="1">
        <v>53</v>
      </c>
      <c r="B54" s="23">
        <v>457.4</v>
      </c>
      <c r="C54" s="23">
        <v>457.4</v>
      </c>
      <c r="D54" s="23">
        <v>457.3</v>
      </c>
      <c r="E54">
        <v>457.1</v>
      </c>
      <c r="F54" s="16">
        <v>456.9</v>
      </c>
      <c r="G54">
        <v>456.6</v>
      </c>
      <c r="H54">
        <v>456.5</v>
      </c>
      <c r="I54">
        <v>456.3</v>
      </c>
      <c r="J54">
        <v>456.1</v>
      </c>
      <c r="K54" s="27">
        <v>456</v>
      </c>
      <c r="L54">
        <v>455.6</v>
      </c>
      <c r="M54">
        <v>455.5</v>
      </c>
      <c r="N54">
        <v>455.2</v>
      </c>
      <c r="O54">
        <v>455.1</v>
      </c>
      <c r="P54" s="16">
        <v>455.1</v>
      </c>
      <c r="Q54">
        <v>454.8</v>
      </c>
      <c r="R54">
        <v>454.5</v>
      </c>
      <c r="S54">
        <v>454.4</v>
      </c>
      <c r="T54">
        <v>454.3</v>
      </c>
      <c r="U54" s="27"/>
      <c r="Z54" s="6"/>
      <c r="AG54" s="6"/>
      <c r="AH54" s="6"/>
      <c r="AI54" s="6"/>
    </row>
    <row r="55" spans="1:37">
      <c r="A55" s="1">
        <v>54</v>
      </c>
      <c r="B55" s="23">
        <v>448.9</v>
      </c>
      <c r="C55" s="23">
        <v>448.6</v>
      </c>
      <c r="D55" s="23">
        <v>448.4</v>
      </c>
      <c r="E55">
        <v>448.3</v>
      </c>
      <c r="F55" s="16">
        <v>447.9</v>
      </c>
      <c r="G55">
        <v>480.3</v>
      </c>
      <c r="H55">
        <v>480.1</v>
      </c>
      <c r="I55" s="6">
        <v>480</v>
      </c>
      <c r="J55">
        <v>479.8</v>
      </c>
      <c r="K55" s="16">
        <v>479.6</v>
      </c>
      <c r="L55">
        <v>479.2</v>
      </c>
      <c r="M55">
        <v>479.1</v>
      </c>
      <c r="N55">
        <v>478.8</v>
      </c>
      <c r="O55">
        <v>478.7</v>
      </c>
      <c r="P55" s="16">
        <v>478.5</v>
      </c>
      <c r="Q55">
        <v>478.2</v>
      </c>
      <c r="R55">
        <v>477.9</v>
      </c>
      <c r="S55">
        <v>477.6</v>
      </c>
      <c r="T55">
        <v>477.4</v>
      </c>
      <c r="U55" s="27"/>
      <c r="Z55" s="6"/>
      <c r="AG55" s="6"/>
      <c r="AH55" s="6"/>
      <c r="AI55" s="6"/>
    </row>
    <row r="56" spans="1:37">
      <c r="A56" s="1">
        <v>55</v>
      </c>
      <c r="B56" s="23">
        <v>454.8</v>
      </c>
      <c r="C56" s="23">
        <v>454.6</v>
      </c>
      <c r="D56" s="23">
        <v>454.4</v>
      </c>
      <c r="E56">
        <v>454.3</v>
      </c>
      <c r="F56" s="16">
        <v>454.1</v>
      </c>
      <c r="G56">
        <v>475.4</v>
      </c>
      <c r="H56">
        <v>475.1</v>
      </c>
      <c r="I56">
        <v>471.2</v>
      </c>
      <c r="J56">
        <v>470.9</v>
      </c>
      <c r="K56" s="16">
        <v>470.8</v>
      </c>
      <c r="L56">
        <v>470.4</v>
      </c>
      <c r="M56" s="6">
        <v>468</v>
      </c>
      <c r="N56">
        <v>467.2</v>
      </c>
      <c r="O56">
        <v>466.9</v>
      </c>
      <c r="P56" s="16">
        <v>466.9</v>
      </c>
      <c r="Q56" s="6">
        <v>465.5</v>
      </c>
      <c r="R56">
        <v>463.5</v>
      </c>
      <c r="S56">
        <v>462.5</v>
      </c>
      <c r="T56">
        <v>462.1</v>
      </c>
      <c r="U56" s="27"/>
      <c r="Z56" s="6"/>
      <c r="AG56" s="6"/>
      <c r="AI56" s="6"/>
      <c r="AK56" s="6"/>
    </row>
    <row r="57" spans="1:37">
      <c r="A57" s="1">
        <v>56</v>
      </c>
      <c r="B57" s="23">
        <v>449.3</v>
      </c>
      <c r="C57" s="23">
        <v>449.1</v>
      </c>
      <c r="D57" s="23">
        <v>449.1</v>
      </c>
      <c r="E57" s="6">
        <v>449</v>
      </c>
      <c r="F57" s="16">
        <v>448.8</v>
      </c>
      <c r="G57">
        <v>473.6</v>
      </c>
      <c r="H57">
        <v>473.6</v>
      </c>
      <c r="I57">
        <v>473.6</v>
      </c>
      <c r="J57">
        <v>473.4</v>
      </c>
      <c r="K57" s="16">
        <v>473.2</v>
      </c>
      <c r="L57">
        <v>472.9</v>
      </c>
      <c r="M57">
        <v>472.8</v>
      </c>
      <c r="N57">
        <v>472.6</v>
      </c>
      <c r="O57">
        <v>472.4</v>
      </c>
      <c r="P57" s="16">
        <v>472.4</v>
      </c>
      <c r="Q57" s="6">
        <v>472</v>
      </c>
      <c r="R57">
        <v>471.9</v>
      </c>
      <c r="S57">
        <v>471.8</v>
      </c>
      <c r="T57">
        <v>471.6</v>
      </c>
      <c r="U57" s="27"/>
      <c r="Z57" s="6"/>
      <c r="AG57" s="6"/>
      <c r="AI57" s="6"/>
    </row>
    <row r="58" spans="1:37">
      <c r="A58" s="1">
        <v>57</v>
      </c>
      <c r="B58" s="23">
        <v>447.1</v>
      </c>
      <c r="C58" s="23">
        <v>447</v>
      </c>
      <c r="D58" s="23">
        <v>446.9</v>
      </c>
      <c r="E58">
        <v>446.8</v>
      </c>
      <c r="F58" s="16">
        <v>446.1</v>
      </c>
      <c r="G58">
        <v>467.9</v>
      </c>
      <c r="H58">
        <v>467.4</v>
      </c>
      <c r="I58">
        <v>467.3</v>
      </c>
      <c r="J58">
        <v>466.7</v>
      </c>
      <c r="K58" s="16">
        <v>466.5</v>
      </c>
      <c r="L58">
        <v>464.9</v>
      </c>
      <c r="M58">
        <v>464.8</v>
      </c>
      <c r="N58">
        <v>463.6</v>
      </c>
      <c r="O58">
        <v>463.3</v>
      </c>
      <c r="P58" s="16">
        <v>463.2</v>
      </c>
      <c r="Q58">
        <v>461.8</v>
      </c>
      <c r="R58">
        <v>461.6</v>
      </c>
      <c r="S58">
        <v>461.2</v>
      </c>
      <c r="T58">
        <v>460.6</v>
      </c>
      <c r="U58" s="27"/>
      <c r="Z58" s="6"/>
      <c r="AG58" s="6"/>
      <c r="AI58" s="6"/>
      <c r="AJ58" s="6"/>
    </row>
    <row r="59" spans="1:37">
      <c r="A59" s="1">
        <v>58</v>
      </c>
      <c r="B59" s="23">
        <v>464.2</v>
      </c>
      <c r="C59" s="23">
        <v>462.6</v>
      </c>
      <c r="D59" s="23">
        <v>459.5</v>
      </c>
      <c r="E59">
        <v>459.2</v>
      </c>
      <c r="F59" s="16">
        <v>456.3</v>
      </c>
      <c r="G59">
        <v>453.4</v>
      </c>
      <c r="H59">
        <v>451.7</v>
      </c>
      <c r="I59">
        <v>450.1</v>
      </c>
      <c r="J59">
        <v>448.4</v>
      </c>
      <c r="K59" s="16">
        <v>444.9</v>
      </c>
      <c r="L59">
        <v>441.1</v>
      </c>
      <c r="M59">
        <v>440.4</v>
      </c>
      <c r="N59">
        <v>437.1</v>
      </c>
      <c r="O59">
        <v>435.8</v>
      </c>
      <c r="P59" s="16">
        <v>458.8</v>
      </c>
      <c r="Q59">
        <v>457.4</v>
      </c>
      <c r="R59">
        <v>456.7</v>
      </c>
      <c r="S59">
        <v>453.4</v>
      </c>
      <c r="T59">
        <v>452.3</v>
      </c>
      <c r="U59" s="27"/>
      <c r="Z59" s="6"/>
      <c r="AG59" s="6"/>
      <c r="AI59" s="6"/>
    </row>
    <row r="60" spans="1:37">
      <c r="A60" s="1">
        <v>59</v>
      </c>
      <c r="B60" s="23">
        <v>459.3</v>
      </c>
      <c r="C60" s="23">
        <v>459.2</v>
      </c>
      <c r="D60" s="23">
        <v>459.1</v>
      </c>
      <c r="E60" s="6">
        <v>459</v>
      </c>
      <c r="F60" s="16">
        <v>458.7</v>
      </c>
      <c r="G60">
        <v>458.3</v>
      </c>
      <c r="H60">
        <v>458.2</v>
      </c>
      <c r="I60">
        <v>458.2</v>
      </c>
      <c r="J60">
        <v>457.9</v>
      </c>
      <c r="K60" s="16">
        <v>457.6</v>
      </c>
      <c r="L60">
        <v>457.3</v>
      </c>
      <c r="M60">
        <v>457.1</v>
      </c>
      <c r="N60">
        <v>456.9</v>
      </c>
      <c r="O60">
        <v>456.8</v>
      </c>
      <c r="P60" s="16">
        <v>456.7</v>
      </c>
      <c r="Q60">
        <v>456.4</v>
      </c>
      <c r="R60">
        <v>456.3</v>
      </c>
      <c r="S60">
        <v>456.1</v>
      </c>
      <c r="T60" s="6">
        <v>456</v>
      </c>
      <c r="U60" s="27"/>
      <c r="Z60" s="6"/>
      <c r="AG60" s="6"/>
      <c r="AI60" s="6"/>
    </row>
    <row r="61" spans="1:37">
      <c r="A61" s="1">
        <v>60</v>
      </c>
      <c r="B61" s="23">
        <v>454.1</v>
      </c>
      <c r="C61" s="23">
        <v>453.8</v>
      </c>
      <c r="D61" s="23">
        <v>453.6</v>
      </c>
      <c r="E61">
        <v>453.5</v>
      </c>
      <c r="F61" s="16">
        <v>453.3</v>
      </c>
      <c r="G61">
        <v>473.1</v>
      </c>
      <c r="H61">
        <v>473.1</v>
      </c>
      <c r="I61">
        <v>472.9</v>
      </c>
      <c r="J61">
        <v>472.6</v>
      </c>
      <c r="K61" s="16">
        <v>472.5</v>
      </c>
      <c r="L61">
        <v>472.1</v>
      </c>
      <c r="M61" s="6">
        <v>472</v>
      </c>
      <c r="N61">
        <v>471.7</v>
      </c>
      <c r="O61">
        <v>471.7</v>
      </c>
      <c r="P61" s="16">
        <v>471.5</v>
      </c>
      <c r="Q61">
        <v>471.1</v>
      </c>
      <c r="R61">
        <v>470.9</v>
      </c>
      <c r="S61">
        <v>470.7</v>
      </c>
      <c r="T61">
        <v>470.5</v>
      </c>
      <c r="U61" s="27"/>
      <c r="Z61" s="6"/>
      <c r="AG61" s="6"/>
      <c r="AI61" s="6"/>
      <c r="AJ61" s="6"/>
    </row>
    <row r="62" spans="1:37">
      <c r="A62" t="s">
        <v>75</v>
      </c>
      <c r="B62" s="23">
        <v>456.3</v>
      </c>
      <c r="C62" s="23">
        <v>456.2</v>
      </c>
      <c r="D62" s="37">
        <v>456</v>
      </c>
      <c r="E62">
        <v>455.9</v>
      </c>
      <c r="F62" s="16">
        <v>455.7</v>
      </c>
      <c r="G62">
        <v>476.4</v>
      </c>
      <c r="H62">
        <v>476.3</v>
      </c>
      <c r="I62" s="6">
        <v>476</v>
      </c>
      <c r="J62">
        <v>475.8</v>
      </c>
      <c r="K62" s="16">
        <v>475.6</v>
      </c>
      <c r="L62">
        <v>475.2</v>
      </c>
      <c r="M62">
        <v>475.1</v>
      </c>
      <c r="N62">
        <v>474.9</v>
      </c>
      <c r="O62">
        <v>474.7</v>
      </c>
      <c r="P62" s="16">
        <v>474.6</v>
      </c>
      <c r="Q62">
        <v>474.1</v>
      </c>
      <c r="R62" s="6">
        <v>474</v>
      </c>
      <c r="S62">
        <v>473.9</v>
      </c>
      <c r="T62">
        <v>473.7</v>
      </c>
      <c r="U62" s="27"/>
      <c r="Z62" s="6"/>
      <c r="AG62" s="6"/>
      <c r="AI62" s="6"/>
    </row>
    <row r="63" spans="1:37" s="9" customFormat="1">
      <c r="A63" s="9" t="s">
        <v>76</v>
      </c>
      <c r="B63" s="24">
        <v>458.1</v>
      </c>
      <c r="C63" s="24">
        <v>458</v>
      </c>
      <c r="D63" s="24">
        <v>457.9</v>
      </c>
      <c r="E63" s="9">
        <v>457.8</v>
      </c>
      <c r="F63" s="20">
        <v>457.6</v>
      </c>
      <c r="G63" s="9">
        <v>457.2</v>
      </c>
      <c r="H63" s="9">
        <v>457.1</v>
      </c>
      <c r="I63" s="14">
        <v>457</v>
      </c>
      <c r="J63" s="9">
        <v>456.7</v>
      </c>
      <c r="K63" s="20">
        <v>456.5</v>
      </c>
      <c r="L63" s="9">
        <v>456.1</v>
      </c>
      <c r="M63" s="9">
        <v>456.1</v>
      </c>
      <c r="N63" s="9">
        <v>455.8</v>
      </c>
      <c r="O63" s="9">
        <v>455.7</v>
      </c>
      <c r="P63" s="20">
        <v>455.6</v>
      </c>
      <c r="Q63" s="9">
        <v>455.3</v>
      </c>
      <c r="R63" s="9">
        <v>455.1</v>
      </c>
      <c r="S63" s="14">
        <v>455</v>
      </c>
      <c r="T63" s="9">
        <v>454.8</v>
      </c>
      <c r="U63" s="28"/>
      <c r="Z63" s="14"/>
      <c r="AG63" s="14"/>
      <c r="AI63" s="14"/>
    </row>
    <row r="64" spans="1:37">
      <c r="A64" t="s">
        <v>73</v>
      </c>
      <c r="B64" s="23">
        <v>500</v>
      </c>
      <c r="C64" s="23">
        <v>500</v>
      </c>
      <c r="D64" s="37">
        <v>500</v>
      </c>
      <c r="E64" s="6">
        <v>500</v>
      </c>
      <c r="F64" s="27">
        <v>500</v>
      </c>
      <c r="G64">
        <v>500</v>
      </c>
      <c r="H64">
        <v>500</v>
      </c>
      <c r="I64" s="6">
        <v>500</v>
      </c>
      <c r="J64" s="6">
        <v>500</v>
      </c>
      <c r="K64" s="27">
        <v>500</v>
      </c>
      <c r="L64" s="6">
        <v>500</v>
      </c>
      <c r="M64" s="6">
        <v>500</v>
      </c>
      <c r="N64" s="6">
        <v>500</v>
      </c>
      <c r="O64" s="6">
        <v>500</v>
      </c>
      <c r="P64" s="27">
        <v>500</v>
      </c>
      <c r="Q64" s="6">
        <v>500</v>
      </c>
      <c r="R64" s="6">
        <v>500</v>
      </c>
      <c r="S64" s="6">
        <v>500</v>
      </c>
      <c r="T64">
        <v>499.9</v>
      </c>
      <c r="U64" s="27"/>
      <c r="Z64" s="6"/>
      <c r="AG64" s="6"/>
      <c r="AH64" s="6"/>
      <c r="AI64" s="6"/>
      <c r="AJ64" s="6"/>
      <c r="AK64" s="6"/>
    </row>
    <row r="65" spans="1:20">
      <c r="A65" t="s">
        <v>77</v>
      </c>
      <c r="B65" s="23">
        <f>500-B64</f>
        <v>0</v>
      </c>
      <c r="C65" s="23">
        <f t="shared" ref="C65:T65" si="0">500-C64</f>
        <v>0</v>
      </c>
      <c r="D65" s="23">
        <f t="shared" si="0"/>
        <v>0</v>
      </c>
      <c r="E65" s="23">
        <f t="shared" si="0"/>
        <v>0</v>
      </c>
      <c r="F65" s="23">
        <f t="shared" si="0"/>
        <v>0</v>
      </c>
      <c r="G65" s="23">
        <f t="shared" si="0"/>
        <v>0</v>
      </c>
      <c r="H65" s="23">
        <f t="shared" si="0"/>
        <v>0</v>
      </c>
      <c r="I65" s="23">
        <f t="shared" si="0"/>
        <v>0</v>
      </c>
      <c r="J65" s="23">
        <f t="shared" si="0"/>
        <v>0</v>
      </c>
      <c r="K65" s="23">
        <f t="shared" si="0"/>
        <v>0</v>
      </c>
      <c r="L65" s="23">
        <f t="shared" si="0"/>
        <v>0</v>
      </c>
      <c r="M65" s="23">
        <f t="shared" si="0"/>
        <v>0</v>
      </c>
      <c r="N65" s="23">
        <f t="shared" si="0"/>
        <v>0</v>
      </c>
      <c r="O65" s="23">
        <f t="shared" si="0"/>
        <v>0</v>
      </c>
      <c r="P65" s="23">
        <f t="shared" si="0"/>
        <v>0</v>
      </c>
      <c r="Q65" s="23">
        <f t="shared" si="0"/>
        <v>0</v>
      </c>
      <c r="R65" s="23">
        <f t="shared" si="0"/>
        <v>0</v>
      </c>
      <c r="S65" s="23">
        <f t="shared" si="0"/>
        <v>0</v>
      </c>
      <c r="T65" s="23">
        <f t="shared" si="0"/>
        <v>0.10000000000002274</v>
      </c>
    </row>
    <row r="66" spans="1:20">
      <c r="B66" s="23"/>
      <c r="C66" s="23"/>
      <c r="D66" s="23"/>
    </row>
    <row r="67" spans="1:20">
      <c r="B67" s="23"/>
      <c r="C67" s="23"/>
      <c r="D67" s="23"/>
    </row>
    <row r="68" spans="1:20">
      <c r="B68" s="23"/>
      <c r="C68" s="23"/>
      <c r="D68" s="23"/>
    </row>
    <row r="69" spans="1:20">
      <c r="B69" s="23"/>
      <c r="C69" s="23"/>
      <c r="D69" s="23"/>
    </row>
    <row r="70" spans="1:20">
      <c r="B70" s="23"/>
      <c r="C70" s="23"/>
      <c r="D70" s="23"/>
    </row>
    <row r="71" spans="1:20">
      <c r="B71" s="23"/>
      <c r="C71" s="23"/>
      <c r="D71" s="23"/>
    </row>
    <row r="72" spans="1:20">
      <c r="B72" s="23"/>
      <c r="C72" s="23"/>
      <c r="D72" s="23"/>
    </row>
    <row r="73" spans="1:20">
      <c r="B73" s="23"/>
      <c r="C73" s="23"/>
      <c r="D73" s="23"/>
    </row>
    <row r="74" spans="1:20">
      <c r="B74" s="23"/>
      <c r="C74" s="23"/>
      <c r="D74" s="23"/>
    </row>
    <row r="75" spans="1:20">
      <c r="B75" s="23"/>
      <c r="C75" s="23"/>
      <c r="D75" s="23"/>
    </row>
    <row r="76" spans="1:20">
      <c r="B76" s="23"/>
      <c r="C76" s="23"/>
      <c r="D76" s="23"/>
    </row>
    <row r="77" spans="1:20">
      <c r="B77" s="23"/>
      <c r="C77" s="23"/>
      <c r="D77" s="23"/>
    </row>
    <row r="78" spans="1:20">
      <c r="B78" s="23"/>
      <c r="C78" s="23"/>
      <c r="D78" s="23"/>
    </row>
    <row r="79" spans="1:20">
      <c r="B79" s="23"/>
      <c r="C79" s="23"/>
      <c r="D79" s="23"/>
    </row>
    <row r="80" spans="1:20">
      <c r="B80" s="23"/>
      <c r="C80" s="23"/>
      <c r="D80" s="23"/>
    </row>
    <row r="81" spans="2:4">
      <c r="B81" s="23"/>
      <c r="C81" s="23"/>
      <c r="D81" s="23"/>
    </row>
    <row r="82" spans="2:4">
      <c r="B82" s="23"/>
      <c r="C82" s="23"/>
      <c r="D82" s="23"/>
    </row>
    <row r="83" spans="2:4">
      <c r="B83" s="23"/>
      <c r="C83" s="23"/>
      <c r="D83" s="23"/>
    </row>
    <row r="84" spans="2:4">
      <c r="B84" s="23"/>
      <c r="C84" s="23"/>
      <c r="D84" s="23"/>
    </row>
    <row r="85" spans="2:4">
      <c r="B85" s="23"/>
      <c r="C85" s="23"/>
      <c r="D85" s="23"/>
    </row>
    <row r="86" spans="2:4">
      <c r="B86" s="23"/>
      <c r="C86" s="23"/>
      <c r="D86" s="23"/>
    </row>
    <row r="87" spans="2:4">
      <c r="B87" s="23"/>
      <c r="C87" s="23"/>
      <c r="D87" s="23"/>
    </row>
    <row r="88" spans="2:4">
      <c r="B88" s="23"/>
      <c r="C88" s="23"/>
      <c r="D88" s="23"/>
    </row>
    <row r="89" spans="2:4">
      <c r="B89" s="23"/>
      <c r="C89" s="23"/>
      <c r="D89" s="23"/>
    </row>
    <row r="90" spans="2:4">
      <c r="B90" s="23"/>
      <c r="C90" s="23"/>
      <c r="D90" s="23"/>
    </row>
    <row r="91" spans="2:4">
      <c r="B91" s="23"/>
      <c r="C91" s="23"/>
      <c r="D91" s="23"/>
    </row>
    <row r="92" spans="2:4">
      <c r="B92" s="23"/>
      <c r="C92" s="23"/>
      <c r="D92" s="23"/>
    </row>
    <row r="93" spans="2:4">
      <c r="B93" s="23"/>
      <c r="C93" s="23"/>
      <c r="D93" s="23"/>
    </row>
    <row r="94" spans="2:4">
      <c r="B94" s="23"/>
      <c r="C94" s="23"/>
      <c r="D94" s="23"/>
    </row>
    <row r="95" spans="2:4">
      <c r="B95" s="23"/>
      <c r="C95" s="23"/>
      <c r="D95" s="23"/>
    </row>
    <row r="96" spans="2:4">
      <c r="B96" s="23"/>
      <c r="C96" s="23"/>
      <c r="D96" s="23"/>
    </row>
    <row r="97" spans="2:4">
      <c r="B97" s="23"/>
      <c r="C97" s="23"/>
      <c r="D97" s="23"/>
    </row>
    <row r="98" spans="2:4">
      <c r="B98" s="23"/>
      <c r="C98" s="23"/>
      <c r="D98" s="23"/>
    </row>
    <row r="99" spans="2:4">
      <c r="B99" s="23"/>
      <c r="C99" s="23"/>
      <c r="D99" s="23"/>
    </row>
    <row r="100" spans="2:4">
      <c r="B100" s="23"/>
      <c r="C100" s="23"/>
      <c r="D100" s="23"/>
    </row>
    <row r="101" spans="2:4">
      <c r="B101" s="23"/>
      <c r="C101" s="23"/>
      <c r="D101" s="23"/>
    </row>
    <row r="102" spans="2:4">
      <c r="B102" s="23"/>
      <c r="C102" s="23"/>
      <c r="D102" s="23"/>
    </row>
    <row r="103" spans="2:4">
      <c r="B103" s="23"/>
      <c r="C103" s="23"/>
      <c r="D103" s="23"/>
    </row>
    <row r="104" spans="2:4">
      <c r="B104" s="23"/>
      <c r="C104" s="23"/>
      <c r="D104" s="23"/>
    </row>
    <row r="105" spans="2:4">
      <c r="B105" s="23"/>
      <c r="C105" s="23"/>
      <c r="D105" s="23"/>
    </row>
    <row r="106" spans="2:4">
      <c r="B106" s="23"/>
      <c r="C106" s="23"/>
      <c r="D106" s="23"/>
    </row>
    <row r="107" spans="2:4">
      <c r="B107" s="23"/>
      <c r="C107" s="23"/>
      <c r="D107" s="23"/>
    </row>
    <row r="108" spans="2:4">
      <c r="B108" s="23"/>
      <c r="C108" s="23"/>
      <c r="D108" s="23"/>
    </row>
    <row r="109" spans="2:4">
      <c r="B109" s="23"/>
      <c r="C109" s="23"/>
      <c r="D109" s="23"/>
    </row>
    <row r="110" spans="2:4">
      <c r="B110" s="23"/>
      <c r="C110" s="23"/>
      <c r="D110" s="23"/>
    </row>
    <row r="111" spans="2:4">
      <c r="B111" s="23"/>
      <c r="C111" s="23"/>
      <c r="D111" s="23"/>
    </row>
    <row r="112" spans="2:4">
      <c r="B112" s="23"/>
      <c r="C112" s="23"/>
      <c r="D112" s="23"/>
    </row>
    <row r="113" spans="2:4">
      <c r="B113" s="23"/>
      <c r="C113" s="23"/>
      <c r="D113" s="23"/>
    </row>
    <row r="114" spans="2:4">
      <c r="B114" s="23"/>
      <c r="C114" s="23"/>
      <c r="D114" s="23"/>
    </row>
    <row r="115" spans="2:4">
      <c r="B115" s="23"/>
      <c r="C115" s="23"/>
      <c r="D115" s="23"/>
    </row>
    <row r="116" spans="2:4">
      <c r="B116" s="23"/>
      <c r="C116" s="23"/>
      <c r="D116" s="23"/>
    </row>
    <row r="117" spans="2:4">
      <c r="B117" s="23"/>
      <c r="C117" s="23"/>
      <c r="D117" s="23"/>
    </row>
    <row r="118" spans="2:4">
      <c r="B118" s="23"/>
      <c r="C118" s="23"/>
      <c r="D118" s="23"/>
    </row>
    <row r="119" spans="2:4">
      <c r="B119" s="23"/>
      <c r="C119" s="23"/>
      <c r="D119" s="23"/>
    </row>
    <row r="120" spans="2:4">
      <c r="B120" s="23"/>
      <c r="C120" s="23"/>
      <c r="D120" s="23"/>
    </row>
    <row r="121" spans="2:4">
      <c r="B121" s="23"/>
      <c r="C121" s="23"/>
      <c r="D121" s="23"/>
    </row>
    <row r="122" spans="2:4">
      <c r="B122" s="23"/>
      <c r="C122" s="23"/>
      <c r="D122" s="23"/>
    </row>
    <row r="123" spans="2:4">
      <c r="B123" s="23"/>
      <c r="C123" s="23"/>
      <c r="D123" s="23"/>
    </row>
    <row r="124" spans="2:4">
      <c r="B124" s="23"/>
      <c r="C124" s="23"/>
      <c r="D124" s="23"/>
    </row>
    <row r="125" spans="2:4">
      <c r="B125" s="23"/>
      <c r="C125" s="23"/>
      <c r="D125" s="23"/>
    </row>
    <row r="126" spans="2:4">
      <c r="B126" s="23"/>
      <c r="C126" s="23"/>
      <c r="D126" s="23"/>
    </row>
    <row r="127" spans="2:4">
      <c r="B127" s="23"/>
      <c r="C127" s="23"/>
      <c r="D127" s="23"/>
    </row>
    <row r="128" spans="2:4">
      <c r="B128" s="23"/>
      <c r="C128" s="23"/>
      <c r="D128" s="23"/>
    </row>
    <row r="129" spans="2:4">
      <c r="B129" s="23"/>
      <c r="C129" s="23"/>
      <c r="D129" s="23"/>
    </row>
    <row r="130" spans="2:4">
      <c r="B130" s="23"/>
      <c r="C130" s="23"/>
      <c r="D130" s="23"/>
    </row>
    <row r="131" spans="2:4">
      <c r="B131" s="23"/>
      <c r="C131" s="23"/>
      <c r="D131" s="23"/>
    </row>
    <row r="132" spans="2:4">
      <c r="B132" s="23"/>
      <c r="C132" s="23"/>
      <c r="D132" s="23"/>
    </row>
    <row r="133" spans="2:4">
      <c r="B133" s="23"/>
      <c r="C133" s="23"/>
      <c r="D133" s="23"/>
    </row>
    <row r="134" spans="2:4">
      <c r="B134" s="23"/>
      <c r="C134" s="23"/>
      <c r="D134" s="23"/>
    </row>
    <row r="135" spans="2:4">
      <c r="B135" s="23"/>
      <c r="C135" s="23"/>
      <c r="D135" s="23"/>
    </row>
    <row r="136" spans="2:4">
      <c r="B136" s="23"/>
      <c r="C136" s="23"/>
      <c r="D136" s="23"/>
    </row>
    <row r="137" spans="2:4">
      <c r="B137" s="23"/>
      <c r="C137" s="23"/>
      <c r="D137" s="23"/>
    </row>
    <row r="138" spans="2:4">
      <c r="B138" s="23"/>
      <c r="C138" s="23"/>
      <c r="D138" s="23"/>
    </row>
    <row r="139" spans="2:4">
      <c r="B139" s="23"/>
      <c r="C139" s="23"/>
      <c r="D139" s="23"/>
    </row>
    <row r="140" spans="2:4">
      <c r="B140" s="23"/>
      <c r="C140" s="23"/>
      <c r="D140" s="23"/>
    </row>
    <row r="141" spans="2:4">
      <c r="B141" s="23"/>
      <c r="C141" s="23"/>
      <c r="D141" s="23"/>
    </row>
    <row r="142" spans="2:4">
      <c r="B142" s="23"/>
      <c r="C142" s="23"/>
      <c r="D142" s="23"/>
    </row>
    <row r="143" spans="2:4">
      <c r="B143" s="23"/>
      <c r="C143" s="23"/>
      <c r="D143" s="23"/>
    </row>
    <row r="144" spans="2:4">
      <c r="B144" s="23"/>
      <c r="C144" s="23"/>
      <c r="D144" s="23"/>
    </row>
    <row r="145" spans="2:4">
      <c r="B145" s="23"/>
      <c r="C145" s="23"/>
      <c r="D145" s="23"/>
    </row>
    <row r="146" spans="2:4">
      <c r="B146" s="23"/>
      <c r="C146" s="23"/>
      <c r="D146" s="23"/>
    </row>
    <row r="147" spans="2:4">
      <c r="B147" s="23"/>
      <c r="C147" s="23"/>
      <c r="D147" s="23"/>
    </row>
    <row r="148" spans="2:4">
      <c r="B148" s="23"/>
      <c r="C148" s="23"/>
      <c r="D148" s="23"/>
    </row>
    <row r="149" spans="2:4">
      <c r="B149" s="23"/>
      <c r="C149" s="23"/>
      <c r="D149" s="23"/>
    </row>
    <row r="150" spans="2:4">
      <c r="B150" s="23"/>
      <c r="C150" s="23"/>
      <c r="D150" s="23"/>
    </row>
    <row r="151" spans="2:4">
      <c r="B151" s="23"/>
      <c r="C151" s="23"/>
      <c r="D151" s="23"/>
    </row>
    <row r="152" spans="2:4">
      <c r="B152" s="23"/>
      <c r="C152" s="23"/>
      <c r="D152" s="23"/>
    </row>
    <row r="153" spans="2:4">
      <c r="B153" s="23"/>
      <c r="C153" s="23"/>
      <c r="D153" s="23"/>
    </row>
    <row r="154" spans="2:4">
      <c r="B154" s="23"/>
      <c r="C154" s="23"/>
      <c r="D154" s="23"/>
    </row>
    <row r="155" spans="2:4">
      <c r="B155" s="23"/>
      <c r="C155" s="23"/>
      <c r="D155" s="23"/>
    </row>
    <row r="156" spans="2:4">
      <c r="B156" s="23"/>
      <c r="C156" s="23"/>
      <c r="D156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DD04-7F04-451E-8032-5F072FC3C1E5}">
  <dimension ref="A1:BN90"/>
  <sheetViews>
    <sheetView topLeftCell="A10" workbookViewId="0">
      <selection activeCell="X35" sqref="X35"/>
    </sheetView>
  </sheetViews>
  <sheetFormatPr defaultColWidth="7.453125" defaultRowHeight="14.5"/>
  <cols>
    <col min="1" max="1" width="7.453125" style="16"/>
    <col min="6" max="6" width="7.453125" style="16"/>
    <col min="11" max="11" width="7.453125" style="16"/>
    <col min="16" max="16" width="7.453125" style="16"/>
    <col min="21" max="21" width="7.453125" style="16"/>
    <col min="22" max="36" width="7.453125" customWidth="1"/>
    <col min="37" max="37" width="7.453125" style="16" customWidth="1"/>
  </cols>
  <sheetData>
    <row r="1" spans="1:65" s="3" customFormat="1">
      <c r="A1" s="3" t="s">
        <v>1</v>
      </c>
      <c r="B1" s="32">
        <v>45957</v>
      </c>
      <c r="C1" s="32">
        <v>45958</v>
      </c>
      <c r="D1" s="32">
        <v>45959</v>
      </c>
      <c r="E1" s="32">
        <v>45960</v>
      </c>
      <c r="F1" s="66">
        <v>45961</v>
      </c>
      <c r="G1" s="30">
        <v>45964</v>
      </c>
      <c r="H1" s="30">
        <v>45965</v>
      </c>
      <c r="I1" s="30">
        <v>45966</v>
      </c>
      <c r="J1" s="30">
        <v>45967</v>
      </c>
      <c r="K1" s="31">
        <v>45968</v>
      </c>
      <c r="L1" s="30">
        <v>45971</v>
      </c>
      <c r="M1" s="30">
        <v>45972</v>
      </c>
      <c r="N1" s="30">
        <v>45973</v>
      </c>
      <c r="O1" s="30">
        <v>45974</v>
      </c>
      <c r="P1" s="31">
        <v>45975</v>
      </c>
      <c r="Q1" s="30">
        <v>45978</v>
      </c>
      <c r="R1" s="30">
        <v>45979</v>
      </c>
      <c r="S1" s="30">
        <v>45980</v>
      </c>
      <c r="T1" s="30">
        <v>45981</v>
      </c>
      <c r="U1" s="31"/>
    </row>
    <row r="2" spans="1:65">
      <c r="A2" s="18">
        <v>1</v>
      </c>
      <c r="B2" s="36">
        <f>water_ON!B2 - water_OFF!B2 - AVERAGE(B$62:B$63)</f>
        <v>1.7000000000000171</v>
      </c>
      <c r="C2" s="36">
        <f>water_ON!C2 - water_OFF!C2 - AVERAGE(C$62:C$63)</f>
        <v>0</v>
      </c>
      <c r="D2" s="36">
        <f>water_ON!D2 - water_OFF!D2 - AVERAGE(D$62:D$63)</f>
        <v>1.1499999999999773</v>
      </c>
      <c r="E2" s="36">
        <f>water_ON!E2 - water_OFF!E2 - AVERAGE(E$62:E$63)</f>
        <v>4.9999999999982947E-2</v>
      </c>
      <c r="F2" s="36">
        <f>water_ON!F2 - water_OFF!F2 - AVERAGE(F$62:F$63)</f>
        <v>-9.9999999999994316E-2</v>
      </c>
      <c r="G2" s="36">
        <f>water_ON!G2 - water_OFF!G2 - AVERAGE(G$62:G$63)</f>
        <v>0.10000000000005116</v>
      </c>
      <c r="H2" s="36">
        <f>water_ON!H2 - water_OFF!H2 - AVERAGE(H$62:H$63)</f>
        <v>0.19999999999998863</v>
      </c>
      <c r="I2" s="36">
        <f>water_ON!I2 - water_OFF!I2 - AVERAGE(I$62:I$63)</f>
        <v>4.25</v>
      </c>
      <c r="J2" s="36">
        <f>water_ON!J2 - water_OFF!J2 - AVERAGE(J$62:J$63)</f>
        <v>3.9000000000000057</v>
      </c>
      <c r="K2" s="36">
        <f>water_ON!K2 - water_OFF!K2 - AVERAGE(K$62:K$63)</f>
        <v>0.20000000000004547</v>
      </c>
      <c r="L2" s="36">
        <f>water_ON!L2 - water_OFF!L2 - AVERAGE(L$62:L$63)</f>
        <v>0.75000000000002842</v>
      </c>
      <c r="M2" s="36">
        <f>water_ON!M2 - water_OFF!M2 - AVERAGE(M$62:M$63)</f>
        <v>1.1000000000000227</v>
      </c>
      <c r="N2" s="36">
        <f>water_ON!N2 - water_OFF!N2 - AVERAGE(N$62:N$63)</f>
        <v>1.0500000000000398</v>
      </c>
      <c r="O2" s="36">
        <f>water_ON!O2 - water_OFF!O2 - AVERAGE(O$62:O$63)</f>
        <v>0.19999999999998863</v>
      </c>
      <c r="P2" s="36">
        <f>water_ON!P2 - water_OFF!P2 - AVERAGE(P$62:P$63)</f>
        <v>0</v>
      </c>
      <c r="Q2" s="36">
        <f>water_ON!Q2 - water_OFF!Q2 - AVERAGE(Q$62:Q$63)</f>
        <v>3.3500000000000227</v>
      </c>
      <c r="R2" s="36">
        <f>water_ON!R2 - water_OFF!R2 - AVERAGE(R$62:R$63)</f>
        <v>4.9999999999982947E-2</v>
      </c>
      <c r="S2" s="36">
        <f>water_ON!S2 - water_OFF!S2 - AVERAGE(S$62:S$63)</f>
        <v>0.60000000000002274</v>
      </c>
      <c r="T2" s="36">
        <f>water_ON!T2 - water_OFF!T2 - AVERAGE(T$62:T$63)</f>
        <v>0.80000000000001137</v>
      </c>
      <c r="U2" s="27"/>
      <c r="V2" s="6" t="str">
        <f>IF(water_OFF!V2, (water_ON!V2+500-water_ON!V$64) - (water_OFF!V2+500-water_OFF!V$64) - AVERAGE(V$62:V$63), "")</f>
        <v/>
      </c>
      <c r="W2" s="6" t="str">
        <f>IF(water_OFF!W2, (water_ON!W2+500-water_ON!W$64) - (water_OFF!W2+500-water_OFF!W$64) - AVERAGE(W$62:W$63), "")</f>
        <v/>
      </c>
      <c r="X2" s="6" t="str">
        <f>IF(water_OFF!X2, (water_ON!X2+500-water_ON!X$64) - (water_OFF!X2+500-water_OFF!X$64) - AVERAGE(X$62:X$63), "")</f>
        <v/>
      </c>
      <c r="Y2" s="6" t="str">
        <f>IF(water_OFF!Y2, (water_ON!Y2+500-water_ON!Y$64) - (water_OFF!Y2+500-water_OFF!Y$64) - AVERAGE(Y$62:Y$63), "")</f>
        <v/>
      </c>
      <c r="Z2" s="6" t="str">
        <f>IF(water_OFF!Z2, (water_ON!Z2+500-water_ON!Z$64) - (water_OFF!Z2+500-water_OFF!Z$64) - AVERAGE(Z$62:Z$63), "")</f>
        <v/>
      </c>
      <c r="AA2" s="6" t="str">
        <f>IF(water_OFF!AA2, (water_ON!AA2+500-water_ON!AA$64) - (water_OFF!AA2+500-water_OFF!AA$64) - AVERAGE(AA$62:AA$63), "")</f>
        <v/>
      </c>
      <c r="AB2" s="6" t="str">
        <f>IF(water_OFF!AB2, (water_ON!AB2+500-water_ON!AB$64) - (water_OFF!AB2+500-water_OFF!AB$64) - AVERAGE(AB$62:AB$63), "")</f>
        <v/>
      </c>
      <c r="AC2" s="6" t="str">
        <f>IF(water_OFF!AC2, (water_ON!AC2+500-water_ON!AC$64) - (water_OFF!AC2+500-water_OFF!AC$64) - AVERAGE(AC$62:AC$63), "")</f>
        <v/>
      </c>
      <c r="AD2" s="6" t="str">
        <f>IF(water_OFF!AD2, (water_ON!AD2+500-water_ON!AD$64) - (water_OFF!AD2+500-water_OFF!AD$64) - AVERAGE(AD$62:AD$63), "")</f>
        <v/>
      </c>
      <c r="AE2" s="6" t="str">
        <f>IF(water_OFF!AE2, (water_ON!AE2+500-water_ON!AE$64) - (water_OFF!AE2+500-water_OFF!AE$64) - AVERAGE(AE$62:AE$63), "")</f>
        <v/>
      </c>
      <c r="AF2" s="6" t="str">
        <f>IF(water_OFF!AF2, (water_ON!AF2+500-water_ON!AF$64) - (water_OFF!AF2+500-water_OFF!AF$64) - AVERAGE(AF$62:AF$63), "")</f>
        <v/>
      </c>
      <c r="AG2" s="6" t="str">
        <f>IF(water_OFF!AG2, (water_ON!AG2+500-water_ON!AG$64) - (water_OFF!AG2+500-water_OFF!AG$64) - AVERAGE(AG$62:AG$63), "")</f>
        <v/>
      </c>
      <c r="AH2" s="6" t="str">
        <f>IF(water_OFF!AH2, (water_ON!AH2+500-water_ON!AH$64) - (water_OFF!AH2+500-water_OFF!AH$64) - AVERAGE(AH$62:AH$63), "")</f>
        <v/>
      </c>
      <c r="AI2" s="6" t="str">
        <f>IF(water_OFF!AI2, (water_ON!AI2+500-water_ON!AI$64) - (water_OFF!AI2+500-water_OFF!AI$64) - AVERAGE(AI$62:AI$63), "")</f>
        <v/>
      </c>
      <c r="AJ2" s="6" t="str">
        <f>IF(water_OFF!AJ2, (water_ON!AJ2+500-water_ON!AJ$64) - (water_OFF!AJ2+500-water_OFF!AJ$64) - AVERAGE(AJ$62:AJ$63), "")</f>
        <v/>
      </c>
      <c r="AK2" s="27" t="str">
        <f>IF(water_OFF!AK2, (water_ON!AK2+500-water_ON!AK$64) - (water_OFF!AK2+500-water_OFF!AK$64) - AVERAGE(AK$62:AK$63), "")</f>
        <v/>
      </c>
      <c r="AL2" s="6"/>
      <c r="AM2" s="6"/>
      <c r="AN2" s="6"/>
      <c r="AO2" s="6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>
      <c r="A3" s="18">
        <v>2</v>
      </c>
      <c r="B3" s="36">
        <f>water_ON!B3 - water_OFF!B3 - AVERAGE(B$62:B$63)</f>
        <v>2.8421709430404007E-14</v>
      </c>
      <c r="C3" s="36">
        <f>water_ON!C3 - water_OFF!C3 - AVERAGE(C$62:C$63)</f>
        <v>0.10000000000002274</v>
      </c>
      <c r="D3" s="36">
        <f>water_ON!D3 - water_OFF!D3 - AVERAGE(D$62:D$63)</f>
        <v>-5.0000000000011369E-2</v>
      </c>
      <c r="E3" s="36">
        <f>water_ON!E3 - water_OFF!E3 - AVERAGE(E$62:E$63)</f>
        <v>0.15000000000000568</v>
      </c>
      <c r="F3" s="36">
        <f>water_ON!F3 - water_OFF!F3 - AVERAGE(F$62:F$63)</f>
        <v>-9.9999999999994316E-2</v>
      </c>
      <c r="G3" s="36">
        <f>water_ON!G3 - water_OFF!G3 - AVERAGE(G$62:G$63)</f>
        <v>9.9999999999994316E-2</v>
      </c>
      <c r="H3" s="36">
        <f>water_ON!H3 - water_OFF!H3 - AVERAGE(H$62:H$63)</f>
        <v>0.20000000000004547</v>
      </c>
      <c r="I3" s="36">
        <f>water_ON!I3 - water_OFF!I3 - AVERAGE(I$62:I$63)</f>
        <v>5.0000000000011369E-2</v>
      </c>
      <c r="J3" s="36">
        <f>water_ON!J3 - water_OFF!J3 - AVERAGE(J$62:J$63)</f>
        <v>-9.9999999999994316E-2</v>
      </c>
      <c r="K3" s="36">
        <f>water_ON!K3 - water_OFF!K3 - AVERAGE(K$62:K$63)</f>
        <v>9.9999999999965894E-2</v>
      </c>
      <c r="L3" s="36">
        <f>water_ON!L3 - water_OFF!L3 - AVERAGE(L$62:L$63)</f>
        <v>-0.15000000000000568</v>
      </c>
      <c r="M3" s="36">
        <f>water_ON!M3 - water_OFF!M3 - AVERAGE(M$62:M$63)</f>
        <v>0.10000000000002274</v>
      </c>
      <c r="N3" s="36">
        <f>water_ON!N3 - water_OFF!N3 - AVERAGE(N$62:N$63)</f>
        <v>0.25000000000002842</v>
      </c>
      <c r="O3" s="36">
        <f>water_ON!O3 - water_OFF!O3 - AVERAGE(O$62:O$63)</f>
        <v>-0.10000000000002274</v>
      </c>
      <c r="P3" s="36">
        <f>water_ON!P3 - water_OFF!P3 - AVERAGE(P$62:P$63)</f>
        <v>0</v>
      </c>
      <c r="Q3" s="36">
        <f>water_ON!Q3 - water_OFF!Q3 - AVERAGE(Q$62:Q$63)</f>
        <v>-0.14999999999997726</v>
      </c>
      <c r="R3" s="36">
        <f>water_ON!R3 - water_OFF!R3 - AVERAGE(R$62:R$63)</f>
        <v>5.000000000003979E-2</v>
      </c>
      <c r="S3" s="36">
        <f>water_ON!S3 - water_OFF!S3 - AVERAGE(S$62:S$63)</f>
        <v>0</v>
      </c>
      <c r="T3" s="36">
        <f>water_ON!T3 - water_OFF!T3 - AVERAGE(T$62:T$63)</f>
        <v>9.9999999999965894E-2</v>
      </c>
      <c r="U3" s="27"/>
      <c r="V3" s="6" t="str">
        <f>IF(water_OFF!V3, (water_ON!V3+500-water_ON!V$64) - (water_OFF!V3+500-water_OFF!V$64) - AVERAGE(V$62:V$63), "")</f>
        <v/>
      </c>
      <c r="W3" s="6" t="str">
        <f>IF(water_OFF!W3, (water_ON!W3+500-water_ON!W$64) - (water_OFF!W3+500-water_OFF!W$64) - AVERAGE(W$62:W$63), "")</f>
        <v/>
      </c>
      <c r="X3" s="6" t="str">
        <f>IF(water_OFF!X3, (water_ON!X3+500-water_ON!X$64) - (water_OFF!X3+500-water_OFF!X$64) - AVERAGE(X$62:X$63), "")</f>
        <v/>
      </c>
      <c r="Y3" s="6" t="str">
        <f>IF(water_OFF!Y3, (water_ON!Y3+500-water_ON!Y$64) - (water_OFF!Y3+500-water_OFF!Y$64) - AVERAGE(Y$62:Y$63), "")</f>
        <v/>
      </c>
      <c r="Z3" s="6" t="str">
        <f>IF(water_OFF!Z3, (water_ON!Z3+500-water_ON!Z$64) - (water_OFF!Z3+500-water_OFF!Z$64) - AVERAGE(Z$62:Z$63), "")</f>
        <v/>
      </c>
      <c r="AA3" s="6" t="str">
        <f>IF(water_OFF!AA3, (water_ON!AA3+500-water_ON!AA$64) - (water_OFF!AA3+500-water_OFF!AA$64) - AVERAGE(AA$62:AA$63), "")</f>
        <v/>
      </c>
      <c r="AB3" s="6" t="str">
        <f>IF(water_OFF!AB3, (water_ON!AB3+500-water_ON!AB$64) - (water_OFF!AB3+500-water_OFF!AB$64) - AVERAGE(AB$62:AB$63), "")</f>
        <v/>
      </c>
      <c r="AC3" s="6" t="str">
        <f>IF(water_OFF!AC3, (water_ON!AC3+500-water_ON!AC$64) - (water_OFF!AC3+500-water_OFF!AC$64) - AVERAGE(AC$62:AC$63), "")</f>
        <v/>
      </c>
      <c r="AD3" s="6" t="str">
        <f>IF(water_OFF!AD3, (water_ON!AD3+500-water_ON!AD$64) - (water_OFF!AD3+500-water_OFF!AD$64) - AVERAGE(AD$62:AD$63), "")</f>
        <v/>
      </c>
      <c r="AE3" s="6" t="str">
        <f>IF(water_OFF!AE3, (water_ON!AE3+500-water_ON!AE$64) - (water_OFF!AE3+500-water_OFF!AE$64) - AVERAGE(AE$62:AE$63), "")</f>
        <v/>
      </c>
      <c r="AF3" s="6" t="str">
        <f>IF(water_OFF!AF3, (water_ON!AF3+500-water_ON!AF$64) - (water_OFF!AF3+500-water_OFF!AF$64) - AVERAGE(AF$62:AF$63), "")</f>
        <v/>
      </c>
      <c r="AG3" s="6" t="str">
        <f>IF(water_OFF!AG3, (water_ON!AG3+500-water_ON!AG$64) - (water_OFF!AG3+500-water_OFF!AG$64) - AVERAGE(AG$62:AG$63), "")</f>
        <v/>
      </c>
      <c r="AH3" s="6" t="str">
        <f>IF(water_OFF!AH3, (water_ON!AH3+500-water_ON!AH$64) - (water_OFF!AH3+500-water_OFF!AH$64) - AVERAGE(AH$62:AH$63), "")</f>
        <v/>
      </c>
      <c r="AI3" s="6" t="str">
        <f>IF(water_OFF!AI3, (water_ON!AI3+500-water_ON!AI$64) - (water_OFF!AI3+500-water_OFF!AI$64) - AVERAGE(AI$62:AI$63), "")</f>
        <v/>
      </c>
      <c r="AJ3" s="6" t="str">
        <f>IF(water_OFF!AJ3, (water_ON!AJ3+500-water_ON!AJ$64) - (water_OFF!AJ3+500-water_OFF!AJ$64) - AVERAGE(AJ$62:AJ$63), "")</f>
        <v/>
      </c>
      <c r="AK3" s="27" t="str">
        <f>IF(water_OFF!AK3, (water_ON!AK3+500-water_ON!AK$64) - (water_OFF!AK3+500-water_OFF!AK$64) - AVERAGE(AK$62:AK$63), "")</f>
        <v/>
      </c>
      <c r="AL3" s="6"/>
      <c r="AM3" s="6"/>
      <c r="AN3" s="6"/>
      <c r="AO3" s="6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>
      <c r="A4" s="18">
        <v>3</v>
      </c>
      <c r="B4" s="36">
        <f>water_ON!B4 - water_OFF!B4 - AVERAGE(B$62:B$63)</f>
        <v>9.9999999999994316E-2</v>
      </c>
      <c r="C4" s="36">
        <f>water_ON!C4 - water_OFF!C4 - AVERAGE(C$62:C$63)</f>
        <v>0</v>
      </c>
      <c r="D4" s="36">
        <f>water_ON!D4 - water_OFF!D4 - AVERAGE(D$62:D$63)</f>
        <v>5.0000000000011369E-2</v>
      </c>
      <c r="E4" s="36">
        <f>water_ON!E4 - water_OFF!E4 - AVERAGE(E$62:E$63)</f>
        <v>0.14999999999994884</v>
      </c>
      <c r="F4" s="36">
        <f>water_ON!F4 - water_OFF!F4 - AVERAGE(F$62:F$63)</f>
        <v>2.8421709430404007E-14</v>
      </c>
      <c r="G4" s="36">
        <f>water_ON!G4 - water_OFF!G4 - AVERAGE(G$62:G$63)</f>
        <v>0.10000000000005116</v>
      </c>
      <c r="H4" s="36">
        <f>water_ON!H4 - water_OFF!H4 - AVERAGE(H$62:H$63)</f>
        <v>0.10000000000002274</v>
      </c>
      <c r="I4" s="36">
        <f>water_ON!I4 - water_OFF!I4 - AVERAGE(I$62:I$63)</f>
        <v>5.0000000000011369E-2</v>
      </c>
      <c r="J4" s="36">
        <f>water_ON!J4 - water_OFF!J4 - AVERAGE(J$62:J$63)</f>
        <v>0.29999999999998295</v>
      </c>
      <c r="K4" s="36">
        <f>water_ON!K4 - water_OFF!K4 - AVERAGE(K$62:K$63)</f>
        <v>0</v>
      </c>
      <c r="L4" s="36">
        <f>water_ON!L4 - water_OFF!L4 - AVERAGE(L$62:L$63)</f>
        <v>5.000000000003979E-2</v>
      </c>
      <c r="M4" s="36">
        <f>water_ON!M4 - water_OFF!M4 - AVERAGE(M$62:M$63)</f>
        <v>0.30000000000001137</v>
      </c>
      <c r="N4" s="36">
        <f>water_ON!N4 - water_OFF!N4 - AVERAGE(N$62:N$63)</f>
        <v>0.25000000000002842</v>
      </c>
      <c r="O4" s="36">
        <f>water_ON!O4 - water_OFF!O4 - AVERAGE(O$62:O$63)</f>
        <v>-5.6843418860808015E-14</v>
      </c>
      <c r="P4" s="36">
        <f>water_ON!P4 - water_OFF!P4 - AVERAGE(P$62:P$63)</f>
        <v>9.9999999999965894E-2</v>
      </c>
      <c r="Q4" s="36">
        <f>water_ON!Q4 - water_OFF!Q4 - AVERAGE(Q$62:Q$63)</f>
        <v>-5.0000000000011369E-2</v>
      </c>
      <c r="R4" s="36">
        <f>water_ON!R4 - water_OFF!R4 - AVERAGE(R$62:R$63)</f>
        <v>4.9999999999982947E-2</v>
      </c>
      <c r="S4" s="36">
        <f>water_ON!S4 - water_OFF!S4 - AVERAGE(S$62:S$63)</f>
        <v>0</v>
      </c>
      <c r="T4" s="36">
        <f>water_ON!T4 - water_OFF!T4 - AVERAGE(T$62:T$63)</f>
        <v>9.9999999999965894E-2</v>
      </c>
      <c r="U4" s="27"/>
      <c r="V4" s="6" t="str">
        <f>IF(water_OFF!V4, (water_ON!V4+500-water_ON!V$64) - (water_OFF!V4+500-water_OFF!V$64) - AVERAGE(V$62:V$63), "")</f>
        <v/>
      </c>
      <c r="W4" s="6" t="str">
        <f>IF(water_OFF!W4, (water_ON!W4+500-water_ON!W$64) - (water_OFF!W4+500-water_OFF!W$64) - AVERAGE(W$62:W$63), "")</f>
        <v/>
      </c>
      <c r="X4" s="6" t="str">
        <f>IF(water_OFF!X4, (water_ON!X4+500-water_ON!X$64) - (water_OFF!X4+500-water_OFF!X$64) - AVERAGE(X$62:X$63), "")</f>
        <v/>
      </c>
      <c r="Y4" s="6" t="str">
        <f>IF(water_OFF!Y4, (water_ON!Y4+500-water_ON!Y$64) - (water_OFF!Y4+500-water_OFF!Y$64) - AVERAGE(Y$62:Y$63), "")</f>
        <v/>
      </c>
      <c r="Z4" s="6" t="str">
        <f>IF(water_OFF!Z4, (water_ON!Z4+500-water_ON!Z$64) - (water_OFF!Z4+500-water_OFF!Z$64) - AVERAGE(Z$62:Z$63), "")</f>
        <v/>
      </c>
      <c r="AA4" s="6" t="str">
        <f>IF(water_OFF!AA4, (water_ON!AA4+500-water_ON!AA$64) - (water_OFF!AA4+500-water_OFF!AA$64) - AVERAGE(AA$62:AA$63), "")</f>
        <v/>
      </c>
      <c r="AB4" s="6" t="str">
        <f>IF(water_OFF!AB4, (water_ON!AB4+500-water_ON!AB$64) - (water_OFF!AB4+500-water_OFF!AB$64) - AVERAGE(AB$62:AB$63), "")</f>
        <v/>
      </c>
      <c r="AC4" s="6" t="str">
        <f>IF(water_OFF!AC4, (water_ON!AC4+500-water_ON!AC$64) - (water_OFF!AC4+500-water_OFF!AC$64) - AVERAGE(AC$62:AC$63), "")</f>
        <v/>
      </c>
      <c r="AD4" s="6" t="str">
        <f>IF(water_OFF!AD4, (water_ON!AD4+500-water_ON!AD$64) - (water_OFF!AD4+500-water_OFF!AD$64) - AVERAGE(AD$62:AD$63), "")</f>
        <v/>
      </c>
      <c r="AE4" s="6" t="str">
        <f>IF(water_OFF!AE4, (water_ON!AE4+500-water_ON!AE$64) - (water_OFF!AE4+500-water_OFF!AE$64) - AVERAGE(AE$62:AE$63), "")</f>
        <v/>
      </c>
      <c r="AF4" s="6" t="str">
        <f>IF(water_OFF!AF4, (water_ON!AF4+500-water_ON!AF$64) - (water_OFF!AF4+500-water_OFF!AF$64) - AVERAGE(AF$62:AF$63), "")</f>
        <v/>
      </c>
      <c r="AG4" s="6" t="str">
        <f>IF(water_OFF!AG4, (water_ON!AG4+500-water_ON!AG$64) - (water_OFF!AG4+500-water_OFF!AG$64) - AVERAGE(AG$62:AG$63), "")</f>
        <v/>
      </c>
      <c r="AH4" s="6" t="str">
        <f>IF(water_OFF!AH4, (water_ON!AH4+500-water_ON!AH$64) - (water_OFF!AH4+500-water_OFF!AH$64) - AVERAGE(AH$62:AH$63), "")</f>
        <v/>
      </c>
      <c r="AI4" s="6" t="str">
        <f>IF(water_OFF!AI4, (water_ON!AI4+500-water_ON!AI$64) - (water_OFF!AI4+500-water_OFF!AI$64) - AVERAGE(AI$62:AI$63), "")</f>
        <v/>
      </c>
      <c r="AJ4" s="6" t="str">
        <f>IF(water_OFF!AJ4, (water_ON!AJ4+500-water_ON!AJ$64) - (water_OFF!AJ4+500-water_OFF!AJ$64) - AVERAGE(AJ$62:AJ$63), "")</f>
        <v/>
      </c>
      <c r="AK4" s="27" t="str">
        <f>IF(water_OFF!AK4, (water_ON!AK4+500-water_ON!AK$64) - (water_OFF!AK4+500-water_OFF!AK$64) - AVERAGE(AK$62:AK$63), "")</f>
        <v/>
      </c>
      <c r="AL4" s="6"/>
      <c r="AM4" s="6"/>
      <c r="AN4" s="6"/>
      <c r="AO4" s="6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 spans="1:65">
      <c r="A5" s="18">
        <v>4</v>
      </c>
      <c r="B5" s="36">
        <f>water_ON!B5 - water_OFF!B5 - AVERAGE(B$62:B$63)</f>
        <v>2.8421709430404007E-14</v>
      </c>
      <c r="C5" s="36">
        <f>water_ON!C5 - water_OFF!C5 - AVERAGE(C$62:C$63)</f>
        <v>0.10000000000002274</v>
      </c>
      <c r="D5" s="36">
        <f>water_ON!D5 - water_OFF!D5 - AVERAGE(D$62:D$63)</f>
        <v>5.0000000000011369E-2</v>
      </c>
      <c r="E5" s="36">
        <f>water_ON!E5 - water_OFF!E5 - AVERAGE(E$62:E$63)</f>
        <v>4.9999999999982947E-2</v>
      </c>
      <c r="F5" s="36">
        <f>water_ON!F5 - water_OFF!F5 - AVERAGE(F$62:F$63)</f>
        <v>2.8421709430404007E-14</v>
      </c>
      <c r="G5" s="36">
        <f>water_ON!G5 - water_OFF!G5 - AVERAGE(G$62:G$63)</f>
        <v>9.9999999999994316E-2</v>
      </c>
      <c r="H5" s="36">
        <f>water_ON!H5 - water_OFF!H5 - AVERAGE(H$62:H$63)</f>
        <v>0</v>
      </c>
      <c r="I5" s="36">
        <f>water_ON!I5 - water_OFF!I5 - AVERAGE(I$62:I$63)</f>
        <v>5.0000000000011369E-2</v>
      </c>
      <c r="J5" s="36">
        <f>water_ON!J5 - water_OFF!J5 - AVERAGE(J$62:J$63)</f>
        <v>0.40000000000000568</v>
      </c>
      <c r="K5" s="36">
        <f>water_ON!K5 - water_OFF!K5 - AVERAGE(K$62:K$63)</f>
        <v>0</v>
      </c>
      <c r="L5" s="36">
        <f>water_ON!L5 - water_OFF!L5 - AVERAGE(L$62:L$63)</f>
        <v>-0.14999999999994884</v>
      </c>
      <c r="M5" s="36">
        <f>water_ON!M5 - water_OFF!M5 - AVERAGE(M$62:M$63)</f>
        <v>0.19999999999998863</v>
      </c>
      <c r="N5" s="36">
        <f>water_ON!N5 - water_OFF!N5 - AVERAGE(N$62:N$63)</f>
        <v>4.9999999999982947E-2</v>
      </c>
      <c r="O5" s="36">
        <f>water_ON!O5 - water_OFF!O5 - AVERAGE(O$62:O$63)</f>
        <v>9.9999999999965894E-2</v>
      </c>
      <c r="P5" s="36">
        <f>water_ON!P5 - water_OFF!P5 - AVERAGE(P$62:P$63)</f>
        <v>0</v>
      </c>
      <c r="Q5" s="36">
        <f>water_ON!Q5 - water_OFF!Q5 - AVERAGE(Q$62:Q$63)</f>
        <v>-0.14999999999997726</v>
      </c>
      <c r="R5" s="36">
        <f>water_ON!R5 - water_OFF!R5 - AVERAGE(R$62:R$63)</f>
        <v>-4.9999999999982947E-2</v>
      </c>
      <c r="S5" s="36">
        <f>water_ON!S5 - water_OFF!S5 - AVERAGE(S$62:S$63)</f>
        <v>0.10000000000002274</v>
      </c>
      <c r="T5" s="36">
        <f>water_ON!T5 - water_OFF!T5 - AVERAGE(T$62:T$63)</f>
        <v>0</v>
      </c>
      <c r="U5" s="27"/>
      <c r="V5" s="6" t="str">
        <f>IF(water_OFF!V5, (water_ON!V5+500-water_ON!V$64) - (water_OFF!V5+500-water_OFF!V$64) - AVERAGE(V$62:V$63), "")</f>
        <v/>
      </c>
      <c r="W5" s="6" t="str">
        <f>IF(water_OFF!W5, (water_ON!W5+500-water_ON!W$64) - (water_OFF!W5+500-water_OFF!W$64) - AVERAGE(W$62:W$63), "")</f>
        <v/>
      </c>
      <c r="X5" s="6" t="str">
        <f>IF(water_OFF!X5, (water_ON!X5+500-water_ON!X$64) - (water_OFF!X5+500-water_OFF!X$64) - AVERAGE(X$62:X$63), "")</f>
        <v/>
      </c>
      <c r="Y5" s="6" t="str">
        <f>IF(water_OFF!Y5, (water_ON!Y5+500-water_ON!Y$64) - (water_OFF!Y5+500-water_OFF!Y$64) - AVERAGE(Y$62:Y$63), "")</f>
        <v/>
      </c>
      <c r="Z5" s="6" t="str">
        <f>IF(water_OFF!Z5, (water_ON!Z5+500-water_ON!Z$64) - (water_OFF!Z5+500-water_OFF!Z$64) - AVERAGE(Z$62:Z$63), "")</f>
        <v/>
      </c>
      <c r="AA5" s="6" t="str">
        <f>IF(water_OFF!AA5, (water_ON!AA5+500-water_ON!AA$64) - (water_OFF!AA5+500-water_OFF!AA$64) - AVERAGE(AA$62:AA$63), "")</f>
        <v/>
      </c>
      <c r="AB5" s="6" t="str">
        <f>IF(water_OFF!AB5, (water_ON!AB5+500-water_ON!AB$64) - (water_OFF!AB5+500-water_OFF!AB$64) - AVERAGE(AB$62:AB$63), "")</f>
        <v/>
      </c>
      <c r="AC5" s="6" t="str">
        <f>IF(water_OFF!AC5, (water_ON!AC5+500-water_ON!AC$64) - (water_OFF!AC5+500-water_OFF!AC$64) - AVERAGE(AC$62:AC$63), "")</f>
        <v/>
      </c>
      <c r="AD5" s="6" t="str">
        <f>IF(water_OFF!AD5, (water_ON!AD5+500-water_ON!AD$64) - (water_OFF!AD5+500-water_OFF!AD$64) - AVERAGE(AD$62:AD$63), "")</f>
        <v/>
      </c>
      <c r="AE5" s="6" t="str">
        <f>IF(water_OFF!AE5, (water_ON!AE5+500-water_ON!AE$64) - (water_OFF!AE5+500-water_OFF!AE$64) - AVERAGE(AE$62:AE$63), "")</f>
        <v/>
      </c>
      <c r="AF5" s="6" t="str">
        <f>IF(water_OFF!AF5, (water_ON!AF5+500-water_ON!AF$64) - (water_OFF!AF5+500-water_OFF!AF$64) - AVERAGE(AF$62:AF$63), "")</f>
        <v/>
      </c>
      <c r="AG5" s="6" t="str">
        <f>IF(water_OFF!AG5, (water_ON!AG5+500-water_ON!AG$64) - (water_OFF!AG5+500-water_OFF!AG$64) - AVERAGE(AG$62:AG$63), "")</f>
        <v/>
      </c>
      <c r="AH5" s="6" t="str">
        <f>IF(water_OFF!AH5, (water_ON!AH5+500-water_ON!AH$64) - (water_OFF!AH5+500-water_OFF!AH$64) - AVERAGE(AH$62:AH$63), "")</f>
        <v/>
      </c>
      <c r="AI5" s="6" t="str">
        <f>IF(water_OFF!AI5, (water_ON!AI5+500-water_ON!AI$64) - (water_OFF!AI5+500-water_OFF!AI$64) - AVERAGE(AI$62:AI$63), "")</f>
        <v/>
      </c>
      <c r="AJ5" s="6" t="str">
        <f>IF(water_OFF!AJ5, (water_ON!AJ5+500-water_ON!AJ$64) - (water_OFF!AJ5+500-water_OFF!AJ$64) - AVERAGE(AJ$62:AJ$63), "")</f>
        <v/>
      </c>
      <c r="AK5" s="27" t="str">
        <f>IF(water_OFF!AK5, (water_ON!AK5+500-water_ON!AK$64) - (water_OFF!AK5+500-water_OFF!AK$64) - AVERAGE(AK$62:AK$63), "")</f>
        <v/>
      </c>
      <c r="AL5" s="6"/>
      <c r="AM5" s="6"/>
      <c r="AN5" s="6"/>
      <c r="AO5" s="6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</row>
    <row r="6" spans="1:65">
      <c r="A6" s="18">
        <v>5</v>
      </c>
      <c r="B6" s="36">
        <f>water_ON!B6 - water_OFF!B6 - AVERAGE(B$62:B$63)</f>
        <v>5.8000000000000398</v>
      </c>
      <c r="C6" s="36">
        <f>water_ON!C6 - water_OFF!C6 - AVERAGE(C$62:C$63)</f>
        <v>0.10000000000002274</v>
      </c>
      <c r="D6" s="36">
        <f>water_ON!D6 - water_OFF!D6 - AVERAGE(D$62:D$63)</f>
        <v>0.55000000000001137</v>
      </c>
      <c r="E6" s="36">
        <f>water_ON!E6 - water_OFF!E6 - AVERAGE(E$62:E$63)</f>
        <v>4.9999999999982947E-2</v>
      </c>
      <c r="F6" s="36">
        <f>water_ON!F6 - water_OFF!F6 - AVERAGE(F$62:F$63)</f>
        <v>-9.9999999999994316E-2</v>
      </c>
      <c r="G6" s="36">
        <f>water_ON!G6 - water_OFF!G6 - AVERAGE(G$62:G$63)</f>
        <v>2.4000000000000057</v>
      </c>
      <c r="H6" s="36">
        <f>water_ON!H6 - water_OFF!H6 - AVERAGE(H$62:H$63)</f>
        <v>4.8000000000000114</v>
      </c>
      <c r="I6" s="36">
        <f>water_ON!I6 - water_OFF!I6 - AVERAGE(I$62:I$63)</f>
        <v>3.6499999999999773</v>
      </c>
      <c r="J6" s="36">
        <f>water_ON!J6 - water_OFF!J6 - AVERAGE(J$62:J$63)</f>
        <v>-9.9999999999994316E-2</v>
      </c>
      <c r="K6" s="36">
        <f>water_ON!K6 - water_OFF!K6 - AVERAGE(K$62:K$63)</f>
        <v>1.1999999999999886</v>
      </c>
      <c r="L6" s="36">
        <f>water_ON!L6 - water_OFF!L6 - AVERAGE(L$62:L$63)</f>
        <v>1.2500000000000284</v>
      </c>
      <c r="M6" s="36">
        <f>water_ON!M6 - water_OFF!M6 - AVERAGE(M$62:M$63)</f>
        <v>0.20000000000004547</v>
      </c>
      <c r="N6" s="36">
        <f>water_ON!N6 - water_OFF!N6 - AVERAGE(N$62:N$63)</f>
        <v>0.54999999999998295</v>
      </c>
      <c r="O6" s="36">
        <f>water_ON!O6 - water_OFF!O6 - AVERAGE(O$62:O$63)</f>
        <v>0</v>
      </c>
      <c r="P6" s="36">
        <f>water_ON!P6 - water_OFF!P6 - AVERAGE(P$62:P$63)</f>
        <v>1.1999999999999886</v>
      </c>
      <c r="Q6" s="36">
        <f>water_ON!Q6 - water_OFF!Q6 - AVERAGE(Q$62:Q$63)</f>
        <v>0.15000000000003411</v>
      </c>
      <c r="R6" s="36">
        <f>water_ON!R6 - water_OFF!R6 - AVERAGE(R$62:R$63)</f>
        <v>5.000000000003979E-2</v>
      </c>
      <c r="S6" s="36">
        <f>water_ON!S6 - water_OFF!S6 - AVERAGE(S$62:S$63)</f>
        <v>9.9999999999965894E-2</v>
      </c>
      <c r="T6" s="36">
        <f>water_ON!T6 - water_OFF!T6 - AVERAGE(T$62:T$63)</f>
        <v>9.9999999999965894E-2</v>
      </c>
      <c r="U6" s="27"/>
      <c r="V6" s="6" t="str">
        <f>IF(water_OFF!V6, (water_ON!V6+500-water_ON!V$64) - (water_OFF!V6+500-water_OFF!V$64) - AVERAGE(V$62:V$63), "")</f>
        <v/>
      </c>
      <c r="W6" s="6" t="str">
        <f>IF(water_OFF!W6, (water_ON!W6+500-water_ON!W$64) - (water_OFF!W6+500-water_OFF!W$64) - AVERAGE(W$62:W$63), "")</f>
        <v/>
      </c>
      <c r="X6" s="6" t="str">
        <f>IF(water_OFF!X6, (water_ON!X6+500-water_ON!X$64) - (water_OFF!X6+500-water_OFF!X$64) - AVERAGE(X$62:X$63), "")</f>
        <v/>
      </c>
      <c r="Y6" s="6" t="str">
        <f>IF(water_OFF!Y6, (water_ON!Y6+500-water_ON!Y$64) - (water_OFF!Y6+500-water_OFF!Y$64) - AVERAGE(Y$62:Y$63), "")</f>
        <v/>
      </c>
      <c r="Z6" s="6" t="str">
        <f>IF(water_OFF!Z6, (water_ON!Z6+500-water_ON!Z$64) - (water_OFF!Z6+500-water_OFF!Z$64) - AVERAGE(Z$62:Z$63), "")</f>
        <v/>
      </c>
      <c r="AA6" s="6" t="str">
        <f>IF(water_OFF!AA6, (water_ON!AA6+500-water_ON!AA$64) - (water_OFF!AA6+500-water_OFF!AA$64) - AVERAGE(AA$62:AA$63), "")</f>
        <v/>
      </c>
      <c r="AB6" s="6" t="str">
        <f>IF(water_OFF!AB6, (water_ON!AB6+500-water_ON!AB$64) - (water_OFF!AB6+500-water_OFF!AB$64) - AVERAGE(AB$62:AB$63), "")</f>
        <v/>
      </c>
      <c r="AC6" s="6" t="str">
        <f>IF(water_OFF!AC6, (water_ON!AC6+500-water_ON!AC$64) - (water_OFF!AC6+500-water_OFF!AC$64) - AVERAGE(AC$62:AC$63), "")</f>
        <v/>
      </c>
      <c r="AD6" s="6" t="str">
        <f>IF(water_OFF!AD6, (water_ON!AD6+500-water_ON!AD$64) - (water_OFF!AD6+500-water_OFF!AD$64) - AVERAGE(AD$62:AD$63), "")</f>
        <v/>
      </c>
      <c r="AE6" s="6" t="str">
        <f>IF(water_OFF!AE6, (water_ON!AE6+500-water_ON!AE$64) - (water_OFF!AE6+500-water_OFF!AE$64) - AVERAGE(AE$62:AE$63), "")</f>
        <v/>
      </c>
      <c r="AF6" s="6" t="str">
        <f>IF(water_OFF!AF6, (water_ON!AF6+500-water_ON!AF$64) - (water_OFF!AF6+500-water_OFF!AF$64) - AVERAGE(AF$62:AF$63), "")</f>
        <v/>
      </c>
      <c r="AG6" s="6" t="str">
        <f>IF(water_OFF!AG6, (water_ON!AG6+500-water_ON!AG$64) - (water_OFF!AG6+500-water_OFF!AG$64) - AVERAGE(AG$62:AG$63), "")</f>
        <v/>
      </c>
      <c r="AH6" s="6" t="str">
        <f>IF(water_OFF!AH6, (water_ON!AH6+500-water_ON!AH$64) - (water_OFF!AH6+500-water_OFF!AH$64) - AVERAGE(AH$62:AH$63), "")</f>
        <v/>
      </c>
      <c r="AI6" s="6" t="str">
        <f>IF(water_OFF!AI6, (water_ON!AI6+500-water_ON!AI$64) - (water_OFF!AI6+500-water_OFF!AI$64) - AVERAGE(AI$62:AI$63), "")</f>
        <v/>
      </c>
      <c r="AJ6" s="6" t="str">
        <f>IF(water_OFF!AJ6, (water_ON!AJ6+500-water_ON!AJ$64) - (water_OFF!AJ6+500-water_OFF!AJ$64) - AVERAGE(AJ$62:AJ$63), "")</f>
        <v/>
      </c>
      <c r="AK6" s="27" t="str">
        <f>IF(water_OFF!AK6, (water_ON!AK6+500-water_ON!AK$64) - (water_OFF!AK6+500-water_OFF!AK$64) - AVERAGE(AK$62:AK$63), "")</f>
        <v/>
      </c>
      <c r="AL6" s="6"/>
      <c r="AM6" s="6"/>
      <c r="AN6" s="6"/>
      <c r="AO6" s="6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</row>
    <row r="7" spans="1:65">
      <c r="A7" s="18">
        <v>6</v>
      </c>
      <c r="B7" s="36">
        <f>water_ON!B7 - water_OFF!B7 - AVERAGE(B$62:B$63)</f>
        <v>2.8421709430404007E-14</v>
      </c>
      <c r="C7" s="36">
        <f>water_ON!C7 - water_OFF!C7 - AVERAGE(C$62:C$63)</f>
        <v>0.10000000000002274</v>
      </c>
      <c r="D7" s="36">
        <f>water_ON!D7 - water_OFF!D7 - AVERAGE(D$62:D$63)</f>
        <v>0.14999999999997726</v>
      </c>
      <c r="E7" s="36">
        <f>water_ON!E7 - water_OFF!E7 - AVERAGE(E$62:E$63)</f>
        <v>0.15000000000000568</v>
      </c>
      <c r="F7" s="36">
        <f>water_ON!F7 - water_OFF!F7 - AVERAGE(F$62:F$63)</f>
        <v>0.20000000000001705</v>
      </c>
      <c r="G7" s="36">
        <f>water_ON!G7 - water_OFF!G7 - AVERAGE(G$62:G$63)</f>
        <v>2.8421709430404007E-14</v>
      </c>
      <c r="H7" s="36">
        <f>water_ON!H7 - water_OFF!H7 - AVERAGE(H$62:H$63)</f>
        <v>0.10000000000002274</v>
      </c>
      <c r="I7" s="36">
        <f>water_ON!I7 - water_OFF!I7 - AVERAGE(I$62:I$63)</f>
        <v>4.9999999999954525E-2</v>
      </c>
      <c r="J7" s="36">
        <f>water_ON!J7 - water_OFF!J7 - AVERAGE(J$62:J$63)</f>
        <v>2.8421709430404007E-14</v>
      </c>
      <c r="K7" s="36">
        <f>water_ON!K7 - water_OFF!K7 - AVERAGE(K$62:K$63)</f>
        <v>2</v>
      </c>
      <c r="L7" s="36">
        <f>water_ON!L7 - water_OFF!L7 - AVERAGE(L$62:L$63)</f>
        <v>-4.9999999999982947E-2</v>
      </c>
      <c r="M7" s="36">
        <f>water_ON!M7 - water_OFF!M7 - AVERAGE(M$62:M$63)</f>
        <v>0.5</v>
      </c>
      <c r="N7" s="36">
        <f>water_ON!N7 - water_OFF!N7 - AVERAGE(N$62:N$63)</f>
        <v>0.15000000000006253</v>
      </c>
      <c r="O7" s="36">
        <f>water_ON!O7 - water_OFF!O7 - AVERAGE(O$62:O$63)</f>
        <v>0.49999999999994316</v>
      </c>
      <c r="P7" s="36">
        <f>water_ON!P7 - water_OFF!P7 - AVERAGE(P$62:P$63)</f>
        <v>0</v>
      </c>
      <c r="Q7" s="36">
        <f>water_ON!Q7 - water_OFF!Q7 - AVERAGE(Q$62:Q$63)</f>
        <v>0.25</v>
      </c>
      <c r="R7" s="36">
        <f>water_ON!R7 - water_OFF!R7 - AVERAGE(R$62:R$63)</f>
        <v>2.1500000000000057</v>
      </c>
      <c r="S7" s="36">
        <f>water_ON!S7 - water_OFF!S7 - AVERAGE(S$62:S$63)</f>
        <v>9.9999999999965894E-2</v>
      </c>
      <c r="T7" s="36">
        <f>water_ON!T7 - water_OFF!T7 - AVERAGE(T$62:T$63)</f>
        <v>0.39999999999997726</v>
      </c>
      <c r="U7" s="27"/>
      <c r="V7" s="6" t="str">
        <f>IF(water_OFF!V7, (water_ON!V7+500-water_ON!V$64) - (water_OFF!V7+500-water_OFF!V$64) - AVERAGE(V$62:V$63), "")</f>
        <v/>
      </c>
      <c r="W7" s="6" t="str">
        <f>IF(water_OFF!W7, (water_ON!W7+500-water_ON!W$64) - (water_OFF!W7+500-water_OFF!W$64) - AVERAGE(W$62:W$63), "")</f>
        <v/>
      </c>
      <c r="X7" s="6" t="str">
        <f>IF(water_OFF!X7, (water_ON!X7+500-water_ON!X$64) - (water_OFF!X7+500-water_OFF!X$64) - AVERAGE(X$62:X$63), "")</f>
        <v/>
      </c>
      <c r="Y7" s="6" t="str">
        <f>IF(water_OFF!Y7, (water_ON!Y7+500-water_ON!Y$64) - (water_OFF!Y7+500-water_OFF!Y$64) - AVERAGE(Y$62:Y$63), "")</f>
        <v/>
      </c>
      <c r="Z7" s="6" t="str">
        <f>IF(water_OFF!Z7, (water_ON!Z7+500-water_ON!Z$64) - (water_OFF!Z7+500-water_OFF!Z$64) - AVERAGE(Z$62:Z$63), "")</f>
        <v/>
      </c>
      <c r="AA7" s="6" t="str">
        <f>IF(water_OFF!AA7, (water_ON!AA7+500-water_ON!AA$64) - (water_OFF!AA7+500-water_OFF!AA$64) - AVERAGE(AA$62:AA$63), "")</f>
        <v/>
      </c>
      <c r="AB7" s="6" t="str">
        <f>IF(water_OFF!AB7, (water_ON!AB7+500-water_ON!AB$64) - (water_OFF!AB7+500-water_OFF!AB$64) - AVERAGE(AB$62:AB$63), "")</f>
        <v/>
      </c>
      <c r="AC7" s="6" t="str">
        <f>IF(water_OFF!AC7, (water_ON!AC7+500-water_ON!AC$64) - (water_OFF!AC7+500-water_OFF!AC$64) - AVERAGE(AC$62:AC$63), "")</f>
        <v/>
      </c>
      <c r="AD7" s="6" t="str">
        <f>IF(water_OFF!AD7, (water_ON!AD7+500-water_ON!AD$64) - (water_OFF!AD7+500-water_OFF!AD$64) - AVERAGE(AD$62:AD$63), "")</f>
        <v/>
      </c>
      <c r="AE7" s="6" t="str">
        <f>IF(water_OFF!AE7, (water_ON!AE7+500-water_ON!AE$64) - (water_OFF!AE7+500-water_OFF!AE$64) - AVERAGE(AE$62:AE$63), "")</f>
        <v/>
      </c>
      <c r="AF7" s="6" t="str">
        <f>IF(water_OFF!AF7, (water_ON!AF7+500-water_ON!AF$64) - (water_OFF!AF7+500-water_OFF!AF$64) - AVERAGE(AF$62:AF$63), "")</f>
        <v/>
      </c>
      <c r="AG7" s="6" t="str">
        <f>IF(water_OFF!AG7, (water_ON!AG7+500-water_ON!AG$64) - (water_OFF!AG7+500-water_OFF!AG$64) - AVERAGE(AG$62:AG$63), "")</f>
        <v/>
      </c>
      <c r="AH7" s="6" t="str">
        <f>IF(water_OFF!AH7, (water_ON!AH7+500-water_ON!AH$64) - (water_OFF!AH7+500-water_OFF!AH$64) - AVERAGE(AH$62:AH$63), "")</f>
        <v/>
      </c>
      <c r="AI7" s="6" t="str">
        <f>IF(water_OFF!AI7, (water_ON!AI7+500-water_ON!AI$64) - (water_OFF!AI7+500-water_OFF!AI$64) - AVERAGE(AI$62:AI$63), "")</f>
        <v/>
      </c>
      <c r="AJ7" s="6" t="str">
        <f>IF(water_OFF!AJ7, (water_ON!AJ7+500-water_ON!AJ$64) - (water_OFF!AJ7+500-water_OFF!AJ$64) - AVERAGE(AJ$62:AJ$63), "")</f>
        <v/>
      </c>
      <c r="AK7" s="27" t="str">
        <f>IF(water_OFF!AK7, (water_ON!AK7+500-water_ON!AK$64) - (water_OFF!AK7+500-water_OFF!AK$64) - AVERAGE(AK$62:AK$63), "")</f>
        <v/>
      </c>
      <c r="AL7" s="6"/>
      <c r="AM7" s="6"/>
      <c r="AN7" s="6"/>
      <c r="AO7" s="6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1:65">
      <c r="A8" s="18">
        <v>7</v>
      </c>
      <c r="B8" s="36">
        <f>water_ON!B8 - water_OFF!B8 - AVERAGE(B$62:B$63)</f>
        <v>9.9999999999994316E-2</v>
      </c>
      <c r="C8" s="36">
        <f>water_ON!C8 - water_OFF!C8 - AVERAGE(C$62:C$63)</f>
        <v>0.10000000000002274</v>
      </c>
      <c r="D8" s="36">
        <f>water_ON!D8 - water_OFF!D8 - AVERAGE(D$62:D$63)</f>
        <v>4.9999999999954525E-2</v>
      </c>
      <c r="E8" s="36">
        <f>water_ON!E8 - water_OFF!E8 - AVERAGE(E$62:E$63)</f>
        <v>0.14999999999994884</v>
      </c>
      <c r="F8" s="36">
        <f>water_ON!F8 - water_OFF!F8 - AVERAGE(F$62:F$63)</f>
        <v>9.9999999999994316E-2</v>
      </c>
      <c r="G8" s="36">
        <f>water_ON!G8 - water_OFF!G8 - AVERAGE(G$62:G$63)</f>
        <v>9.9999999999994316E-2</v>
      </c>
      <c r="H8" s="36">
        <f>water_ON!H8 - water_OFF!H8 - AVERAGE(H$62:H$63)</f>
        <v>0.19999999999998863</v>
      </c>
      <c r="I8" s="36">
        <f>water_ON!I8 - water_OFF!I8 - AVERAGE(I$62:I$63)</f>
        <v>0.14999999999997726</v>
      </c>
      <c r="J8" s="36">
        <f>water_ON!J8 - water_OFF!J8 - AVERAGE(J$62:J$63)</f>
        <v>2.8421709430404007E-14</v>
      </c>
      <c r="K8" s="36">
        <f>water_ON!K8 - water_OFF!K8 - AVERAGE(K$62:K$63)</f>
        <v>0.19999999999998863</v>
      </c>
      <c r="L8" s="36">
        <f>water_ON!L8 - water_OFF!L8 - AVERAGE(L$62:L$63)</f>
        <v>-0.14999999999994884</v>
      </c>
      <c r="M8" s="36">
        <f>water_ON!M8 - water_OFF!M8 - AVERAGE(M$62:M$63)</f>
        <v>0.30000000000001137</v>
      </c>
      <c r="N8" s="36">
        <f>water_ON!N8 - water_OFF!N8 - AVERAGE(N$62:N$63)</f>
        <v>0.15000000000006253</v>
      </c>
      <c r="O8" s="36">
        <f>water_ON!O8 - water_OFF!O8 - AVERAGE(O$62:O$63)</f>
        <v>-5.6843418860808015E-14</v>
      </c>
      <c r="P8" s="36">
        <f>water_ON!P8 - water_OFF!P8 - AVERAGE(P$62:P$63)</f>
        <v>0.10000000000002274</v>
      </c>
      <c r="Q8" s="36">
        <f>water_ON!Q8 - water_OFF!Q8 - AVERAGE(Q$62:Q$63)</f>
        <v>-4.9999999999954525E-2</v>
      </c>
      <c r="R8" s="36">
        <f>water_ON!R8 - water_OFF!R8 - AVERAGE(R$62:R$63)</f>
        <v>-4.9999999999982947E-2</v>
      </c>
      <c r="S8" s="36">
        <f>water_ON!S8 - water_OFF!S8 - AVERAGE(S$62:S$63)</f>
        <v>0.10000000000002274</v>
      </c>
      <c r="T8" s="36">
        <f>water_ON!T8 - water_OFF!T8 - AVERAGE(T$62:T$63)</f>
        <v>0</v>
      </c>
      <c r="U8" s="27"/>
      <c r="V8" s="6" t="str">
        <f>IF(water_OFF!V8, (water_ON!V8+500-water_ON!V$64) - (water_OFF!V8+500-water_OFF!V$64) - AVERAGE(V$62:V$63), "")</f>
        <v/>
      </c>
      <c r="W8" s="6" t="str">
        <f>IF(water_OFF!W8, (water_ON!W8+500-water_ON!W$64) - (water_OFF!W8+500-water_OFF!W$64) - AVERAGE(W$62:W$63), "")</f>
        <v/>
      </c>
      <c r="X8" s="6" t="str">
        <f>IF(water_OFF!X8, (water_ON!X8+500-water_ON!X$64) - (water_OFF!X8+500-water_OFF!X$64) - AVERAGE(X$62:X$63), "")</f>
        <v/>
      </c>
      <c r="Y8" s="6" t="str">
        <f>IF(water_OFF!Y8, (water_ON!Y8+500-water_ON!Y$64) - (water_OFF!Y8+500-water_OFF!Y$64) - AVERAGE(Y$62:Y$63), "")</f>
        <v/>
      </c>
      <c r="Z8" s="6" t="str">
        <f>IF(water_OFF!Z8, (water_ON!Z8+500-water_ON!Z$64) - (water_OFF!Z8+500-water_OFF!Z$64) - AVERAGE(Z$62:Z$63), "")</f>
        <v/>
      </c>
      <c r="AA8" s="6" t="str">
        <f>IF(water_OFF!AA8, (water_ON!AA8+500-water_ON!AA$64) - (water_OFF!AA8+500-water_OFF!AA$64) - AVERAGE(AA$62:AA$63), "")</f>
        <v/>
      </c>
      <c r="AB8" s="6" t="str">
        <f>IF(water_OFF!AB8, (water_ON!AB8+500-water_ON!AB$64) - (water_OFF!AB8+500-water_OFF!AB$64) - AVERAGE(AB$62:AB$63), "")</f>
        <v/>
      </c>
      <c r="AC8" s="6" t="str">
        <f>IF(water_OFF!AC8, (water_ON!AC8+500-water_ON!AC$64) - (water_OFF!AC8+500-water_OFF!AC$64) - AVERAGE(AC$62:AC$63), "")</f>
        <v/>
      </c>
      <c r="AD8" s="6" t="str">
        <f>IF(water_OFF!AD8, (water_ON!AD8+500-water_ON!AD$64) - (water_OFF!AD8+500-water_OFF!AD$64) - AVERAGE(AD$62:AD$63), "")</f>
        <v/>
      </c>
      <c r="AE8" s="6" t="str">
        <f>IF(water_OFF!AE8, (water_ON!AE8+500-water_ON!AE$64) - (water_OFF!AE8+500-water_OFF!AE$64) - AVERAGE(AE$62:AE$63), "")</f>
        <v/>
      </c>
      <c r="AF8" s="6" t="str">
        <f>IF(water_OFF!AF8, (water_ON!AF8+500-water_ON!AF$64) - (water_OFF!AF8+500-water_OFF!AF$64) - AVERAGE(AF$62:AF$63), "")</f>
        <v/>
      </c>
      <c r="AG8" s="6" t="str">
        <f>IF(water_OFF!AG8, (water_ON!AG8+500-water_ON!AG$64) - (water_OFF!AG8+500-water_OFF!AG$64) - AVERAGE(AG$62:AG$63), "")</f>
        <v/>
      </c>
      <c r="AH8" s="6" t="str">
        <f>IF(water_OFF!AH8, (water_ON!AH8+500-water_ON!AH$64) - (water_OFF!AH8+500-water_OFF!AH$64) - AVERAGE(AH$62:AH$63), "")</f>
        <v/>
      </c>
      <c r="AI8" s="6" t="str">
        <f>IF(water_OFF!AI8, (water_ON!AI8+500-water_ON!AI$64) - (water_OFF!AI8+500-water_OFF!AI$64) - AVERAGE(AI$62:AI$63), "")</f>
        <v/>
      </c>
      <c r="AJ8" s="6" t="str">
        <f>IF(water_OFF!AJ8, (water_ON!AJ8+500-water_ON!AJ$64) - (water_OFF!AJ8+500-water_OFF!AJ$64) - AVERAGE(AJ$62:AJ$63), "")</f>
        <v/>
      </c>
      <c r="AK8" s="27" t="str">
        <f>IF(water_OFF!AK8, (water_ON!AK8+500-water_ON!AK$64) - (water_OFF!AK8+500-water_OFF!AK$64) - AVERAGE(AK$62:AK$63), "")</f>
        <v/>
      </c>
      <c r="AL8" s="6"/>
      <c r="AM8" s="6"/>
      <c r="AN8" s="6"/>
      <c r="AO8" s="6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5">
      <c r="A9" s="18">
        <v>8</v>
      </c>
      <c r="B9" s="36">
        <f>water_ON!B9 - water_OFF!B9 - AVERAGE(B$62:B$63)</f>
        <v>9.9999999999994316E-2</v>
      </c>
      <c r="C9" s="36">
        <f>water_ON!C9 - water_OFF!C9 - AVERAGE(C$62:C$63)</f>
        <v>9.9999999999965894E-2</v>
      </c>
      <c r="D9" s="36">
        <f>water_ON!D9 - water_OFF!D9 - AVERAGE(D$62:D$63)</f>
        <v>0.14999999999997726</v>
      </c>
      <c r="E9" s="36">
        <f>water_ON!E9 - water_OFF!E9 - AVERAGE(E$62:E$63)</f>
        <v>0.24999999999997158</v>
      </c>
      <c r="F9" s="36">
        <f>water_ON!F9 - water_OFF!F9 - AVERAGE(F$62:F$63)</f>
        <v>2.8421709430404007E-14</v>
      </c>
      <c r="G9" s="36">
        <f>water_ON!G9 - water_OFF!G9 - AVERAGE(G$62:G$63)</f>
        <v>-2.8421709430404007E-14</v>
      </c>
      <c r="H9" s="36">
        <f>water_ON!H9 - water_OFF!H9 - AVERAGE(H$62:H$63)</f>
        <v>0.10000000000002274</v>
      </c>
      <c r="I9" s="36">
        <f>water_ON!I9 - water_OFF!I9 - AVERAGE(I$62:I$63)</f>
        <v>0.14999999999997726</v>
      </c>
      <c r="J9" s="36">
        <f>water_ON!J9 - water_OFF!J9 - AVERAGE(J$62:J$63)</f>
        <v>-9.9999999999994316E-2</v>
      </c>
      <c r="K9" s="36">
        <f>water_ON!K9 - water_OFF!K9 - AVERAGE(K$62:K$63)</f>
        <v>0.19999999999998863</v>
      </c>
      <c r="L9" s="36">
        <f>water_ON!L9 - water_OFF!L9 - AVERAGE(L$62:L$63)</f>
        <v>-4.9999999999926104E-2</v>
      </c>
      <c r="M9" s="36">
        <f>water_ON!M9 - water_OFF!M9 - AVERAGE(M$62:M$63)</f>
        <v>0.10000000000002274</v>
      </c>
      <c r="N9" s="36">
        <f>water_ON!N9 - water_OFF!N9 - AVERAGE(N$62:N$63)</f>
        <v>0.25000000000002842</v>
      </c>
      <c r="O9" s="36">
        <f>water_ON!O9 - water_OFF!O9 - AVERAGE(O$62:O$63)</f>
        <v>9.9999999999965894E-2</v>
      </c>
      <c r="P9" s="36">
        <f>water_ON!P9 - water_OFF!P9 - AVERAGE(P$62:P$63)</f>
        <v>9.9999999999965894E-2</v>
      </c>
      <c r="Q9" s="36">
        <f>water_ON!Q9 - water_OFF!Q9 - AVERAGE(Q$62:Q$63)</f>
        <v>-5.0000000000011369E-2</v>
      </c>
      <c r="R9" s="36">
        <f>water_ON!R9 - water_OFF!R9 - AVERAGE(R$62:R$63)</f>
        <v>0.15000000000000568</v>
      </c>
      <c r="S9" s="36">
        <f>water_ON!S9 - water_OFF!S9 - AVERAGE(S$62:S$63)</f>
        <v>0.10000000000002274</v>
      </c>
      <c r="T9" s="36">
        <f>water_ON!T9 - water_OFF!T9 - AVERAGE(T$62:T$63)</f>
        <v>0.10000000000002274</v>
      </c>
      <c r="U9" s="27"/>
      <c r="V9" s="6" t="str">
        <f>IF(water_OFF!V9, (water_ON!V9+500-water_ON!V$64) - (water_OFF!V9+500-water_OFF!V$64) - AVERAGE(V$62:V$63), "")</f>
        <v/>
      </c>
      <c r="W9" s="6" t="str">
        <f>IF(water_OFF!W9, (water_ON!W9+500-water_ON!W$64) - (water_OFF!W9+500-water_OFF!W$64) - AVERAGE(W$62:W$63), "")</f>
        <v/>
      </c>
      <c r="X9" s="6" t="str">
        <f>IF(water_OFF!X9, (water_ON!X9+500-water_ON!X$64) - (water_OFF!X9+500-water_OFF!X$64) - AVERAGE(X$62:X$63), "")</f>
        <v/>
      </c>
      <c r="Y9" s="6" t="str">
        <f>IF(water_OFF!Y9, (water_ON!Y9+500-water_ON!Y$64) - (water_OFF!Y9+500-water_OFF!Y$64) - AVERAGE(Y$62:Y$63), "")</f>
        <v/>
      </c>
      <c r="Z9" s="6" t="str">
        <f>IF(water_OFF!Z9, (water_ON!Z9+500-water_ON!Z$64) - (water_OFF!Z9+500-water_OFF!Z$64) - AVERAGE(Z$62:Z$63), "")</f>
        <v/>
      </c>
      <c r="AA9" s="6" t="str">
        <f>IF(water_OFF!AA9, (water_ON!AA9+500-water_ON!AA$64) - (water_OFF!AA9+500-water_OFF!AA$64) - AVERAGE(AA$62:AA$63), "")</f>
        <v/>
      </c>
      <c r="AB9" s="6" t="str">
        <f>IF(water_OFF!AB9, (water_ON!AB9+500-water_ON!AB$64) - (water_OFF!AB9+500-water_OFF!AB$64) - AVERAGE(AB$62:AB$63), "")</f>
        <v/>
      </c>
      <c r="AC9" s="6" t="str">
        <f>IF(water_OFF!AC9, (water_ON!AC9+500-water_ON!AC$64) - (water_OFF!AC9+500-water_OFF!AC$64) - AVERAGE(AC$62:AC$63), "")</f>
        <v/>
      </c>
      <c r="AD9" s="6" t="str">
        <f>IF(water_OFF!AD9, (water_ON!AD9+500-water_ON!AD$64) - (water_OFF!AD9+500-water_OFF!AD$64) - AVERAGE(AD$62:AD$63), "")</f>
        <v/>
      </c>
      <c r="AE9" s="6" t="str">
        <f>IF(water_OFF!AE9, (water_ON!AE9+500-water_ON!AE$64) - (water_OFF!AE9+500-water_OFF!AE$64) - AVERAGE(AE$62:AE$63), "")</f>
        <v/>
      </c>
      <c r="AF9" s="6" t="str">
        <f>IF(water_OFF!AF9, (water_ON!AF9+500-water_ON!AF$64) - (water_OFF!AF9+500-water_OFF!AF$64) - AVERAGE(AF$62:AF$63), "")</f>
        <v/>
      </c>
      <c r="AG9" s="6" t="str">
        <f>IF(water_OFF!AG9, (water_ON!AG9+500-water_ON!AG$64) - (water_OFF!AG9+500-water_OFF!AG$64) - AVERAGE(AG$62:AG$63), "")</f>
        <v/>
      </c>
      <c r="AH9" s="6" t="str">
        <f>IF(water_OFF!AH9, (water_ON!AH9+500-water_ON!AH$64) - (water_OFF!AH9+500-water_OFF!AH$64) - AVERAGE(AH$62:AH$63), "")</f>
        <v/>
      </c>
      <c r="AI9" s="6" t="str">
        <f>IF(water_OFF!AI9, (water_ON!AI9+500-water_ON!AI$64) - (water_OFF!AI9+500-water_OFF!AI$64) - AVERAGE(AI$62:AI$63), "")</f>
        <v/>
      </c>
      <c r="AJ9" s="6" t="str">
        <f>IF(water_OFF!AJ9, (water_ON!AJ9+500-water_ON!AJ$64) - (water_OFF!AJ9+500-water_OFF!AJ$64) - AVERAGE(AJ$62:AJ$63), "")</f>
        <v/>
      </c>
      <c r="AK9" s="27" t="str">
        <f>IF(water_OFF!AK9, (water_ON!AK9+500-water_ON!AK$64) - (water_OFF!AK9+500-water_OFF!AK$64) - AVERAGE(AK$62:AK$63), "")</f>
        <v/>
      </c>
      <c r="AL9" s="6"/>
      <c r="AM9" s="6"/>
      <c r="AN9" s="6"/>
      <c r="AO9" s="6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5">
      <c r="A10" s="18">
        <v>9</v>
      </c>
      <c r="B10" s="36">
        <f>water_ON!B10 - water_OFF!B10 - AVERAGE(B$62:B$63)</f>
        <v>2.7999999999999829</v>
      </c>
      <c r="C10" s="36">
        <f>water_ON!C10 - water_OFF!C10 - AVERAGE(C$62:C$63)</f>
        <v>1.4000000000000341</v>
      </c>
      <c r="D10" s="36">
        <f>water_ON!D10 - water_OFF!D10 - AVERAGE(D$62:D$63)</f>
        <v>5.0499999999999545</v>
      </c>
      <c r="E10" s="36">
        <f>water_ON!E10 - water_OFF!E10 - AVERAGE(E$62:E$63)</f>
        <v>0.24999999999997158</v>
      </c>
      <c r="F10" s="36">
        <f>water_ON!F10 - water_OFF!F10 - AVERAGE(F$62:F$63)</f>
        <v>1.0000000000000284</v>
      </c>
      <c r="G10" s="36">
        <f>water_ON!G10 - water_OFF!G10 - AVERAGE(G$62:G$63)</f>
        <v>1.2000000000000171</v>
      </c>
      <c r="H10" s="36">
        <f>water_ON!H10 - water_OFF!H10 - AVERAGE(H$62:H$63)</f>
        <v>5.1999999999999886</v>
      </c>
      <c r="I10" s="36">
        <f>water_ON!I10 - water_OFF!I10 - AVERAGE(I$62:I$63)</f>
        <v>3.6499999999999773</v>
      </c>
      <c r="J10" s="36">
        <f>water_ON!J10 - water_OFF!J10 - AVERAGE(J$62:J$63)</f>
        <v>1.2999999999999829</v>
      </c>
      <c r="K10" s="36">
        <f>water_ON!K10 - water_OFF!K10 - AVERAGE(K$62:K$63)</f>
        <v>3.7000000000000455</v>
      </c>
      <c r="L10" s="36">
        <f>water_ON!L10 - water_OFF!L10 - AVERAGE(L$62:L$63)</f>
        <v>6.9500000000000171</v>
      </c>
      <c r="M10" s="36">
        <f>water_ON!M10 - water_OFF!M10 - AVERAGE(M$62:M$63)</f>
        <v>4.4000000000000341</v>
      </c>
      <c r="N10" s="36">
        <f>water_ON!N10 - water_OFF!N10 - AVERAGE(N$62:N$63)</f>
        <v>5.1500000000000057</v>
      </c>
      <c r="O10" s="36">
        <f>water_ON!O10 - water_OFF!O10 - AVERAGE(O$62:O$63)</f>
        <v>0.5</v>
      </c>
      <c r="P10" s="36">
        <f>water_ON!P10 - water_OFF!P10 - AVERAGE(P$62:P$63)</f>
        <v>3.5</v>
      </c>
      <c r="Q10" s="36">
        <f>water_ON!Q10 - water_OFF!Q10 - AVERAGE(Q$62:Q$63)</f>
        <v>5.9499999999999886</v>
      </c>
      <c r="R10" s="36">
        <f>water_ON!R10 - water_OFF!R10 - AVERAGE(R$62:R$63)</f>
        <v>0.25000000000002842</v>
      </c>
      <c r="S10" s="36">
        <f>water_ON!S10 - water_OFF!S10 - AVERAGE(S$62:S$63)</f>
        <v>4.6999999999999886</v>
      </c>
      <c r="T10" s="36">
        <f>water_ON!T10 - water_OFF!T10 - AVERAGE(T$62:T$63)</f>
        <v>3.5</v>
      </c>
      <c r="U10" s="27"/>
      <c r="V10" s="6" t="str">
        <f>IF(water_OFF!V10, (water_ON!V10+500-water_ON!V$64) - (water_OFF!V10+500-water_OFF!V$64) - AVERAGE(V$62:V$63), "")</f>
        <v/>
      </c>
      <c r="W10" s="6" t="str">
        <f>IF(water_OFF!W10, (water_ON!W10+500-water_ON!W$64) - (water_OFF!W10+500-water_OFF!W$64) - AVERAGE(W$62:W$63), "")</f>
        <v/>
      </c>
      <c r="X10" s="6" t="str">
        <f>IF(water_OFF!X10, (water_ON!X10+500-water_ON!X$64) - (water_OFF!X10+500-water_OFF!X$64) - AVERAGE(X$62:X$63), "")</f>
        <v/>
      </c>
      <c r="Y10" s="6" t="str">
        <f>IF(water_OFF!Y10, (water_ON!Y10+500-water_ON!Y$64) - (water_OFF!Y10+500-water_OFF!Y$64) - AVERAGE(Y$62:Y$63), "")</f>
        <v/>
      </c>
      <c r="Z10" s="6" t="str">
        <f>IF(water_OFF!Z10, (water_ON!Z10+500-water_ON!Z$64) - (water_OFF!Z10+500-water_OFF!Z$64) - AVERAGE(Z$62:Z$63), "")</f>
        <v/>
      </c>
      <c r="AA10" s="6" t="str">
        <f>IF(water_OFF!AA10, (water_ON!AA10+500-water_ON!AA$64) - (water_OFF!AA10+500-water_OFF!AA$64) - AVERAGE(AA$62:AA$63), "")</f>
        <v/>
      </c>
      <c r="AB10" s="6" t="str">
        <f>IF(water_OFF!AB10, (water_ON!AB10+500-water_ON!AB$64) - (water_OFF!AB10+500-water_OFF!AB$64) - AVERAGE(AB$62:AB$63), "")</f>
        <v/>
      </c>
      <c r="AC10" s="6" t="str">
        <f>IF(water_OFF!AC10, (water_ON!AC10+500-water_ON!AC$64) - (water_OFF!AC10+500-water_OFF!AC$64) - AVERAGE(AC$62:AC$63), "")</f>
        <v/>
      </c>
      <c r="AD10" s="6" t="str">
        <f>IF(water_OFF!AD10, (water_ON!AD10+500-water_ON!AD$64) - (water_OFF!AD10+500-water_OFF!AD$64) - AVERAGE(AD$62:AD$63), "")</f>
        <v/>
      </c>
      <c r="AE10" s="6" t="str">
        <f>IF(water_OFF!AE10, (water_ON!AE10+500-water_ON!AE$64) - (water_OFF!AE10+500-water_OFF!AE$64) - AVERAGE(AE$62:AE$63), "")</f>
        <v/>
      </c>
      <c r="AF10" s="6" t="str">
        <f>IF(water_OFF!AF10, (water_ON!AF10+500-water_ON!AF$64) - (water_OFF!AF10+500-water_OFF!AF$64) - AVERAGE(AF$62:AF$63), "")</f>
        <v/>
      </c>
      <c r="AG10" s="6" t="str">
        <f>IF(water_OFF!AG10, (water_ON!AG10+500-water_ON!AG$64) - (water_OFF!AG10+500-water_OFF!AG$64) - AVERAGE(AG$62:AG$63), "")</f>
        <v/>
      </c>
      <c r="AH10" s="6" t="str">
        <f>IF(water_OFF!AH10, (water_ON!AH10+500-water_ON!AH$64) - (water_OFF!AH10+500-water_OFF!AH$64) - AVERAGE(AH$62:AH$63), "")</f>
        <v/>
      </c>
      <c r="AI10" s="6" t="str">
        <f>IF(water_OFF!AI10, (water_ON!AI10+500-water_ON!AI$64) - (water_OFF!AI10+500-water_OFF!AI$64) - AVERAGE(AI$62:AI$63), "")</f>
        <v/>
      </c>
      <c r="AJ10" s="6" t="str">
        <f>IF(water_OFF!AJ10, (water_ON!AJ10+500-water_ON!AJ$64) - (water_OFF!AJ10+500-water_OFF!AJ$64) - AVERAGE(AJ$62:AJ$63), "")</f>
        <v/>
      </c>
      <c r="AK10" s="27" t="str">
        <f>IF(water_OFF!AK10, (water_ON!AK10+500-water_ON!AK$64) - (water_OFF!AK10+500-water_OFF!AK$64) - AVERAGE(AK$62:AK$63), "")</f>
        <v/>
      </c>
      <c r="AL10" s="6"/>
      <c r="AM10" s="6"/>
      <c r="AN10" s="6"/>
      <c r="AO10" s="6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1:65">
      <c r="A11" s="18">
        <v>10</v>
      </c>
      <c r="B11" s="36">
        <f>water_ON!B11 - water_OFF!B11 - AVERAGE(B$62:B$63)</f>
        <v>0.40000000000000568</v>
      </c>
      <c r="C11" s="36">
        <f>water_ON!C11 - water_OFF!C11 - AVERAGE(C$62:C$63)</f>
        <v>1</v>
      </c>
      <c r="D11" s="36">
        <f>water_ON!D11 - water_OFF!D11 - AVERAGE(D$62:D$63)</f>
        <v>2.3499999999999659</v>
      </c>
      <c r="E11" s="36">
        <f>water_ON!E11 - water_OFF!E11 - AVERAGE(E$62:E$63)</f>
        <v>1.3499999999999943</v>
      </c>
      <c r="F11" s="36">
        <f>water_ON!F11 - water_OFF!F11 - AVERAGE(F$62:F$63)</f>
        <v>2.8421709430404007E-14</v>
      </c>
      <c r="G11" s="36">
        <f>water_ON!G11 - water_OFF!G11 - AVERAGE(G$62:G$63)</f>
        <v>2.5999999999999943</v>
      </c>
      <c r="H11" s="36">
        <f>water_ON!H11 - water_OFF!H11 - AVERAGE(H$62:H$63)</f>
        <v>0.90000000000003411</v>
      </c>
      <c r="I11" s="36">
        <f>water_ON!I11 - water_OFF!I11 - AVERAGE(I$62:I$63)</f>
        <v>1.8499999999999659</v>
      </c>
      <c r="J11" s="36">
        <f>water_ON!J11 - water_OFF!J11 - AVERAGE(J$62:J$63)</f>
        <v>0.49999999999997158</v>
      </c>
      <c r="K11" s="36">
        <f>water_ON!K11 - water_OFF!K11 - AVERAGE(K$62:K$63)</f>
        <v>8.5999999999999659</v>
      </c>
      <c r="L11" s="36">
        <f>water_ON!L11 - water_OFF!L11 - AVERAGE(L$62:L$63)</f>
        <v>0.54999999999998295</v>
      </c>
      <c r="M11" s="36">
        <f>water_ON!M11 - water_OFF!M11 - AVERAGE(M$62:M$63)</f>
        <v>1.9000000000000341</v>
      </c>
      <c r="N11" s="36">
        <f>water_ON!N11 - water_OFF!N11 - AVERAGE(N$62:N$63)</f>
        <v>4.0500000000000398</v>
      </c>
      <c r="O11" s="36">
        <f>water_ON!O11 - water_OFF!O11 - AVERAGE(O$62:O$63)</f>
        <v>3.0999999999999659</v>
      </c>
      <c r="P11" s="36">
        <f>water_ON!P11 - water_OFF!P11 - AVERAGE(P$62:P$63)</f>
        <v>0.89999999999997726</v>
      </c>
      <c r="Q11" s="36">
        <f>water_ON!Q11 - water_OFF!Q11 - AVERAGE(Q$62:Q$63)</f>
        <v>3.4500000000000455</v>
      </c>
      <c r="R11" s="36">
        <f>water_ON!R11 - water_OFF!R11 - AVERAGE(R$62:R$63)</f>
        <v>1.9500000000000171</v>
      </c>
      <c r="S11" s="36">
        <f>water_ON!S11 - water_OFF!S11 - AVERAGE(S$62:S$63)</f>
        <v>2.4000000000000341</v>
      </c>
      <c r="T11" s="36">
        <f>water_ON!T11 - water_OFF!T11 - AVERAGE(T$62:T$63)</f>
        <v>2.1000000000000227</v>
      </c>
      <c r="U11" s="27"/>
      <c r="V11" s="6" t="str">
        <f>IF(water_OFF!V11, (water_ON!V11+500-water_ON!V$64) - (water_OFF!V11+500-water_OFF!V$64) - AVERAGE(V$62:V$63), "")</f>
        <v/>
      </c>
      <c r="W11" s="6" t="str">
        <f>IF(water_OFF!W11, (water_ON!W11+500-water_ON!W$64) - (water_OFF!W11+500-water_OFF!W$64) - AVERAGE(W$62:W$63), "")</f>
        <v/>
      </c>
      <c r="X11" s="6" t="str">
        <f>IF(water_OFF!X11, (water_ON!X11+500-water_ON!X$64) - (water_OFF!X11+500-water_OFF!X$64) - AVERAGE(X$62:X$63), "")</f>
        <v/>
      </c>
      <c r="Y11" s="6" t="str">
        <f>IF(water_OFF!Y11, (water_ON!Y11+500-water_ON!Y$64) - (water_OFF!Y11+500-water_OFF!Y$64) - AVERAGE(Y$62:Y$63), "")</f>
        <v/>
      </c>
      <c r="Z11" s="6" t="str">
        <f>IF(water_OFF!Z11, (water_ON!Z11+500-water_ON!Z$64) - (water_OFF!Z11+500-water_OFF!Z$64) - AVERAGE(Z$62:Z$63), "")</f>
        <v/>
      </c>
      <c r="AA11" s="6" t="str">
        <f>IF(water_OFF!AA11, (water_ON!AA11+500-water_ON!AA$64) - (water_OFF!AA11+500-water_OFF!AA$64) - AVERAGE(AA$62:AA$63), "")</f>
        <v/>
      </c>
      <c r="AB11" s="6" t="str">
        <f>IF(water_OFF!AB11, (water_ON!AB11+500-water_ON!AB$64) - (water_OFF!AB11+500-water_OFF!AB$64) - AVERAGE(AB$62:AB$63), "")</f>
        <v/>
      </c>
      <c r="AC11" s="6" t="str">
        <f>IF(water_OFF!AC11, (water_ON!AC11+500-water_ON!AC$64) - (water_OFF!AC11+500-water_OFF!AC$64) - AVERAGE(AC$62:AC$63), "")</f>
        <v/>
      </c>
      <c r="AD11" s="6" t="str">
        <f>IF(water_OFF!AD11, (water_ON!AD11+500-water_ON!AD$64) - (water_OFF!AD11+500-water_OFF!AD$64) - AVERAGE(AD$62:AD$63), "")</f>
        <v/>
      </c>
      <c r="AE11" s="6" t="str">
        <f>IF(water_OFF!AE11, (water_ON!AE11+500-water_ON!AE$64) - (water_OFF!AE11+500-water_OFF!AE$64) - AVERAGE(AE$62:AE$63), "")</f>
        <v/>
      </c>
      <c r="AF11" s="6" t="str">
        <f>IF(water_OFF!AF11, (water_ON!AF11+500-water_ON!AF$64) - (water_OFF!AF11+500-water_OFF!AF$64) - AVERAGE(AF$62:AF$63), "")</f>
        <v/>
      </c>
      <c r="AG11" s="6" t="str">
        <f>IF(water_OFF!AG11, (water_ON!AG11+500-water_ON!AG$64) - (water_OFF!AG11+500-water_OFF!AG$64) - AVERAGE(AG$62:AG$63), "")</f>
        <v/>
      </c>
      <c r="AH11" s="6" t="str">
        <f>IF(water_OFF!AH11, (water_ON!AH11+500-water_ON!AH$64) - (water_OFF!AH11+500-water_OFF!AH$64) - AVERAGE(AH$62:AH$63), "")</f>
        <v/>
      </c>
      <c r="AI11" s="6" t="str">
        <f>IF(water_OFF!AI11, (water_ON!AI11+500-water_ON!AI$64) - (water_OFF!AI11+500-water_OFF!AI$64) - AVERAGE(AI$62:AI$63), "")</f>
        <v/>
      </c>
      <c r="AJ11" s="6" t="str">
        <f>IF(water_OFF!AJ11, (water_ON!AJ11+500-water_ON!AJ$64) - (water_OFF!AJ11+500-water_OFF!AJ$64) - AVERAGE(AJ$62:AJ$63), "")</f>
        <v/>
      </c>
      <c r="AK11" s="27" t="str">
        <f>IF(water_OFF!AK11, (water_ON!AK11+500-water_ON!AK$64) - (water_OFF!AK11+500-water_OFF!AK$64) - AVERAGE(AK$62:AK$63), "")</f>
        <v/>
      </c>
      <c r="AL11" s="6"/>
      <c r="AM11" s="6"/>
      <c r="AN11" s="6"/>
      <c r="AO11" s="6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1:65">
      <c r="A12" s="18">
        <v>11</v>
      </c>
      <c r="B12" s="36">
        <f>water_ON!B12 - water_OFF!B12 - AVERAGE(B$62:B$63)</f>
        <v>2.8421709430404007E-14</v>
      </c>
      <c r="C12" s="36">
        <f>water_ON!C12 - water_OFF!C12 - AVERAGE(C$62:C$63)</f>
        <v>9.9999999999965894E-2</v>
      </c>
      <c r="D12" s="36">
        <f>water_ON!D12 - water_OFF!D12 - AVERAGE(D$62:D$63)</f>
        <v>0.94999999999998863</v>
      </c>
      <c r="E12" s="36">
        <f>water_ON!E12 - water_OFF!E12 - AVERAGE(E$62:E$63)</f>
        <v>0.14999999999994884</v>
      </c>
      <c r="F12" s="36">
        <f>water_ON!F12 - water_OFF!F12 - AVERAGE(F$62:F$63)</f>
        <v>0.10000000000005116</v>
      </c>
      <c r="G12" s="36">
        <f>water_ON!G12 - water_OFF!G12 - AVERAGE(G$62:G$63)</f>
        <v>0.20000000000001705</v>
      </c>
      <c r="H12" s="36">
        <f>water_ON!H12 - water_OFF!H12 - AVERAGE(H$62:H$63)</f>
        <v>0.5</v>
      </c>
      <c r="I12" s="36">
        <f>water_ON!I12 - water_OFF!I12 - AVERAGE(I$62:I$63)</f>
        <v>0.25</v>
      </c>
      <c r="J12" s="36">
        <f>water_ON!J12 - water_OFF!J12 - AVERAGE(J$62:J$63)</f>
        <v>-9.9999999999994316E-2</v>
      </c>
      <c r="K12" s="36">
        <f>water_ON!K12 - water_OFF!K12 - AVERAGE(K$62:K$63)</f>
        <v>9.9999999999965894E-2</v>
      </c>
      <c r="L12" s="36">
        <f>water_ON!L12 - water_OFF!L12 - AVERAGE(L$62:L$63)</f>
        <v>0.4500000000000739</v>
      </c>
      <c r="M12" s="36">
        <f>water_ON!M12 - water_OFF!M12 - AVERAGE(M$62:M$63)</f>
        <v>0.10000000000002274</v>
      </c>
      <c r="N12" s="36">
        <f>water_ON!N12 - water_OFF!N12 - AVERAGE(N$62:N$63)</f>
        <v>0.25000000000002842</v>
      </c>
      <c r="O12" s="36">
        <f>water_ON!O12 - water_OFF!O12 - AVERAGE(O$62:O$63)</f>
        <v>0</v>
      </c>
      <c r="P12" s="36">
        <f>water_ON!P12 - water_OFF!P12 - AVERAGE(P$62:P$63)</f>
        <v>9.9999999999965894E-2</v>
      </c>
      <c r="Q12" s="36">
        <f>water_ON!Q12 - water_OFF!Q12 - AVERAGE(Q$62:Q$63)</f>
        <v>0.75000000000005684</v>
      </c>
      <c r="R12" s="36">
        <f>water_ON!R12 - water_OFF!R12 - AVERAGE(R$62:R$63)</f>
        <v>-4.9999999999982947E-2</v>
      </c>
      <c r="S12" s="36">
        <f>water_ON!S12 - water_OFF!S12 - AVERAGE(S$62:S$63)</f>
        <v>0.5</v>
      </c>
      <c r="T12" s="36">
        <f>water_ON!T12 - water_OFF!T12 - AVERAGE(T$62:T$63)</f>
        <v>0.29999999999995453</v>
      </c>
      <c r="U12" s="27"/>
      <c r="V12" s="6" t="str">
        <f>IF(water_OFF!V12, (water_ON!V12+500-water_ON!V$64) - (water_OFF!V12+500-water_OFF!V$64) - AVERAGE(V$62:V$63), "")</f>
        <v/>
      </c>
      <c r="W12" s="6" t="str">
        <f>IF(water_OFF!W12, (water_ON!W12+500-water_ON!W$64) - (water_OFF!W12+500-water_OFF!W$64) - AVERAGE(W$62:W$63), "")</f>
        <v/>
      </c>
      <c r="X12" s="6" t="str">
        <f>IF(water_OFF!X12, (water_ON!X12+500-water_ON!X$64) - (water_OFF!X12+500-water_OFF!X$64) - AVERAGE(X$62:X$63), "")</f>
        <v/>
      </c>
      <c r="Y12" s="6" t="str">
        <f>IF(water_OFF!Y12, (water_ON!Y12+500-water_ON!Y$64) - (water_OFF!Y12+500-water_OFF!Y$64) - AVERAGE(Y$62:Y$63), "")</f>
        <v/>
      </c>
      <c r="Z12" s="6" t="str">
        <f>IF(water_OFF!Z12, (water_ON!Z12+500-water_ON!Z$64) - (water_OFF!Z12+500-water_OFF!Z$64) - AVERAGE(Z$62:Z$63), "")</f>
        <v/>
      </c>
      <c r="AA12" s="6" t="str">
        <f>IF(water_OFF!AA12, (water_ON!AA12+500-water_ON!AA$64) - (water_OFF!AA12+500-water_OFF!AA$64) - AVERAGE(AA$62:AA$63), "")</f>
        <v/>
      </c>
      <c r="AB12" s="6" t="str">
        <f>IF(water_OFF!AB12, (water_ON!AB12+500-water_ON!AB$64) - (water_OFF!AB12+500-water_OFF!AB$64) - AVERAGE(AB$62:AB$63), "")</f>
        <v/>
      </c>
      <c r="AC12" s="6" t="str">
        <f>IF(water_OFF!AC12, (water_ON!AC12+500-water_ON!AC$64) - (water_OFF!AC12+500-water_OFF!AC$64) - AVERAGE(AC$62:AC$63), "")</f>
        <v/>
      </c>
      <c r="AD12" s="6" t="str">
        <f>IF(water_OFF!AD12, (water_ON!AD12+500-water_ON!AD$64) - (water_OFF!AD12+500-water_OFF!AD$64) - AVERAGE(AD$62:AD$63), "")</f>
        <v/>
      </c>
      <c r="AE12" s="6" t="str">
        <f>IF(water_OFF!AE12, (water_ON!AE12+500-water_ON!AE$64) - (water_OFF!AE12+500-water_OFF!AE$64) - AVERAGE(AE$62:AE$63), "")</f>
        <v/>
      </c>
      <c r="AF12" s="6" t="str">
        <f>IF(water_OFF!AF12, (water_ON!AF12+500-water_ON!AF$64) - (water_OFF!AF12+500-water_OFF!AF$64) - AVERAGE(AF$62:AF$63), "")</f>
        <v/>
      </c>
      <c r="AG12" s="6" t="str">
        <f>IF(water_OFF!AG12, (water_ON!AG12+500-water_ON!AG$64) - (water_OFF!AG12+500-water_OFF!AG$64) - AVERAGE(AG$62:AG$63), "")</f>
        <v/>
      </c>
      <c r="AH12" s="6" t="str">
        <f>IF(water_OFF!AH12, (water_ON!AH12+500-water_ON!AH$64) - (water_OFF!AH12+500-water_OFF!AH$64) - AVERAGE(AH$62:AH$63), "")</f>
        <v/>
      </c>
      <c r="AI12" s="6" t="str">
        <f>IF(water_OFF!AI12, (water_ON!AI12+500-water_ON!AI$64) - (water_OFF!AI12+500-water_OFF!AI$64) - AVERAGE(AI$62:AI$63), "")</f>
        <v/>
      </c>
      <c r="AJ12" s="6" t="str">
        <f>IF(water_OFF!AJ12, (water_ON!AJ12+500-water_ON!AJ$64) - (water_OFF!AJ12+500-water_OFF!AJ$64) - AVERAGE(AJ$62:AJ$63), "")</f>
        <v/>
      </c>
      <c r="AK12" s="27" t="str">
        <f>IF(water_OFF!AK12, (water_ON!AK12+500-water_ON!AK$64) - (water_OFF!AK12+500-water_OFF!AK$64) - AVERAGE(AK$62:AK$63), "")</f>
        <v/>
      </c>
      <c r="AL12" s="6"/>
      <c r="AM12" s="6"/>
      <c r="AN12" s="6"/>
      <c r="AO12" s="6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1:65">
      <c r="A13" s="18">
        <v>12</v>
      </c>
      <c r="B13" s="36">
        <f>water_ON!B13 - water_OFF!B13 - AVERAGE(B$62:B$63)</f>
        <v>2.8421709430404007E-14</v>
      </c>
      <c r="C13" s="36">
        <f>water_ON!C13 - water_OFF!C13 - AVERAGE(C$62:C$63)</f>
        <v>0.5</v>
      </c>
      <c r="D13" s="36">
        <f>water_ON!D13 - water_OFF!D13 - AVERAGE(D$62:D$63)</f>
        <v>-5.0000000000011369E-2</v>
      </c>
      <c r="E13" s="36">
        <f>water_ON!E13 - water_OFF!E13 - AVERAGE(E$62:E$63)</f>
        <v>6.6500000000000057</v>
      </c>
      <c r="F13" s="36">
        <f>water_ON!F13 - water_OFF!F13 - AVERAGE(F$62:F$63)</f>
        <v>9.9999999999994316E-2</v>
      </c>
      <c r="G13" s="36">
        <f>water_ON!G13 - water_OFF!G13 - AVERAGE(G$62:G$63)</f>
        <v>0.40000000000000568</v>
      </c>
      <c r="H13" s="36">
        <f>water_ON!H13 - water_OFF!H13 - AVERAGE(H$62:H$63)</f>
        <v>2</v>
      </c>
      <c r="I13" s="36">
        <f>water_ON!I13 - water_OFF!I13 - AVERAGE(I$62:I$63)</f>
        <v>4.1500000000000341</v>
      </c>
      <c r="J13" s="36">
        <f>water_ON!J13 - water_OFF!J13 - AVERAGE(J$62:J$63)</f>
        <v>2.8421709430404007E-14</v>
      </c>
      <c r="K13" s="36">
        <f>water_ON!K13 - water_OFF!K13 - AVERAGE(K$62:K$63)</f>
        <v>1.0999999999999659</v>
      </c>
      <c r="L13" s="36">
        <f>water_ON!L13 - water_OFF!L13 - AVERAGE(L$62:L$63)</f>
        <v>0.25000000000002842</v>
      </c>
      <c r="M13" s="36">
        <f>water_ON!M13 - water_OFF!M13 - AVERAGE(M$62:M$63)</f>
        <v>2.1000000000000227</v>
      </c>
      <c r="N13" s="36">
        <f>water_ON!N13 - water_OFF!N13 - AVERAGE(N$62:N$63)</f>
        <v>3.7500000000000284</v>
      </c>
      <c r="O13" s="36">
        <f>water_ON!O13 - water_OFF!O13 - AVERAGE(O$62:O$63)</f>
        <v>0.19999999999998863</v>
      </c>
      <c r="P13" s="36">
        <f>water_ON!P13 - water_OFF!P13 - AVERAGE(P$62:P$63)</f>
        <v>9.9999999999965894E-2</v>
      </c>
      <c r="Q13" s="36">
        <f>water_ON!Q13 - water_OFF!Q13 - AVERAGE(Q$62:Q$63)</f>
        <v>4.2500000000000568</v>
      </c>
      <c r="R13" s="36">
        <f>water_ON!R13 - water_OFF!R13 - AVERAGE(R$62:R$63)</f>
        <v>1.9500000000000171</v>
      </c>
      <c r="S13" s="36">
        <f>water_ON!S13 - water_OFF!S13 - AVERAGE(S$62:S$63)</f>
        <v>1.9000000000000341</v>
      </c>
      <c r="T13" s="36">
        <f>water_ON!T13 - water_OFF!T13 - AVERAGE(T$62:T$63)</f>
        <v>1.4000000000000341</v>
      </c>
      <c r="U13" s="27"/>
      <c r="V13" s="6" t="str">
        <f>IF(water_OFF!V13, (water_ON!V13+500-water_ON!V$64) - (water_OFF!V13+500-water_OFF!V$64) - AVERAGE(V$62:V$63), "")</f>
        <v/>
      </c>
      <c r="W13" s="6" t="str">
        <f>IF(water_OFF!W13, (water_ON!W13+500-water_ON!W$64) - (water_OFF!W13+500-water_OFF!W$64) - AVERAGE(W$62:W$63), "")</f>
        <v/>
      </c>
      <c r="X13" s="6" t="str">
        <f>IF(water_OFF!X13, (water_ON!X13+500-water_ON!X$64) - (water_OFF!X13+500-water_OFF!X$64) - AVERAGE(X$62:X$63), "")</f>
        <v/>
      </c>
      <c r="Y13" s="6" t="str">
        <f>IF(water_OFF!Y13, (water_ON!Y13+500-water_ON!Y$64) - (water_OFF!Y13+500-water_OFF!Y$64) - AVERAGE(Y$62:Y$63), "")</f>
        <v/>
      </c>
      <c r="Z13" s="6" t="str">
        <f>IF(water_OFF!Z13, (water_ON!Z13+500-water_ON!Z$64) - (water_OFF!Z13+500-water_OFF!Z$64) - AVERAGE(Z$62:Z$63), "")</f>
        <v/>
      </c>
      <c r="AA13" s="6" t="str">
        <f>IF(water_OFF!AA13, (water_ON!AA13+500-water_ON!AA$64) - (water_OFF!AA13+500-water_OFF!AA$64) - AVERAGE(AA$62:AA$63), "")</f>
        <v/>
      </c>
      <c r="AB13" s="6" t="str">
        <f>IF(water_OFF!AB13, (water_ON!AB13+500-water_ON!AB$64) - (water_OFF!AB13+500-water_OFF!AB$64) - AVERAGE(AB$62:AB$63), "")</f>
        <v/>
      </c>
      <c r="AC13" s="6" t="str">
        <f>IF(water_OFF!AC13, (water_ON!AC13+500-water_ON!AC$64) - (water_OFF!AC13+500-water_OFF!AC$64) - AVERAGE(AC$62:AC$63), "")</f>
        <v/>
      </c>
      <c r="AD13" s="6" t="str">
        <f>IF(water_OFF!AD13, (water_ON!AD13+500-water_ON!AD$64) - (water_OFF!AD13+500-water_OFF!AD$64) - AVERAGE(AD$62:AD$63), "")</f>
        <v/>
      </c>
      <c r="AE13" s="6" t="str">
        <f>IF(water_OFF!AE13, (water_ON!AE13+500-water_ON!AE$64) - (water_OFF!AE13+500-water_OFF!AE$64) - AVERAGE(AE$62:AE$63), "")</f>
        <v/>
      </c>
      <c r="AF13" s="6" t="str">
        <f>IF(water_OFF!AF13, (water_ON!AF13+500-water_ON!AF$64) - (water_OFF!AF13+500-water_OFF!AF$64) - AVERAGE(AF$62:AF$63), "")</f>
        <v/>
      </c>
      <c r="AG13" s="6" t="str">
        <f>IF(water_OFF!AG13, (water_ON!AG13+500-water_ON!AG$64) - (water_OFF!AG13+500-water_OFF!AG$64) - AVERAGE(AG$62:AG$63), "")</f>
        <v/>
      </c>
      <c r="AH13" s="6" t="str">
        <f>IF(water_OFF!AH13, (water_ON!AH13+500-water_ON!AH$64) - (water_OFF!AH13+500-water_OFF!AH$64) - AVERAGE(AH$62:AH$63), "")</f>
        <v/>
      </c>
      <c r="AI13" s="6" t="str">
        <f>IF(water_OFF!AI13, (water_ON!AI13+500-water_ON!AI$64) - (water_OFF!AI13+500-water_OFF!AI$64) - AVERAGE(AI$62:AI$63), "")</f>
        <v/>
      </c>
      <c r="AJ13" s="6" t="str">
        <f>IF(water_OFF!AJ13, (water_ON!AJ13+500-water_ON!AJ$64) - (water_OFF!AJ13+500-water_OFF!AJ$64) - AVERAGE(AJ$62:AJ$63), "")</f>
        <v/>
      </c>
      <c r="AK13" s="27" t="str">
        <f>IF(water_OFF!AK13, (water_ON!AK13+500-water_ON!AK$64) - (water_OFF!AK13+500-water_OFF!AK$64) - AVERAGE(AK$62:AK$63), "")</f>
        <v/>
      </c>
      <c r="AL13" s="6"/>
      <c r="AM13" s="6"/>
      <c r="AN13" s="46"/>
      <c r="AO13" s="6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5">
      <c r="A14" s="18">
        <v>13</v>
      </c>
      <c r="B14" s="36">
        <f>water_ON!B14 - water_OFF!B14 - AVERAGE(B$62:B$63)</f>
        <v>-2.8421709430404007E-14</v>
      </c>
      <c r="C14" s="36">
        <f>water_ON!C14 - water_OFF!C14 - AVERAGE(C$62:C$63)</f>
        <v>0.69999999999998863</v>
      </c>
      <c r="D14" s="36">
        <f>water_ON!D14 - water_OFF!D14 - AVERAGE(D$62:D$63)</f>
        <v>5.0000000000011369E-2</v>
      </c>
      <c r="E14" s="36">
        <f>water_ON!E14 - water_OFF!E14 - AVERAGE(E$62:E$63)</f>
        <v>4.9999999999982947E-2</v>
      </c>
      <c r="F14" s="36">
        <f>water_ON!F14 - water_OFF!F14 - AVERAGE(F$62:F$63)</f>
        <v>0.20000000000001705</v>
      </c>
      <c r="G14" s="36">
        <f>water_ON!G14 - water_OFF!G14 - AVERAGE(G$62:G$63)</f>
        <v>0.79999999999998295</v>
      </c>
      <c r="H14" s="36">
        <f>water_ON!H14 - water_OFF!H14 - AVERAGE(H$62:H$63)</f>
        <v>1.7999999999999545</v>
      </c>
      <c r="I14" s="36">
        <f>water_ON!I14 - water_OFF!I14 - AVERAGE(I$62:I$63)</f>
        <v>5.0000000000011369E-2</v>
      </c>
      <c r="J14" s="36">
        <f>water_ON!J14 - water_OFF!J14 - AVERAGE(J$62:J$63)</f>
        <v>9.9999999999994316E-2</v>
      </c>
      <c r="K14" s="36">
        <f>water_ON!K14 - water_OFF!K14 - AVERAGE(K$62:K$63)</f>
        <v>0.10000000000002274</v>
      </c>
      <c r="L14" s="36">
        <f>water_ON!L14 - water_OFF!L14 - AVERAGE(L$62:L$63)</f>
        <v>0.95000000000001705</v>
      </c>
      <c r="M14" s="36">
        <f>water_ON!M14 - water_OFF!M14 - AVERAGE(M$62:M$63)</f>
        <v>0.70000000000004547</v>
      </c>
      <c r="N14" s="36">
        <f>water_ON!N14 - water_OFF!N14 - AVERAGE(N$62:N$63)</f>
        <v>0.45000000000001705</v>
      </c>
      <c r="O14" s="36">
        <f>water_ON!O14 - water_OFF!O14 - AVERAGE(O$62:O$63)</f>
        <v>-5.6843418860808015E-14</v>
      </c>
      <c r="P14" s="36">
        <f>water_ON!P14 - water_OFF!P14 - AVERAGE(P$62:P$63)</f>
        <v>0.5</v>
      </c>
      <c r="Q14" s="36">
        <f>water_ON!Q14 - water_OFF!Q14 - AVERAGE(Q$62:Q$63)</f>
        <v>4.7500000000000568</v>
      </c>
      <c r="R14" s="36">
        <f>water_ON!R14 - water_OFF!R14 - AVERAGE(R$62:R$63)</f>
        <v>2.1500000000000057</v>
      </c>
      <c r="S14" s="36">
        <f>water_ON!S14 - water_OFF!S14 - AVERAGE(S$62:S$63)</f>
        <v>5.1999999999999886</v>
      </c>
      <c r="T14" s="36">
        <f>water_ON!T14 - water_OFF!T14 - AVERAGE(T$62:T$63)</f>
        <v>0.39999999999997726</v>
      </c>
      <c r="U14" s="27"/>
      <c r="V14" s="6" t="str">
        <f>IF(water_OFF!V14, (water_ON!V14+500-water_ON!V$64) - (water_OFF!V14+500-water_OFF!V$64) - AVERAGE(V$62:V$63), "")</f>
        <v/>
      </c>
      <c r="W14" s="6" t="str">
        <f>IF(water_OFF!W14, (water_ON!W14+500-water_ON!W$64) - (water_OFF!W14+500-water_OFF!W$64) - AVERAGE(W$62:W$63), "")</f>
        <v/>
      </c>
      <c r="X14" s="6" t="str">
        <f>IF(water_OFF!X14, (water_ON!X14+500-water_ON!X$64) - (water_OFF!X14+500-water_OFF!X$64) - AVERAGE(X$62:X$63), "")</f>
        <v/>
      </c>
      <c r="Y14" s="6" t="str">
        <f>IF(water_OFF!Y14, (water_ON!Y14+500-water_ON!Y$64) - (water_OFF!Y14+500-water_OFF!Y$64) - AVERAGE(Y$62:Y$63), "")</f>
        <v/>
      </c>
      <c r="Z14" s="6" t="str">
        <f>IF(water_OFF!Z14, (water_ON!Z14+500-water_ON!Z$64) - (water_OFF!Z14+500-water_OFF!Z$64) - AVERAGE(Z$62:Z$63), "")</f>
        <v/>
      </c>
      <c r="AA14" s="6" t="str">
        <f>IF(water_OFF!AA14, (water_ON!AA14+500-water_ON!AA$64) - (water_OFF!AA14+500-water_OFF!AA$64) - AVERAGE(AA$62:AA$63), "")</f>
        <v/>
      </c>
      <c r="AB14" s="6" t="str">
        <f>IF(water_OFF!AB14, (water_ON!AB14+500-water_ON!AB$64) - (water_OFF!AB14+500-water_OFF!AB$64) - AVERAGE(AB$62:AB$63), "")</f>
        <v/>
      </c>
      <c r="AC14" s="6" t="str">
        <f>IF(water_OFF!AC14, (water_ON!AC14+500-water_ON!AC$64) - (water_OFF!AC14+500-water_OFF!AC$64) - AVERAGE(AC$62:AC$63), "")</f>
        <v/>
      </c>
      <c r="AD14" s="6" t="str">
        <f>IF(water_OFF!AD14, (water_ON!AD14+500-water_ON!AD$64) - (water_OFF!AD14+500-water_OFF!AD$64) - AVERAGE(AD$62:AD$63), "")</f>
        <v/>
      </c>
      <c r="AE14" s="6" t="str">
        <f>IF(water_OFF!AE14, (water_ON!AE14+500-water_ON!AE$64) - (water_OFF!AE14+500-water_OFF!AE$64) - AVERAGE(AE$62:AE$63), "")</f>
        <v/>
      </c>
      <c r="AF14" s="6" t="str">
        <f>IF(water_OFF!AF14, (water_ON!AF14+500-water_ON!AF$64) - (water_OFF!AF14+500-water_OFF!AF$64) - AVERAGE(AF$62:AF$63), "")</f>
        <v/>
      </c>
      <c r="AG14" s="6" t="str">
        <f>IF(water_OFF!AG14, (water_ON!AG14+500-water_ON!AG$64) - (water_OFF!AG14+500-water_OFF!AG$64) - AVERAGE(AG$62:AG$63), "")</f>
        <v/>
      </c>
      <c r="AH14" s="6" t="str">
        <f>IF(water_OFF!AH14, (water_ON!AH14+500-water_ON!AH$64) - (water_OFF!AH14+500-water_OFF!AH$64) - AVERAGE(AH$62:AH$63), "")</f>
        <v/>
      </c>
      <c r="AI14" s="6" t="str">
        <f>IF(water_OFF!AI14, (water_ON!AI14+500-water_ON!AI$64) - (water_OFF!AI14+500-water_OFF!AI$64) - AVERAGE(AI$62:AI$63), "")</f>
        <v/>
      </c>
      <c r="AJ14" s="6" t="str">
        <f>IF(water_OFF!AJ14, (water_ON!AJ14+500-water_ON!AJ$64) - (water_OFF!AJ14+500-water_OFF!AJ$64) - AVERAGE(AJ$62:AJ$63), "")</f>
        <v/>
      </c>
      <c r="AK14" s="27" t="str">
        <f>IF(water_OFF!AK14, (water_ON!AK14+500-water_ON!AK$64) - (water_OFF!AK14+500-water_OFF!AK$64) - AVERAGE(AK$62:AK$63), "")</f>
        <v/>
      </c>
      <c r="AL14" s="6"/>
      <c r="AM14" s="6"/>
      <c r="AN14" s="6"/>
      <c r="AO14" s="6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1:65">
      <c r="A15" s="18">
        <v>14</v>
      </c>
      <c r="B15" s="36">
        <f>water_ON!B15 - water_OFF!B15 - AVERAGE(B$62:B$63)</f>
        <v>9.9999999999994316E-2</v>
      </c>
      <c r="C15" s="36">
        <f>water_ON!C15 - water_OFF!C15 - AVERAGE(C$62:C$63)</f>
        <v>0.10000000000002274</v>
      </c>
      <c r="D15" s="36">
        <f>water_ON!D15 - water_OFF!D15 - AVERAGE(D$62:D$63)</f>
        <v>0.84999999999996589</v>
      </c>
      <c r="E15" s="36">
        <f>water_ON!E15 - water_OFF!E15 - AVERAGE(E$62:E$63)</f>
        <v>0.54999999999998295</v>
      </c>
      <c r="F15" s="36">
        <f>water_ON!F15 - water_OFF!F15 - AVERAGE(F$62:F$63)</f>
        <v>9.9999999999994316E-2</v>
      </c>
      <c r="G15" s="36">
        <f>water_ON!G15 - water_OFF!G15 - AVERAGE(G$62:G$63)</f>
        <v>0.69999999999996021</v>
      </c>
      <c r="H15" s="36">
        <f>water_ON!H15 - water_OFF!H15 - AVERAGE(H$62:H$63)</f>
        <v>0.90000000000003411</v>
      </c>
      <c r="I15" s="36">
        <f>water_ON!I15 - water_OFF!I15 - AVERAGE(I$62:I$63)</f>
        <v>0.34999999999996589</v>
      </c>
      <c r="J15" s="36">
        <f>water_ON!J15 - water_OFF!J15 - AVERAGE(J$62:J$63)</f>
        <v>2.8421709430404007E-14</v>
      </c>
      <c r="K15" s="36">
        <f>water_ON!K15 - water_OFF!K15 - AVERAGE(K$62:K$63)</f>
        <v>9.9999999999965894E-2</v>
      </c>
      <c r="L15" s="36">
        <f>water_ON!L15 - water_OFF!L15 - AVERAGE(L$62:L$63)</f>
        <v>-4.9999999999982947E-2</v>
      </c>
      <c r="M15" s="36">
        <f>water_ON!M15 - water_OFF!M15 - AVERAGE(M$62:M$63)</f>
        <v>0.30000000000001137</v>
      </c>
      <c r="N15" s="36">
        <f>water_ON!N15 - water_OFF!N15 - AVERAGE(N$62:N$63)</f>
        <v>1.0500000000000398</v>
      </c>
      <c r="O15" s="36">
        <f>water_ON!O15 - water_OFF!O15 - AVERAGE(O$62:O$63)</f>
        <v>9.9999999999965894E-2</v>
      </c>
      <c r="P15" s="36">
        <f>water_ON!P15 - water_OFF!P15 - AVERAGE(P$62:P$63)</f>
        <v>0.19999999999998863</v>
      </c>
      <c r="Q15" s="36">
        <f>water_ON!Q15 - water_OFF!Q15 - AVERAGE(Q$62:Q$63)</f>
        <v>-5.0000000000011369E-2</v>
      </c>
      <c r="R15" s="36">
        <f>water_ON!R15 - water_OFF!R15 - AVERAGE(R$62:R$63)</f>
        <v>-4.9999999999982947E-2</v>
      </c>
      <c r="S15" s="36">
        <f>water_ON!S15 - water_OFF!S15 - AVERAGE(S$62:S$63)</f>
        <v>0.80000000000001137</v>
      </c>
      <c r="T15" s="36">
        <f>water_ON!T15 - water_OFF!T15 - AVERAGE(T$62:T$63)</f>
        <v>0.80000000000001137</v>
      </c>
      <c r="U15" s="27"/>
      <c r="V15" s="6" t="str">
        <f>IF(water_OFF!V15, (water_ON!V15+500-water_ON!V$64) - (water_OFF!V15+500-water_OFF!V$64) - AVERAGE(V$62:V$63), "")</f>
        <v/>
      </c>
      <c r="W15" s="6" t="str">
        <f>IF(water_OFF!W15, (water_ON!W15+500-water_ON!W$64) - (water_OFF!W15+500-water_OFF!W$64) - AVERAGE(W$62:W$63), "")</f>
        <v/>
      </c>
      <c r="X15" s="6" t="str">
        <f>IF(water_OFF!X15, (water_ON!X15+500-water_ON!X$64) - (water_OFF!X15+500-water_OFF!X$64) - AVERAGE(X$62:X$63), "")</f>
        <v/>
      </c>
      <c r="Y15" s="6" t="str">
        <f>IF(water_OFF!Y15, (water_ON!Y15+500-water_ON!Y$64) - (water_OFF!Y15+500-water_OFF!Y$64) - AVERAGE(Y$62:Y$63), "")</f>
        <v/>
      </c>
      <c r="Z15" s="6" t="str">
        <f>IF(water_OFF!Z15, (water_ON!Z15+500-water_ON!Z$64) - (water_OFF!Z15+500-water_OFF!Z$64) - AVERAGE(Z$62:Z$63), "")</f>
        <v/>
      </c>
      <c r="AA15" s="6" t="str">
        <f>IF(water_OFF!AA15, (water_ON!AA15+500-water_ON!AA$64) - (water_OFF!AA15+500-water_OFF!AA$64) - AVERAGE(AA$62:AA$63), "")</f>
        <v/>
      </c>
      <c r="AB15" s="6" t="str">
        <f>IF(water_OFF!AB15, (water_ON!AB15+500-water_ON!AB$64) - (water_OFF!AB15+500-water_OFF!AB$64) - AVERAGE(AB$62:AB$63), "")</f>
        <v/>
      </c>
      <c r="AC15" s="6" t="str">
        <f>IF(water_OFF!AC15, (water_ON!AC15+500-water_ON!AC$64) - (water_OFF!AC15+500-water_OFF!AC$64) - AVERAGE(AC$62:AC$63), "")</f>
        <v/>
      </c>
      <c r="AD15" s="6" t="str">
        <f>IF(water_OFF!AD15, (water_ON!AD15+500-water_ON!AD$64) - (water_OFF!AD15+500-water_OFF!AD$64) - AVERAGE(AD$62:AD$63), "")</f>
        <v/>
      </c>
      <c r="AE15" s="6" t="str">
        <f>IF(water_OFF!AE15, (water_ON!AE15+500-water_ON!AE$64) - (water_OFF!AE15+500-water_OFF!AE$64) - AVERAGE(AE$62:AE$63), "")</f>
        <v/>
      </c>
      <c r="AF15" s="6" t="str">
        <f>IF(water_OFF!AF15, (water_ON!AF15+500-water_ON!AF$64) - (water_OFF!AF15+500-water_OFF!AF$64) - AVERAGE(AF$62:AF$63), "")</f>
        <v/>
      </c>
      <c r="AG15" s="6" t="str">
        <f>IF(water_OFF!AG15, (water_ON!AG15+500-water_ON!AG$64) - (water_OFF!AG15+500-water_OFF!AG$64) - AVERAGE(AG$62:AG$63), "")</f>
        <v/>
      </c>
      <c r="AH15" s="6" t="str">
        <f>IF(water_OFF!AH15, (water_ON!AH15+500-water_ON!AH$64) - (water_OFF!AH15+500-water_OFF!AH$64) - AVERAGE(AH$62:AH$63), "")</f>
        <v/>
      </c>
      <c r="AI15" s="6" t="str">
        <f>IF(water_OFF!AI15, (water_ON!AI15+500-water_ON!AI$64) - (water_OFF!AI15+500-water_OFF!AI$64) - AVERAGE(AI$62:AI$63), "")</f>
        <v/>
      </c>
      <c r="AJ15" s="6" t="str">
        <f>IF(water_OFF!AJ15, (water_ON!AJ15+500-water_ON!AJ$64) - (water_OFF!AJ15+500-water_OFF!AJ$64) - AVERAGE(AJ$62:AJ$63), "")</f>
        <v/>
      </c>
      <c r="AK15" s="27" t="str">
        <f>IF(water_OFF!AK15, (water_ON!AK15+500-water_ON!AK$64) - (water_OFF!AK15+500-water_OFF!AK$64) - AVERAGE(AK$62:AK$63), "")</f>
        <v/>
      </c>
      <c r="AL15" s="6"/>
      <c r="AM15" s="6"/>
      <c r="AN15" s="6"/>
      <c r="AO15" s="6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5">
      <c r="A16" s="18">
        <v>15</v>
      </c>
      <c r="B16" s="36">
        <f>water_ON!B16 - water_OFF!B16 - AVERAGE(B$62:B$63)</f>
        <v>-2.8421709430404007E-14</v>
      </c>
      <c r="C16" s="36">
        <f>water_ON!C16 - water_OFF!C16 - AVERAGE(C$62:C$63)</f>
        <v>0.39999999999997726</v>
      </c>
      <c r="D16" s="36">
        <f>water_ON!D16 - water_OFF!D16 - AVERAGE(D$62:D$63)</f>
        <v>1.1499999999999773</v>
      </c>
      <c r="E16" s="36">
        <f>water_ON!E16 - water_OFF!E16 - AVERAGE(E$62:E$63)</f>
        <v>3.0499999999999829</v>
      </c>
      <c r="F16" s="36">
        <f>water_ON!F16 - water_OFF!F16 - AVERAGE(F$62:F$63)</f>
        <v>2.0000000000000284</v>
      </c>
      <c r="G16" s="36">
        <f>water_ON!G16 - water_OFF!G16 - AVERAGE(G$62:G$63)</f>
        <v>0.90000000000000568</v>
      </c>
      <c r="H16" s="36">
        <f>water_ON!H16 - water_OFF!H16 - AVERAGE(H$62:H$63)</f>
        <v>0.20000000000004547</v>
      </c>
      <c r="I16" s="36">
        <f>water_ON!I16 - water_OFF!I16 - AVERAGE(I$62:I$63)</f>
        <v>1.6499999999999773</v>
      </c>
      <c r="J16" s="36">
        <f>water_ON!J16 - water_OFF!J16 - AVERAGE(J$62:J$63)</f>
        <v>0.90000000000000568</v>
      </c>
      <c r="K16" s="36">
        <f>water_ON!K16 - water_OFF!K16 - AVERAGE(K$62:K$63)</f>
        <v>9.9999999999965894E-2</v>
      </c>
      <c r="L16" s="36">
        <f>water_ON!L16 - water_OFF!L16 - AVERAGE(L$62:L$63)</f>
        <v>-4.9999999999982947E-2</v>
      </c>
      <c r="M16" s="36">
        <f>water_ON!M16 - water_OFF!M16 - AVERAGE(M$62:M$63)</f>
        <v>1.9000000000000341</v>
      </c>
      <c r="N16" s="36">
        <f>water_ON!N16 - water_OFF!N16 - AVERAGE(N$62:N$63)</f>
        <v>0.25000000000002842</v>
      </c>
      <c r="O16" s="36">
        <f>water_ON!O16 - water_OFF!O16 - AVERAGE(O$62:O$63)</f>
        <v>9.9999999999965894E-2</v>
      </c>
      <c r="P16" s="36">
        <f>water_ON!P16 - water_OFF!P16 - AVERAGE(P$62:P$63)</f>
        <v>0.10000000000002274</v>
      </c>
      <c r="Q16" s="36">
        <f>water_ON!Q16 - water_OFF!Q16 - AVERAGE(Q$62:Q$63)</f>
        <v>2.25</v>
      </c>
      <c r="R16" s="36">
        <f>water_ON!R16 - water_OFF!R16 - AVERAGE(R$62:R$63)</f>
        <v>0.15000000000006253</v>
      </c>
      <c r="S16" s="36">
        <f>water_ON!S16 - water_OFF!S16 - AVERAGE(S$62:S$63)</f>
        <v>3.1000000000000227</v>
      </c>
      <c r="T16" s="36">
        <f>water_ON!T16 - water_OFF!T16 - AVERAGE(T$62:T$63)</f>
        <v>0.10000000000002274</v>
      </c>
      <c r="U16" s="27"/>
      <c r="V16" s="6" t="str">
        <f>IF(water_OFF!V16, (water_ON!V16+500-water_ON!V$64) - (water_OFF!V16+500-water_OFF!V$64) - AVERAGE(V$62:V$63), "")</f>
        <v/>
      </c>
      <c r="W16" s="6" t="str">
        <f>IF(water_OFF!W16, (water_ON!W16+500-water_ON!W$64) - (water_OFF!W16+500-water_OFF!W$64) - AVERAGE(W$62:W$63), "")</f>
        <v/>
      </c>
      <c r="X16" s="6" t="str">
        <f>IF(water_OFF!X16, (water_ON!X16+500-water_ON!X$64) - (water_OFF!X16+500-water_OFF!X$64) - AVERAGE(X$62:X$63), "")</f>
        <v/>
      </c>
      <c r="Y16" s="6" t="str">
        <f>IF(water_OFF!Y16, (water_ON!Y16+500-water_ON!Y$64) - (water_OFF!Y16+500-water_OFF!Y$64) - AVERAGE(Y$62:Y$63), "")</f>
        <v/>
      </c>
      <c r="Z16" s="6" t="str">
        <f>IF(water_OFF!Z16, (water_ON!Z16+500-water_ON!Z$64) - (water_OFF!Z16+500-water_OFF!Z$64) - AVERAGE(Z$62:Z$63), "")</f>
        <v/>
      </c>
      <c r="AA16" s="6" t="str">
        <f>IF(water_OFF!AA16, (water_ON!AA16+500-water_ON!AA$64) - (water_OFF!AA16+500-water_OFF!AA$64) - AVERAGE(AA$62:AA$63), "")</f>
        <v/>
      </c>
      <c r="AB16" s="6" t="str">
        <f>IF(water_OFF!AB16, (water_ON!AB16+500-water_ON!AB$64) - (water_OFF!AB16+500-water_OFF!AB$64) - AVERAGE(AB$62:AB$63), "")</f>
        <v/>
      </c>
      <c r="AC16" s="6" t="str">
        <f>IF(water_OFF!AC16, (water_ON!AC16+500-water_ON!AC$64) - (water_OFF!AC16+500-water_OFF!AC$64) - AVERAGE(AC$62:AC$63), "")</f>
        <v/>
      </c>
      <c r="AD16" s="6" t="str">
        <f>IF(water_OFF!AD16, (water_ON!AD16+500-water_ON!AD$64) - (water_OFF!AD16+500-water_OFF!AD$64) - AVERAGE(AD$62:AD$63), "")</f>
        <v/>
      </c>
      <c r="AE16" s="6" t="str">
        <f>IF(water_OFF!AE16, (water_ON!AE16+500-water_ON!AE$64) - (water_OFF!AE16+500-water_OFF!AE$64) - AVERAGE(AE$62:AE$63), "")</f>
        <v/>
      </c>
      <c r="AF16" s="6" t="str">
        <f>IF(water_OFF!AF16, (water_ON!AF16+500-water_ON!AF$64) - (water_OFF!AF16+500-water_OFF!AF$64) - AVERAGE(AF$62:AF$63), "")</f>
        <v/>
      </c>
      <c r="AG16" s="6" t="str">
        <f>IF(water_OFF!AG16, (water_ON!AG16+500-water_ON!AG$64) - (water_OFF!AG16+500-water_OFF!AG$64) - AVERAGE(AG$62:AG$63), "")</f>
        <v/>
      </c>
      <c r="AH16" s="6" t="str">
        <f>IF(water_OFF!AH16, (water_ON!AH16+500-water_ON!AH$64) - (water_OFF!AH16+500-water_OFF!AH$64) - AVERAGE(AH$62:AH$63), "")</f>
        <v/>
      </c>
      <c r="AI16" s="6" t="str">
        <f>IF(water_OFF!AI16, (water_ON!AI16+500-water_ON!AI$64) - (water_OFF!AI16+500-water_OFF!AI$64) - AVERAGE(AI$62:AI$63), "")</f>
        <v/>
      </c>
      <c r="AJ16" s="6" t="str">
        <f>IF(water_OFF!AJ16, (water_ON!AJ16+500-water_ON!AJ$64) - (water_OFF!AJ16+500-water_OFF!AJ$64) - AVERAGE(AJ$62:AJ$63), "")</f>
        <v/>
      </c>
      <c r="AK16" s="27" t="str">
        <f>IF(water_OFF!AK16, (water_ON!AK16+500-water_ON!AK$64) - (water_OFF!AK16+500-water_OFF!AK$64) - AVERAGE(AK$62:AK$63), "")</f>
        <v/>
      </c>
      <c r="AL16" s="6"/>
      <c r="AM16" s="6"/>
      <c r="AN16" s="6"/>
      <c r="AO16" s="6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1:65">
      <c r="A17" s="18">
        <v>16</v>
      </c>
      <c r="B17" s="36">
        <f>water_ON!B17 - water_OFF!B17 - AVERAGE(B$62:B$63)</f>
        <v>2.8421709430404007E-14</v>
      </c>
      <c r="C17" s="36">
        <f>water_ON!C17 - water_OFF!C17 - AVERAGE(C$62:C$63)</f>
        <v>1.3999999999999773</v>
      </c>
      <c r="D17" s="36">
        <f>water_ON!D17 - water_OFF!D17 - AVERAGE(D$62:D$63)</f>
        <v>6.5500000000000114</v>
      </c>
      <c r="E17" s="36">
        <f>water_ON!E17 - water_OFF!E17 - AVERAGE(E$62:E$63)</f>
        <v>2.1499999999999488</v>
      </c>
      <c r="F17" s="36">
        <f>water_ON!F17 - water_OFF!F17 - AVERAGE(F$62:F$63)</f>
        <v>2.3000000000000398</v>
      </c>
      <c r="G17" s="36">
        <f>water_ON!G17 - water_OFF!G17 - AVERAGE(G$62:G$63)</f>
        <v>0.70000000000001705</v>
      </c>
      <c r="H17" s="36">
        <f>water_ON!H17 - water_OFF!H17 - AVERAGE(H$62:H$63)</f>
        <v>0.5</v>
      </c>
      <c r="I17" s="36">
        <f>water_ON!I17 - water_OFF!I17 - AVERAGE(I$62:I$63)</f>
        <v>0.55000000000001137</v>
      </c>
      <c r="J17" s="36">
        <f>water_ON!J17 - water_OFF!J17 - AVERAGE(J$62:J$63)</f>
        <v>0.40000000000000568</v>
      </c>
      <c r="K17" s="36">
        <f>water_ON!K17 - water_OFF!K17 - AVERAGE(K$62:K$63)</f>
        <v>0.29999999999995453</v>
      </c>
      <c r="L17" s="36">
        <f>water_ON!L17 - water_OFF!L17 - AVERAGE(L$62:L$63)</f>
        <v>-4.9999999999982947E-2</v>
      </c>
      <c r="M17" s="36">
        <f>water_ON!M17 - water_OFF!M17 - AVERAGE(M$62:M$63)</f>
        <v>3.6000000000000227</v>
      </c>
      <c r="N17" s="36">
        <f>water_ON!N17 - water_OFF!N17 - AVERAGE(N$62:N$63)</f>
        <v>2.5500000000000398</v>
      </c>
      <c r="O17" s="36">
        <f>water_ON!O17 - water_OFF!O17 - AVERAGE(O$62:O$63)</f>
        <v>0.19999999999998863</v>
      </c>
      <c r="P17" s="36">
        <f>water_ON!P17 - water_OFF!P17 - AVERAGE(P$62:P$63)</f>
        <v>0</v>
      </c>
      <c r="Q17" s="36">
        <f>water_ON!Q17 - water_OFF!Q17 - AVERAGE(Q$62:Q$63)</f>
        <v>2.25</v>
      </c>
      <c r="R17" s="36">
        <f>water_ON!R17 - water_OFF!R17 - AVERAGE(R$62:R$63)</f>
        <v>0.25000000000002842</v>
      </c>
      <c r="S17" s="36">
        <f>water_ON!S17 - water_OFF!S17 - AVERAGE(S$62:S$63)</f>
        <v>1</v>
      </c>
      <c r="T17" s="36">
        <f>water_ON!T17 - water_OFF!T17 - AVERAGE(T$62:T$63)</f>
        <v>0.69999999999998863</v>
      </c>
      <c r="U17" s="27"/>
      <c r="V17" s="6" t="str">
        <f>IF(water_OFF!V17, (water_ON!V17+500-water_ON!V$64) - (water_OFF!V17+500-water_OFF!V$64) - AVERAGE(V$62:V$63), "")</f>
        <v/>
      </c>
      <c r="W17" s="6" t="str">
        <f>IF(water_OFF!W17, (water_ON!W17+500-water_ON!W$64) - (water_OFF!W17+500-water_OFF!W$64) - AVERAGE(W$62:W$63), "")</f>
        <v/>
      </c>
      <c r="X17" s="6" t="str">
        <f>IF(water_OFF!X17, (water_ON!X17+500-water_ON!X$64) - (water_OFF!X17+500-water_OFF!X$64) - AVERAGE(X$62:X$63), "")</f>
        <v/>
      </c>
      <c r="Y17" s="6" t="str">
        <f>IF(water_OFF!Y17, (water_ON!Y17+500-water_ON!Y$64) - (water_OFF!Y17+500-water_OFF!Y$64) - AVERAGE(Y$62:Y$63), "")</f>
        <v/>
      </c>
      <c r="Z17" s="6" t="str">
        <f>IF(water_OFF!Z17, (water_ON!Z17+500-water_ON!Z$64) - (water_OFF!Z17+500-water_OFF!Z$64) - AVERAGE(Z$62:Z$63), "")</f>
        <v/>
      </c>
      <c r="AA17" s="6" t="str">
        <f>IF(water_OFF!AA17, (water_ON!AA17+500-water_ON!AA$64) - (water_OFF!AA17+500-water_OFF!AA$64) - AVERAGE(AA$62:AA$63), "")</f>
        <v/>
      </c>
      <c r="AB17" s="6" t="str">
        <f>IF(water_OFF!AB17, (water_ON!AB17+500-water_ON!AB$64) - (water_OFF!AB17+500-water_OFF!AB$64) - AVERAGE(AB$62:AB$63), "")</f>
        <v/>
      </c>
      <c r="AC17" s="6" t="str">
        <f>IF(water_OFF!AC17, (water_ON!AC17+500-water_ON!AC$64) - (water_OFF!AC17+500-water_OFF!AC$64) - AVERAGE(AC$62:AC$63), "")</f>
        <v/>
      </c>
      <c r="AD17" s="6" t="str">
        <f>IF(water_OFF!AD17, (water_ON!AD17+500-water_ON!AD$64) - (water_OFF!AD17+500-water_OFF!AD$64) - AVERAGE(AD$62:AD$63), "")</f>
        <v/>
      </c>
      <c r="AE17" s="6" t="str">
        <f>IF(water_OFF!AE17, (water_ON!AE17+500-water_ON!AE$64) - (water_OFF!AE17+500-water_OFF!AE$64) - AVERAGE(AE$62:AE$63), "")</f>
        <v/>
      </c>
      <c r="AF17" s="6" t="str">
        <f>IF(water_OFF!AF17, (water_ON!AF17+500-water_ON!AF$64) - (water_OFF!AF17+500-water_OFF!AF$64) - AVERAGE(AF$62:AF$63), "")</f>
        <v/>
      </c>
      <c r="AG17" s="6" t="str">
        <f>IF(water_OFF!AG17, (water_ON!AG17+500-water_ON!AG$64) - (water_OFF!AG17+500-water_OFF!AG$64) - AVERAGE(AG$62:AG$63), "")</f>
        <v/>
      </c>
      <c r="AH17" s="6" t="str">
        <f>IF(water_OFF!AH17, (water_ON!AH17+500-water_ON!AH$64) - (water_OFF!AH17+500-water_OFF!AH$64) - AVERAGE(AH$62:AH$63), "")</f>
        <v/>
      </c>
      <c r="AI17" s="6" t="str">
        <f>IF(water_OFF!AI17, (water_ON!AI17+500-water_ON!AI$64) - (water_OFF!AI17+500-water_OFF!AI$64) - AVERAGE(AI$62:AI$63), "")</f>
        <v/>
      </c>
      <c r="AJ17" s="6" t="str">
        <f>IF(water_OFF!AJ17, (water_ON!AJ17+500-water_ON!AJ$64) - (water_OFF!AJ17+500-water_OFF!AJ$64) - AVERAGE(AJ$62:AJ$63), "")</f>
        <v/>
      </c>
      <c r="AK17" s="27" t="str">
        <f>IF(water_OFF!AK17, (water_ON!AK17+500-water_ON!AK$64) - (water_OFF!AK17+500-water_OFF!AK$64) - AVERAGE(AK$62:AK$63), "")</f>
        <v/>
      </c>
      <c r="AL17" s="6"/>
      <c r="AM17" s="6"/>
      <c r="AN17" s="6"/>
      <c r="AO17" s="6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spans="1:65">
      <c r="A18" s="18">
        <v>17</v>
      </c>
      <c r="B18" s="36">
        <f>water_ON!B18 - water_OFF!B18 - AVERAGE(B$62:B$63)</f>
        <v>9.9999999999994316E-2</v>
      </c>
      <c r="C18" s="36">
        <f>water_ON!C18 - water_OFF!C18 - AVERAGE(C$62:C$63)</f>
        <v>0.20000000000004547</v>
      </c>
      <c r="D18" s="36">
        <f>water_ON!D18 - water_OFF!D18 - AVERAGE(D$62:D$63)</f>
        <v>5.0000000000011369E-2</v>
      </c>
      <c r="E18" s="36">
        <f>water_ON!E18 - water_OFF!E18 - AVERAGE(E$62:E$63)</f>
        <v>0.24999999999997158</v>
      </c>
      <c r="F18" s="36">
        <f>water_ON!F18 - water_OFF!F18 - AVERAGE(F$62:F$63)</f>
        <v>9.9999999999994316E-2</v>
      </c>
      <c r="G18" s="36">
        <f>water_ON!G18 - water_OFF!G18 - AVERAGE(G$62:G$63)</f>
        <v>0.10000000000005116</v>
      </c>
      <c r="H18" s="36">
        <f>water_ON!H18 - water_OFF!H18 - AVERAGE(H$62:H$63)</f>
        <v>0.19999999999998863</v>
      </c>
      <c r="I18" s="36">
        <f>water_ON!I18 - water_OFF!I18 - AVERAGE(I$62:I$63)</f>
        <v>0.14999999999997726</v>
      </c>
      <c r="J18" s="36">
        <f>water_ON!J18 - water_OFF!J18 - AVERAGE(J$62:J$63)</f>
        <v>2.8421709430404007E-14</v>
      </c>
      <c r="K18" s="36">
        <f>water_ON!K18 - water_OFF!K18 - AVERAGE(K$62:K$63)</f>
        <v>0</v>
      </c>
      <c r="L18" s="36">
        <f>water_ON!L18 - water_OFF!L18 - AVERAGE(L$62:L$63)</f>
        <v>-4.9999999999982947E-2</v>
      </c>
      <c r="M18" s="36">
        <f>water_ON!M18 - water_OFF!M18 - AVERAGE(M$62:M$63)</f>
        <v>0.30000000000001137</v>
      </c>
      <c r="N18" s="36">
        <f>water_ON!N18 - water_OFF!N18 - AVERAGE(N$62:N$63)</f>
        <v>0.15000000000000568</v>
      </c>
      <c r="O18" s="36">
        <f>water_ON!O18 - water_OFF!O18 - AVERAGE(O$62:O$63)</f>
        <v>-0.10000000000002274</v>
      </c>
      <c r="P18" s="36">
        <f>water_ON!P18 - water_OFF!P18 - AVERAGE(P$62:P$63)</f>
        <v>0</v>
      </c>
      <c r="Q18" s="36">
        <f>water_ON!Q18 - water_OFF!Q18 - AVERAGE(Q$62:Q$63)</f>
        <v>-4.9999999999954525E-2</v>
      </c>
      <c r="R18" s="36">
        <f>water_ON!R18 - water_OFF!R18 - AVERAGE(R$62:R$63)</f>
        <v>4.9999999999982947E-2</v>
      </c>
      <c r="S18" s="36">
        <f>water_ON!S18 - water_OFF!S18 - AVERAGE(S$62:S$63)</f>
        <v>0.29999999999995453</v>
      </c>
      <c r="T18" s="36">
        <f>water_ON!T18 - water_OFF!T18 - AVERAGE(T$62:T$63)</f>
        <v>0.10000000000002274</v>
      </c>
      <c r="U18" s="27"/>
      <c r="V18" s="6" t="str">
        <f>IF(water_OFF!V18, (water_ON!V18+500-water_ON!V$64) - (water_OFF!V18+500-water_OFF!V$64) - AVERAGE(V$62:V$63), "")</f>
        <v/>
      </c>
      <c r="W18" s="6" t="str">
        <f>IF(water_OFF!W18, (water_ON!W18+500-water_ON!W$64) - (water_OFF!W18+500-water_OFF!W$64) - AVERAGE(W$62:W$63), "")</f>
        <v/>
      </c>
      <c r="X18" s="6" t="str">
        <f>IF(water_OFF!X18, (water_ON!X18+500-water_ON!X$64) - (water_OFF!X18+500-water_OFF!X$64) - AVERAGE(X$62:X$63), "")</f>
        <v/>
      </c>
      <c r="Y18" s="6" t="str">
        <f>IF(water_OFF!Y18, (water_ON!Y18+500-water_ON!Y$64) - (water_OFF!Y18+500-water_OFF!Y$64) - AVERAGE(Y$62:Y$63), "")</f>
        <v/>
      </c>
      <c r="Z18" s="6" t="str">
        <f>IF(water_OFF!Z18, (water_ON!Z18+500-water_ON!Z$64) - (water_OFF!Z18+500-water_OFF!Z$64) - AVERAGE(Z$62:Z$63), "")</f>
        <v/>
      </c>
      <c r="AA18" s="6" t="str">
        <f>IF(water_OFF!AA18, (water_ON!AA18+500-water_ON!AA$64) - (water_OFF!AA18+500-water_OFF!AA$64) - AVERAGE(AA$62:AA$63), "")</f>
        <v/>
      </c>
      <c r="AB18" s="6" t="str">
        <f>IF(water_OFF!AB18, (water_ON!AB18+500-water_ON!AB$64) - (water_OFF!AB18+500-water_OFF!AB$64) - AVERAGE(AB$62:AB$63), "")</f>
        <v/>
      </c>
      <c r="AC18" s="6" t="str">
        <f>IF(water_OFF!AC18, (water_ON!AC18+500-water_ON!AC$64) - (water_OFF!AC18+500-water_OFF!AC$64) - AVERAGE(AC$62:AC$63), "")</f>
        <v/>
      </c>
      <c r="AD18" s="6" t="str">
        <f>IF(water_OFF!AD18, (water_ON!AD18+500-water_ON!AD$64) - (water_OFF!AD18+500-water_OFF!AD$64) - AVERAGE(AD$62:AD$63), "")</f>
        <v/>
      </c>
      <c r="AE18" s="6" t="str">
        <f>IF(water_OFF!AE18, (water_ON!AE18+500-water_ON!AE$64) - (water_OFF!AE18+500-water_OFF!AE$64) - AVERAGE(AE$62:AE$63), "")</f>
        <v/>
      </c>
      <c r="AF18" s="6" t="str">
        <f>IF(water_OFF!AF18, (water_ON!AF18+500-water_ON!AF$64) - (water_OFF!AF18+500-water_OFF!AF$64) - AVERAGE(AF$62:AF$63), "")</f>
        <v/>
      </c>
      <c r="AG18" s="6" t="str">
        <f>IF(water_OFF!AG18, (water_ON!AG18+500-water_ON!AG$64) - (water_OFF!AG18+500-water_OFF!AG$64) - AVERAGE(AG$62:AG$63), "")</f>
        <v/>
      </c>
      <c r="AH18" s="6" t="str">
        <f>IF(water_OFF!AH18, (water_ON!AH18+500-water_ON!AH$64) - (water_OFF!AH18+500-water_OFF!AH$64) - AVERAGE(AH$62:AH$63), "")</f>
        <v/>
      </c>
      <c r="AI18" s="6" t="str">
        <f>IF(water_OFF!AI18, (water_ON!AI18+500-water_ON!AI$64) - (water_OFF!AI18+500-water_OFF!AI$64) - AVERAGE(AI$62:AI$63), "")</f>
        <v/>
      </c>
      <c r="AJ18" s="6" t="str">
        <f>IF(water_OFF!AJ18, (water_ON!AJ18+500-water_ON!AJ$64) - (water_OFF!AJ18+500-water_OFF!AJ$64) - AVERAGE(AJ$62:AJ$63), "")</f>
        <v/>
      </c>
      <c r="AK18" s="27" t="str">
        <f>IF(water_OFF!AK18, (water_ON!AK18+500-water_ON!AK$64) - (water_OFF!AK18+500-water_OFF!AK$64) - AVERAGE(AK$62:AK$63), "")</f>
        <v/>
      </c>
      <c r="AL18" s="6"/>
      <c r="AM18" s="6"/>
      <c r="AN18" s="6"/>
      <c r="AO18" s="6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1:65">
      <c r="A19" s="18">
        <v>18</v>
      </c>
      <c r="B19" s="36">
        <f>water_ON!B19 - water_OFF!B19 - AVERAGE(B$62:B$63)</f>
        <v>-2.8421709430404007E-14</v>
      </c>
      <c r="C19" s="36">
        <f>water_ON!C19 - water_OFF!C19 - AVERAGE(C$62:C$63)</f>
        <v>0.19999999999998863</v>
      </c>
      <c r="D19" s="36">
        <f>water_ON!D19 - water_OFF!D19 - AVERAGE(D$62:D$63)</f>
        <v>5.0000000000011369E-2</v>
      </c>
      <c r="E19" s="36">
        <f>water_ON!E19 - water_OFF!E19 - AVERAGE(E$62:E$63)</f>
        <v>4.9999999999982947E-2</v>
      </c>
      <c r="F19" s="36">
        <f>water_ON!F19 - water_OFF!F19 - AVERAGE(F$62:F$63)</f>
        <v>0.19999999999996021</v>
      </c>
      <c r="G19" s="36">
        <f>water_ON!G19 - water_OFF!G19 - AVERAGE(G$62:G$63)</f>
        <v>9.9999999999994316E-2</v>
      </c>
      <c r="H19" s="36">
        <f>water_ON!H19 - water_OFF!H19 - AVERAGE(H$62:H$63)</f>
        <v>0.39999999999997726</v>
      </c>
      <c r="I19" s="36">
        <f>water_ON!I19 - water_OFF!I19 - AVERAGE(I$62:I$63)</f>
        <v>0.14999999999997726</v>
      </c>
      <c r="J19" s="36">
        <f>water_ON!J19 - water_OFF!J19 - AVERAGE(J$62:J$63)</f>
        <v>0.20000000000001705</v>
      </c>
      <c r="K19" s="36">
        <f>water_ON!K19 - water_OFF!K19 - AVERAGE(K$62:K$63)</f>
        <v>0.20000000000004547</v>
      </c>
      <c r="L19" s="36">
        <f>water_ON!L19 - water_OFF!L19 - AVERAGE(L$62:L$63)</f>
        <v>5.000000000003979E-2</v>
      </c>
      <c r="M19" s="36">
        <f>water_ON!M19 - water_OFF!M19 - AVERAGE(M$62:M$63)</f>
        <v>0.19999999999998863</v>
      </c>
      <c r="N19" s="36">
        <f>water_ON!N19 - water_OFF!N19 - AVERAGE(N$62:N$63)</f>
        <v>0.25000000000002842</v>
      </c>
      <c r="O19" s="36">
        <f>water_ON!O19 - water_OFF!O19 - AVERAGE(O$62:O$63)</f>
        <v>9.9999999999965894E-2</v>
      </c>
      <c r="P19" s="36">
        <f>water_ON!P19 - water_OFF!P19 - AVERAGE(P$62:P$63)</f>
        <v>0.10000000000002274</v>
      </c>
      <c r="Q19" s="36">
        <f>water_ON!Q19 - water_OFF!Q19 - AVERAGE(Q$62:Q$63)</f>
        <v>-4.9999999999954525E-2</v>
      </c>
      <c r="R19" s="36">
        <f>water_ON!R19 - water_OFF!R19 - AVERAGE(R$62:R$63)</f>
        <v>0.15000000000000568</v>
      </c>
      <c r="S19" s="36">
        <f>water_ON!S19 - water_OFF!S19 - AVERAGE(S$62:S$63)</f>
        <v>9.9999999999965894E-2</v>
      </c>
      <c r="T19" s="36">
        <f>water_ON!T19 - water_OFF!T19 - AVERAGE(T$62:T$63)</f>
        <v>0</v>
      </c>
      <c r="U19" s="27"/>
      <c r="V19" s="6" t="str">
        <f>IF(water_OFF!V19, (water_ON!V19+500-water_ON!V$64) - (water_OFF!V19+500-water_OFF!V$64) - AVERAGE(V$62:V$63), "")</f>
        <v/>
      </c>
      <c r="W19" s="6" t="str">
        <f>IF(water_OFF!W19, (water_ON!W19+500-water_ON!W$64) - (water_OFF!W19+500-water_OFF!W$64) - AVERAGE(W$62:W$63), "")</f>
        <v/>
      </c>
      <c r="X19" s="6" t="str">
        <f>IF(water_OFF!X19, (water_ON!X19+500-water_ON!X$64) - (water_OFF!X19+500-water_OFF!X$64) - AVERAGE(X$62:X$63), "")</f>
        <v/>
      </c>
      <c r="Y19" s="6" t="str">
        <f>IF(water_OFF!Y19, (water_ON!Y19+500-water_ON!Y$64) - (water_OFF!Y19+500-water_OFF!Y$64) - AVERAGE(Y$62:Y$63), "")</f>
        <v/>
      </c>
      <c r="Z19" s="6" t="str">
        <f>IF(water_OFF!Z19, (water_ON!Z19+500-water_ON!Z$64) - (water_OFF!Z19+500-water_OFF!Z$64) - AVERAGE(Z$62:Z$63), "")</f>
        <v/>
      </c>
      <c r="AA19" s="6" t="str">
        <f>IF(water_OFF!AA19, (water_ON!AA19+500-water_ON!AA$64) - (water_OFF!AA19+500-water_OFF!AA$64) - AVERAGE(AA$62:AA$63), "")</f>
        <v/>
      </c>
      <c r="AB19" s="6" t="str">
        <f>IF(water_OFF!AB19, (water_ON!AB19+500-water_ON!AB$64) - (water_OFF!AB19+500-water_OFF!AB$64) - AVERAGE(AB$62:AB$63), "")</f>
        <v/>
      </c>
      <c r="AC19" s="6" t="str">
        <f>IF(water_OFF!AC19, (water_ON!AC19+500-water_ON!AC$64) - (water_OFF!AC19+500-water_OFF!AC$64) - AVERAGE(AC$62:AC$63), "")</f>
        <v/>
      </c>
      <c r="AD19" s="6" t="str">
        <f>IF(water_OFF!AD19, (water_ON!AD19+500-water_ON!AD$64) - (water_OFF!AD19+500-water_OFF!AD$64) - AVERAGE(AD$62:AD$63), "")</f>
        <v/>
      </c>
      <c r="AE19" s="6" t="str">
        <f>IF(water_OFF!AE19, (water_ON!AE19+500-water_ON!AE$64) - (water_OFF!AE19+500-water_OFF!AE$64) - AVERAGE(AE$62:AE$63), "")</f>
        <v/>
      </c>
      <c r="AF19" s="6" t="str">
        <f>IF(water_OFF!AF19, (water_ON!AF19+500-water_ON!AF$64) - (water_OFF!AF19+500-water_OFF!AF$64) - AVERAGE(AF$62:AF$63), "")</f>
        <v/>
      </c>
      <c r="AG19" s="6" t="str">
        <f>IF(water_OFF!AG19, (water_ON!AG19+500-water_ON!AG$64) - (water_OFF!AG19+500-water_OFF!AG$64) - AVERAGE(AG$62:AG$63), "")</f>
        <v/>
      </c>
      <c r="AH19" s="6" t="str">
        <f>IF(water_OFF!AH19, (water_ON!AH19+500-water_ON!AH$64) - (water_OFF!AH19+500-water_OFF!AH$64) - AVERAGE(AH$62:AH$63), "")</f>
        <v/>
      </c>
      <c r="AI19" s="6" t="str">
        <f>IF(water_OFF!AI19, (water_ON!AI19+500-water_ON!AI$64) - (water_OFF!AI19+500-water_OFF!AI$64) - AVERAGE(AI$62:AI$63), "")</f>
        <v/>
      </c>
      <c r="AJ19" s="6" t="str">
        <f>IF(water_OFF!AJ19, (water_ON!AJ19+500-water_ON!AJ$64) - (water_OFF!AJ19+500-water_OFF!AJ$64) - AVERAGE(AJ$62:AJ$63), "")</f>
        <v/>
      </c>
      <c r="AK19" s="27" t="str">
        <f>IF(water_OFF!AK19, (water_ON!AK19+500-water_ON!AK$64) - (water_OFF!AK19+500-water_OFF!AK$64) - AVERAGE(AK$62:AK$63), "")</f>
        <v/>
      </c>
      <c r="AL19" s="6"/>
      <c r="AM19" s="6"/>
      <c r="AN19" s="6"/>
      <c r="AO19" s="6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1:65">
      <c r="A20" s="18">
        <v>19</v>
      </c>
      <c r="B20" s="36">
        <f>water_ON!B20 - water_OFF!B20 - AVERAGE(B$62:B$63)</f>
        <v>1.2000000000000171</v>
      </c>
      <c r="C20" s="36">
        <f>water_ON!C20 - water_OFF!C20 - AVERAGE(C$62:C$63)</f>
        <v>9.9999999999965894E-2</v>
      </c>
      <c r="D20" s="36">
        <f>water_ON!D20 - water_OFF!D20 - AVERAGE(D$62:D$63)</f>
        <v>2.4499999999999886</v>
      </c>
      <c r="E20" s="36">
        <f>water_ON!E20 - water_OFF!E20 - AVERAGE(E$62:E$63)</f>
        <v>4.9999999999982947E-2</v>
      </c>
      <c r="F20" s="36">
        <f>water_ON!F20 - water_OFF!F20 - AVERAGE(F$62:F$63)</f>
        <v>9.9999999999994316E-2</v>
      </c>
      <c r="G20" s="36">
        <f>water_ON!G20 - water_OFF!G20 - AVERAGE(G$62:G$63)</f>
        <v>0.20000000000001705</v>
      </c>
      <c r="H20" s="36">
        <f>water_ON!H20 - water_OFF!H20 - AVERAGE(H$62:H$63)</f>
        <v>1.5</v>
      </c>
      <c r="I20" s="36">
        <f>water_ON!I20 - water_OFF!I20 - AVERAGE(I$62:I$63)</f>
        <v>0.75</v>
      </c>
      <c r="J20" s="36">
        <f>water_ON!J20 - water_OFF!J20 - AVERAGE(J$62:J$63)</f>
        <v>0.20000000000001705</v>
      </c>
      <c r="K20" s="36">
        <f>water_ON!K20 - water_OFF!K20 - AVERAGE(K$62:K$63)</f>
        <v>0.19999999999998863</v>
      </c>
      <c r="L20" s="36">
        <f>water_ON!L20 - water_OFF!L20 - AVERAGE(L$62:L$63)</f>
        <v>0.25000000000002842</v>
      </c>
      <c r="M20" s="36">
        <f>water_ON!M20 - water_OFF!M20 - AVERAGE(M$62:M$63)</f>
        <v>4.3000000000000114</v>
      </c>
      <c r="N20" s="36">
        <f>water_ON!N20 - water_OFF!N20 - AVERAGE(N$62:N$63)</f>
        <v>0.25000000000002842</v>
      </c>
      <c r="O20" s="36">
        <f>water_ON!O20 - water_OFF!O20 - AVERAGE(O$62:O$63)</f>
        <v>0.89999999999997726</v>
      </c>
      <c r="P20" s="36">
        <f>water_ON!P20 - water_OFF!P20 - AVERAGE(P$62:P$63)</f>
        <v>3.1000000000000227</v>
      </c>
      <c r="Q20" s="36">
        <f>water_ON!Q20 - water_OFF!Q20 - AVERAGE(Q$62:Q$63)</f>
        <v>2.5500000000000114</v>
      </c>
      <c r="R20" s="36">
        <f>water_ON!R20 - water_OFF!R20 - AVERAGE(R$62:R$63)</f>
        <v>-4.9999999999982947E-2</v>
      </c>
      <c r="S20" s="36">
        <f>water_ON!S20 - water_OFF!S20 - AVERAGE(S$62:S$63)</f>
        <v>1.1999999999999886</v>
      </c>
      <c r="T20" s="36">
        <f>water_ON!T20 - water_OFF!T20 - AVERAGE(T$62:T$63)</f>
        <v>6</v>
      </c>
      <c r="U20" s="27"/>
      <c r="V20" s="6" t="str">
        <f>IF(water_OFF!V20, (water_ON!V20+500-water_ON!V$64) - (water_OFF!V20+500-water_OFF!V$64) - AVERAGE(V$62:V$63), "")</f>
        <v/>
      </c>
      <c r="W20" s="6" t="str">
        <f>IF(water_OFF!W20, (water_ON!W20+500-water_ON!W$64) - (water_OFF!W20+500-water_OFF!W$64) - AVERAGE(W$62:W$63), "")</f>
        <v/>
      </c>
      <c r="X20" s="6" t="str">
        <f>IF(water_OFF!X20, (water_ON!X20+500-water_ON!X$64) - (water_OFF!X20+500-water_OFF!X$64) - AVERAGE(X$62:X$63), "")</f>
        <v/>
      </c>
      <c r="Y20" s="6" t="str">
        <f>IF(water_OFF!Y20, (water_ON!Y20+500-water_ON!Y$64) - (water_OFF!Y20+500-water_OFF!Y$64) - AVERAGE(Y$62:Y$63), "")</f>
        <v/>
      </c>
      <c r="Z20" s="6" t="str">
        <f>IF(water_OFF!Z20, (water_ON!Z20+500-water_ON!Z$64) - (water_OFF!Z20+500-water_OFF!Z$64) - AVERAGE(Z$62:Z$63), "")</f>
        <v/>
      </c>
      <c r="AA20" s="6" t="str">
        <f>IF(water_OFF!AA20, (water_ON!AA20+500-water_ON!AA$64) - (water_OFF!AA20+500-water_OFF!AA$64) - AVERAGE(AA$62:AA$63), "")</f>
        <v/>
      </c>
      <c r="AB20" s="6" t="str">
        <f>IF(water_OFF!AB20, (water_ON!AB20+500-water_ON!AB$64) - (water_OFF!AB20+500-water_OFF!AB$64) - AVERAGE(AB$62:AB$63), "")</f>
        <v/>
      </c>
      <c r="AC20" s="6" t="str">
        <f>IF(water_OFF!AC20, (water_ON!AC20+500-water_ON!AC$64) - (water_OFF!AC20+500-water_OFF!AC$64) - AVERAGE(AC$62:AC$63), "")</f>
        <v/>
      </c>
      <c r="AD20" s="6" t="str">
        <f>IF(water_OFF!AD20, (water_ON!AD20+500-water_ON!AD$64) - (water_OFF!AD20+500-water_OFF!AD$64) - AVERAGE(AD$62:AD$63), "")</f>
        <v/>
      </c>
      <c r="AE20" s="6" t="str">
        <f>IF(water_OFF!AE20, (water_ON!AE20+500-water_ON!AE$64) - (water_OFF!AE20+500-water_OFF!AE$64) - AVERAGE(AE$62:AE$63), "")</f>
        <v/>
      </c>
      <c r="AF20" s="6" t="str">
        <f>IF(water_OFF!AF20, (water_ON!AF20+500-water_ON!AF$64) - (water_OFF!AF20+500-water_OFF!AF$64) - AVERAGE(AF$62:AF$63), "")</f>
        <v/>
      </c>
      <c r="AG20" s="6" t="str">
        <f>IF(water_OFF!AG20, (water_ON!AG20+500-water_ON!AG$64) - (water_OFF!AG20+500-water_OFF!AG$64) - AVERAGE(AG$62:AG$63), "")</f>
        <v/>
      </c>
      <c r="AH20" s="6" t="str">
        <f>IF(water_OFF!AH20, (water_ON!AH20+500-water_ON!AH$64) - (water_OFF!AH20+500-water_OFF!AH$64) - AVERAGE(AH$62:AH$63), "")</f>
        <v/>
      </c>
      <c r="AI20" s="6" t="str">
        <f>IF(water_OFF!AI20, (water_ON!AI20+500-water_ON!AI$64) - (water_OFF!AI20+500-water_OFF!AI$64) - AVERAGE(AI$62:AI$63), "")</f>
        <v/>
      </c>
      <c r="AJ20" s="6" t="str">
        <f>IF(water_OFF!AJ20, (water_ON!AJ20+500-water_ON!AJ$64) - (water_OFF!AJ20+500-water_OFF!AJ$64) - AVERAGE(AJ$62:AJ$63), "")</f>
        <v/>
      </c>
      <c r="AK20" s="27" t="str">
        <f>IF(water_OFF!AK20, (water_ON!AK20+500-water_ON!AK$64) - (water_OFF!AK20+500-water_OFF!AK$64) - AVERAGE(AK$62:AK$63), "")</f>
        <v/>
      </c>
      <c r="AL20" s="6"/>
      <c r="AM20" s="6"/>
      <c r="AN20" s="6"/>
      <c r="AO20" s="6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1:65">
      <c r="A21" s="18">
        <v>20</v>
      </c>
      <c r="B21" s="36">
        <f>water_ON!B21 - water_OFF!B21 - AVERAGE(B$62:B$63)</f>
        <v>1.4000000000000057</v>
      </c>
      <c r="C21" s="36">
        <f>water_ON!C21 - water_OFF!C21 - AVERAGE(C$62:C$63)</f>
        <v>0.60000000000002274</v>
      </c>
      <c r="D21" s="36">
        <f>water_ON!D21 - water_OFF!D21 - AVERAGE(D$62:D$63)</f>
        <v>0.34999999999996589</v>
      </c>
      <c r="E21" s="36">
        <f>water_ON!E21 - water_OFF!E21 - AVERAGE(E$62:E$63)</f>
        <v>0.15000000000000568</v>
      </c>
      <c r="F21" s="36">
        <f>water_ON!F21 - water_OFF!F21 - AVERAGE(F$62:F$63)</f>
        <v>0.29999999999998295</v>
      </c>
      <c r="G21" s="36">
        <f>water_ON!G21 - water_OFF!G21 - AVERAGE(G$62:G$63)</f>
        <v>0.60000000000005116</v>
      </c>
      <c r="H21" s="36">
        <f>water_ON!H21 - water_OFF!H21 - AVERAGE(H$62:H$63)</f>
        <v>1.5</v>
      </c>
      <c r="I21" s="36">
        <f>water_ON!I21 - water_OFF!I21 - AVERAGE(I$62:I$63)</f>
        <v>0.44999999999998863</v>
      </c>
      <c r="J21" s="36">
        <f>water_ON!J21 - water_OFF!J21 - AVERAGE(J$62:J$63)</f>
        <v>-9.9999999999994316E-2</v>
      </c>
      <c r="K21" s="36">
        <f>water_ON!K21 - water_OFF!K21 - AVERAGE(K$62:K$63)</f>
        <v>0</v>
      </c>
      <c r="L21" s="36">
        <f>water_ON!L21 - water_OFF!L21 - AVERAGE(L$62:L$63)</f>
        <v>0.55000000000003979</v>
      </c>
      <c r="M21" s="36">
        <f>water_ON!M21 - water_OFF!M21 - AVERAGE(M$62:M$63)</f>
        <v>0.19999999999998863</v>
      </c>
      <c r="N21" s="36">
        <f>water_ON!N21 - water_OFF!N21 - AVERAGE(N$62:N$63)</f>
        <v>0.75000000000002842</v>
      </c>
      <c r="O21" s="36">
        <f>water_ON!O21 - water_OFF!O21 - AVERAGE(O$62:O$63)</f>
        <v>2.0999999999999659</v>
      </c>
      <c r="P21" s="36">
        <f>water_ON!P21 - water_OFF!P21 - AVERAGE(P$62:P$63)</f>
        <v>0</v>
      </c>
      <c r="Q21" s="36">
        <f>water_ON!Q21 - water_OFF!Q21 - AVERAGE(Q$62:Q$63)</f>
        <v>-5.0000000000011369E-2</v>
      </c>
      <c r="R21" s="36">
        <f>water_ON!R21 - water_OFF!R21 - AVERAGE(R$62:R$63)</f>
        <v>0.15000000000000568</v>
      </c>
      <c r="S21" s="36">
        <f>water_ON!S21 - water_OFF!S21 - AVERAGE(S$62:S$63)</f>
        <v>0.39999999999997726</v>
      </c>
      <c r="T21" s="36">
        <f>water_ON!T21 - water_OFF!T21 - AVERAGE(T$62:T$63)</f>
        <v>0.19999999999998863</v>
      </c>
      <c r="U21" s="27"/>
      <c r="V21" s="6" t="str">
        <f>IF(water_OFF!V21, (water_ON!V21+500-water_ON!V$64) - (water_OFF!V21+500-water_OFF!V$64) - AVERAGE(V$62:V$63), "")</f>
        <v/>
      </c>
      <c r="W21" s="6" t="str">
        <f>IF(water_OFF!W21, (water_ON!W21+500-water_ON!W$64) - (water_OFF!W21+500-water_OFF!W$64) - AVERAGE(W$62:W$63), "")</f>
        <v/>
      </c>
      <c r="X21" s="6" t="str">
        <f>IF(water_OFF!X21, (water_ON!X21+500-water_ON!X$64) - (water_OFF!X21+500-water_OFF!X$64) - AVERAGE(X$62:X$63), "")</f>
        <v/>
      </c>
      <c r="Y21" s="6" t="str">
        <f>IF(water_OFF!Y21, (water_ON!Y21+500-water_ON!Y$64) - (water_OFF!Y21+500-water_OFF!Y$64) - AVERAGE(Y$62:Y$63), "")</f>
        <v/>
      </c>
      <c r="Z21" s="6" t="str">
        <f>IF(water_OFF!Z21, (water_ON!Z21+500-water_ON!Z$64) - (water_OFF!Z21+500-water_OFF!Z$64) - AVERAGE(Z$62:Z$63), "")</f>
        <v/>
      </c>
      <c r="AA21" s="6" t="str">
        <f>IF(water_OFF!AA21, (water_ON!AA21+500-water_ON!AA$64) - (water_OFF!AA21+500-water_OFF!AA$64) - AVERAGE(AA$62:AA$63), "")</f>
        <v/>
      </c>
      <c r="AB21" s="6" t="str">
        <f>IF(water_OFF!AB21, (water_ON!AB21+500-water_ON!AB$64) - (water_OFF!AB21+500-water_OFF!AB$64) - AVERAGE(AB$62:AB$63), "")</f>
        <v/>
      </c>
      <c r="AC21" s="6" t="str">
        <f>IF(water_OFF!AC21, (water_ON!AC21+500-water_ON!AC$64) - (water_OFF!AC21+500-water_OFF!AC$64) - AVERAGE(AC$62:AC$63), "")</f>
        <v/>
      </c>
      <c r="AD21" s="6" t="str">
        <f>IF(water_OFF!AD21, (water_ON!AD21+500-water_ON!AD$64) - (water_OFF!AD21+500-water_OFF!AD$64) - AVERAGE(AD$62:AD$63), "")</f>
        <v/>
      </c>
      <c r="AE21" s="6" t="str">
        <f>IF(water_OFF!AE21, (water_ON!AE21+500-water_ON!AE$64) - (water_OFF!AE21+500-water_OFF!AE$64) - AVERAGE(AE$62:AE$63), "")</f>
        <v/>
      </c>
      <c r="AF21" s="6" t="str">
        <f>IF(water_OFF!AF21, (water_ON!AF21+500-water_ON!AF$64) - (water_OFF!AF21+500-water_OFF!AF$64) - AVERAGE(AF$62:AF$63), "")</f>
        <v/>
      </c>
      <c r="AG21" s="6" t="str">
        <f>IF(water_OFF!AG21, (water_ON!AG21+500-water_ON!AG$64) - (water_OFF!AG21+500-water_OFF!AG$64) - AVERAGE(AG$62:AG$63), "")</f>
        <v/>
      </c>
      <c r="AH21" s="6" t="str">
        <f>IF(water_OFF!AH21, (water_ON!AH21+500-water_ON!AH$64) - (water_OFF!AH21+500-water_OFF!AH$64) - AVERAGE(AH$62:AH$63), "")</f>
        <v/>
      </c>
      <c r="AI21" s="6" t="str">
        <f>IF(water_OFF!AI21, (water_ON!AI21+500-water_ON!AI$64) - (water_OFF!AI21+500-water_OFF!AI$64) - AVERAGE(AI$62:AI$63), "")</f>
        <v/>
      </c>
      <c r="AJ21" s="6" t="str">
        <f>IF(water_OFF!AJ21, (water_ON!AJ21+500-water_ON!AJ$64) - (water_OFF!AJ21+500-water_OFF!AJ$64) - AVERAGE(AJ$62:AJ$63), "")</f>
        <v/>
      </c>
      <c r="AK21" s="27" t="str">
        <f>IF(water_OFF!AK21, (water_ON!AK21+500-water_ON!AK$64) - (water_OFF!AK21+500-water_OFF!AK$64) - AVERAGE(AK$62:AK$63), "")</f>
        <v/>
      </c>
      <c r="AL21" s="6"/>
      <c r="AM21" s="6"/>
      <c r="AN21" s="6"/>
      <c r="AO21" s="6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1:65">
      <c r="A22" s="18">
        <v>21</v>
      </c>
      <c r="B22" s="36">
        <f>water_ON!B22 - water_OFF!B22 - AVERAGE(B$62:B$63)</f>
        <v>2.8421709430404007E-14</v>
      </c>
      <c r="C22" s="36">
        <f>water_ON!C22 - water_OFF!C22 - AVERAGE(C$62:C$63)</f>
        <v>0.10000000000002274</v>
      </c>
      <c r="D22" s="36">
        <f>water_ON!D22 - water_OFF!D22 - AVERAGE(D$62:D$63)</f>
        <v>-5.0000000000011369E-2</v>
      </c>
      <c r="E22" s="36">
        <f>water_ON!E22 - water_OFF!E22 - AVERAGE(E$62:E$63)</f>
        <v>4.9999999999982947E-2</v>
      </c>
      <c r="F22" s="36">
        <f>water_ON!F22 - water_OFF!F22 - AVERAGE(F$62:F$63)</f>
        <v>-9.9999999999994316E-2</v>
      </c>
      <c r="G22" s="36">
        <f>water_ON!G22 - water_OFF!G22 - AVERAGE(G$62:G$63)</f>
        <v>9.9999999999994316E-2</v>
      </c>
      <c r="H22" s="36">
        <f>water_ON!H22 - water_OFF!H22 - AVERAGE(H$62:H$63)</f>
        <v>0.20000000000004547</v>
      </c>
      <c r="I22" s="36">
        <f>water_ON!I22 - water_OFF!I22 - AVERAGE(I$62:I$63)</f>
        <v>-5.0000000000011369E-2</v>
      </c>
      <c r="J22" s="36">
        <f>water_ON!J22 - water_OFF!J22 - AVERAGE(J$62:J$63)</f>
        <v>-9.9999999999994316E-2</v>
      </c>
      <c r="K22" s="36">
        <f>water_ON!K22 - water_OFF!K22 - AVERAGE(K$62:K$63)</f>
        <v>9.9999999999965894E-2</v>
      </c>
      <c r="L22" s="36">
        <f>water_ON!L22 - water_OFF!L22 - AVERAGE(L$62:L$63)</f>
        <v>-0.15000000000000568</v>
      </c>
      <c r="M22" s="36">
        <f>water_ON!M22 - water_OFF!M22 - AVERAGE(M$62:M$63)</f>
        <v>0.10000000000002274</v>
      </c>
      <c r="N22" s="36">
        <f>water_ON!N22 - water_OFF!N22 - AVERAGE(N$62:N$63)</f>
        <v>0.45000000000001705</v>
      </c>
      <c r="O22" s="36">
        <f>water_ON!O22 - water_OFF!O22 - AVERAGE(O$62:O$63)</f>
        <v>-0.10000000000002274</v>
      </c>
      <c r="P22" s="36">
        <f>water_ON!P22 - water_OFF!P22 - AVERAGE(P$62:P$63)</f>
        <v>0.10000000000002274</v>
      </c>
      <c r="Q22" s="36">
        <f>water_ON!Q22 - water_OFF!Q22 - AVERAGE(Q$62:Q$63)</f>
        <v>-0.14999999999997726</v>
      </c>
      <c r="R22" s="36">
        <f>water_ON!R22 - water_OFF!R22 - AVERAGE(R$62:R$63)</f>
        <v>-4.9999999999982947E-2</v>
      </c>
      <c r="S22" s="36">
        <f>water_ON!S22 - water_OFF!S22 - AVERAGE(S$62:S$63)</f>
        <v>0.20000000000004547</v>
      </c>
      <c r="T22" s="36">
        <f>water_ON!T22 - water_OFF!T22 - AVERAGE(T$62:T$63)</f>
        <v>9.9999999999965894E-2</v>
      </c>
      <c r="U22" s="27"/>
      <c r="V22" s="6" t="str">
        <f>IF(water_OFF!V22, (water_ON!V22+500-water_ON!V$64) - (water_OFF!V22+500-water_OFF!V$64) - AVERAGE(V$62:V$63), "")</f>
        <v/>
      </c>
      <c r="W22" s="6" t="str">
        <f>IF(water_OFF!W22, (water_ON!W22+500-water_ON!W$64) - (water_OFF!W22+500-water_OFF!W$64) - AVERAGE(W$62:W$63), "")</f>
        <v/>
      </c>
      <c r="X22" s="6" t="str">
        <f>IF(water_OFF!X22, (water_ON!X22+500-water_ON!X$64) - (water_OFF!X22+500-water_OFF!X$64) - AVERAGE(X$62:X$63), "")</f>
        <v/>
      </c>
      <c r="Y22" s="6" t="str">
        <f>IF(water_OFF!Y22, (water_ON!Y22+500-water_ON!Y$64) - (water_OFF!Y22+500-water_OFF!Y$64) - AVERAGE(Y$62:Y$63), "")</f>
        <v/>
      </c>
      <c r="Z22" s="6" t="str">
        <f>IF(water_OFF!Z22, (water_ON!Z22+500-water_ON!Z$64) - (water_OFF!Z22+500-water_OFF!Z$64) - AVERAGE(Z$62:Z$63), "")</f>
        <v/>
      </c>
      <c r="AA22" s="6" t="str">
        <f>IF(water_OFF!AA22, (water_ON!AA22+500-water_ON!AA$64) - (water_OFF!AA22+500-water_OFF!AA$64) - AVERAGE(AA$62:AA$63), "")</f>
        <v/>
      </c>
      <c r="AB22" s="6" t="str">
        <f>IF(water_OFF!AB22, (water_ON!AB22+500-water_ON!AB$64) - (water_OFF!AB22+500-water_OFF!AB$64) - AVERAGE(AB$62:AB$63), "")</f>
        <v/>
      </c>
      <c r="AC22" s="6" t="str">
        <f>IF(water_OFF!AC22, (water_ON!AC22+500-water_ON!AC$64) - (water_OFF!AC22+500-water_OFF!AC$64) - AVERAGE(AC$62:AC$63), "")</f>
        <v/>
      </c>
      <c r="AD22" s="6" t="str">
        <f>IF(water_OFF!AD22, (water_ON!AD22+500-water_ON!AD$64) - (water_OFF!AD22+500-water_OFF!AD$64) - AVERAGE(AD$62:AD$63), "")</f>
        <v/>
      </c>
      <c r="AE22" s="6" t="str">
        <f>IF(water_OFF!AE22, (water_ON!AE22+500-water_ON!AE$64) - (water_OFF!AE22+500-water_OFF!AE$64) - AVERAGE(AE$62:AE$63), "")</f>
        <v/>
      </c>
      <c r="AF22" s="6" t="str">
        <f>IF(water_OFF!AF22, (water_ON!AF22+500-water_ON!AF$64) - (water_OFF!AF22+500-water_OFF!AF$64) - AVERAGE(AF$62:AF$63), "")</f>
        <v/>
      </c>
      <c r="AG22" s="6" t="str">
        <f>IF(water_OFF!AG22, (water_ON!AG22+500-water_ON!AG$64) - (water_OFF!AG22+500-water_OFF!AG$64) - AVERAGE(AG$62:AG$63), "")</f>
        <v/>
      </c>
      <c r="AH22" s="6" t="str">
        <f>IF(water_OFF!AH22, (water_ON!AH22+500-water_ON!AH$64) - (water_OFF!AH22+500-water_OFF!AH$64) - AVERAGE(AH$62:AH$63), "")</f>
        <v/>
      </c>
      <c r="AI22" s="6" t="str">
        <f>IF(water_OFF!AI22, (water_ON!AI22+500-water_ON!AI$64) - (water_OFF!AI22+500-water_OFF!AI$64) - AVERAGE(AI$62:AI$63), "")</f>
        <v/>
      </c>
      <c r="AJ22" s="6" t="str">
        <f>IF(water_OFF!AJ22, (water_ON!AJ22+500-water_ON!AJ$64) - (water_OFF!AJ22+500-water_OFF!AJ$64) - AVERAGE(AJ$62:AJ$63), "")</f>
        <v/>
      </c>
      <c r="AK22" s="27" t="str">
        <f>IF(water_OFF!AK22, (water_ON!AK22+500-water_ON!AK$64) - (water_OFF!AK22+500-water_OFF!AK$64) - AVERAGE(AK$62:AK$63), "")</f>
        <v/>
      </c>
      <c r="AL22" s="6"/>
      <c r="AM22" s="6"/>
      <c r="AN22" s="6"/>
      <c r="AO22" s="6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>
      <c r="A23" s="18">
        <v>22</v>
      </c>
      <c r="B23" s="36">
        <f>water_ON!B23 - water_OFF!B23 - AVERAGE(B$62:B$63)</f>
        <v>-2.8421709430404007E-14</v>
      </c>
      <c r="C23" s="36">
        <f>water_ON!C23 - water_OFF!C23 - AVERAGE(C$62:C$63)</f>
        <v>0.10000000000002274</v>
      </c>
      <c r="D23" s="36">
        <f>water_ON!D23 - water_OFF!D23 - AVERAGE(D$62:D$63)</f>
        <v>5.0000000000011369E-2</v>
      </c>
      <c r="E23" s="36">
        <f>water_ON!E23 - water_OFF!E23 - AVERAGE(E$62:E$63)</f>
        <v>4.9999999999982947E-2</v>
      </c>
      <c r="F23" s="36">
        <f>water_ON!F23 - water_OFF!F23 - AVERAGE(F$62:F$63)</f>
        <v>2.8421709430404007E-14</v>
      </c>
      <c r="G23" s="36">
        <f>water_ON!G23 - water_OFF!G23 - AVERAGE(G$62:G$63)</f>
        <v>9.9999999999994316E-2</v>
      </c>
      <c r="H23" s="36">
        <f>water_ON!H23 - water_OFF!H23 - AVERAGE(H$62:H$63)</f>
        <v>0.10000000000002274</v>
      </c>
      <c r="I23" s="36">
        <f>water_ON!I23 - water_OFF!I23 - AVERAGE(I$62:I$63)</f>
        <v>-5.0000000000011369E-2</v>
      </c>
      <c r="J23" s="36">
        <f>water_ON!J23 - water_OFF!J23 - AVERAGE(J$62:J$63)</f>
        <v>-9.9999999999994316E-2</v>
      </c>
      <c r="K23" s="36">
        <f>water_ON!K23 - water_OFF!K23 - AVERAGE(K$62:K$63)</f>
        <v>0</v>
      </c>
      <c r="L23" s="36">
        <f>water_ON!L23 - water_OFF!L23 - AVERAGE(L$62:L$63)</f>
        <v>-4.9999999999982947E-2</v>
      </c>
      <c r="M23" s="36">
        <f>water_ON!M23 - water_OFF!M23 - AVERAGE(M$62:M$63)</f>
        <v>0.20000000000004547</v>
      </c>
      <c r="N23" s="36">
        <f>water_ON!N23 - water_OFF!N23 - AVERAGE(N$62:N$63)</f>
        <v>0.24999999999997158</v>
      </c>
      <c r="O23" s="36">
        <f>water_ON!O23 - water_OFF!O23 - AVERAGE(O$62:O$63)</f>
        <v>0</v>
      </c>
      <c r="P23" s="36">
        <f>water_ON!P23 - water_OFF!P23 - AVERAGE(P$62:P$63)</f>
        <v>9.9999999999965894E-2</v>
      </c>
      <c r="Q23" s="36">
        <f>water_ON!Q23 - water_OFF!Q23 - AVERAGE(Q$62:Q$63)</f>
        <v>-0.14999999999997726</v>
      </c>
      <c r="R23" s="36">
        <f>water_ON!R23 - water_OFF!R23 - AVERAGE(R$62:R$63)</f>
        <v>4.9999999999982947E-2</v>
      </c>
      <c r="S23" s="36">
        <f>water_ON!S23 - water_OFF!S23 - AVERAGE(S$62:S$63)</f>
        <v>0</v>
      </c>
      <c r="T23" s="36">
        <f>water_ON!T23 - water_OFF!T23 - AVERAGE(T$62:T$63)</f>
        <v>9.9999999999965894E-2</v>
      </c>
      <c r="U23" s="27"/>
      <c r="V23" s="6" t="str">
        <f>IF(water_OFF!V23, (water_ON!V23+500-water_ON!V$64) - (water_OFF!V23+500-water_OFF!V$64) - AVERAGE(V$62:V$63), "")</f>
        <v/>
      </c>
      <c r="W23" s="6" t="str">
        <f>IF(water_OFF!W23, (water_ON!W23+500-water_ON!W$64) - (water_OFF!W23+500-water_OFF!W$64) - AVERAGE(W$62:W$63), "")</f>
        <v/>
      </c>
      <c r="X23" s="6" t="str">
        <f>IF(water_OFF!X23, (water_ON!X23+500-water_ON!X$64) - (water_OFF!X23+500-water_OFF!X$64) - AVERAGE(X$62:X$63), "")</f>
        <v/>
      </c>
      <c r="Y23" s="6" t="str">
        <f>IF(water_OFF!Y23, (water_ON!Y23+500-water_ON!Y$64) - (water_OFF!Y23+500-water_OFF!Y$64) - AVERAGE(Y$62:Y$63), "")</f>
        <v/>
      </c>
      <c r="Z23" s="6" t="str">
        <f>IF(water_OFF!Z23, (water_ON!Z23+500-water_ON!Z$64) - (water_OFF!Z23+500-water_OFF!Z$64) - AVERAGE(Z$62:Z$63), "")</f>
        <v/>
      </c>
      <c r="AA23" s="6" t="str">
        <f>IF(water_OFF!AA23, (water_ON!AA23+500-water_ON!AA$64) - (water_OFF!AA23+500-water_OFF!AA$64) - AVERAGE(AA$62:AA$63), "")</f>
        <v/>
      </c>
      <c r="AB23" s="6" t="str">
        <f>IF(water_OFF!AB23, (water_ON!AB23+500-water_ON!AB$64) - (water_OFF!AB23+500-water_OFF!AB$64) - AVERAGE(AB$62:AB$63), "")</f>
        <v/>
      </c>
      <c r="AC23" s="6" t="str">
        <f>IF(water_OFF!AC23, (water_ON!AC23+500-water_ON!AC$64) - (water_OFF!AC23+500-water_OFF!AC$64) - AVERAGE(AC$62:AC$63), "")</f>
        <v/>
      </c>
      <c r="AD23" s="6" t="str">
        <f>IF(water_OFF!AD23, (water_ON!AD23+500-water_ON!AD$64) - (water_OFF!AD23+500-water_OFF!AD$64) - AVERAGE(AD$62:AD$63), "")</f>
        <v/>
      </c>
      <c r="AE23" s="6" t="str">
        <f>IF(water_OFF!AE23, (water_ON!AE23+500-water_ON!AE$64) - (water_OFF!AE23+500-water_OFF!AE$64) - AVERAGE(AE$62:AE$63), "")</f>
        <v/>
      </c>
      <c r="AF23" s="6" t="str">
        <f>IF(water_OFF!AF23, (water_ON!AF23+500-water_ON!AF$64) - (water_OFF!AF23+500-water_OFF!AF$64) - AVERAGE(AF$62:AF$63), "")</f>
        <v/>
      </c>
      <c r="AG23" s="6" t="str">
        <f>IF(water_OFF!AG23, (water_ON!AG23+500-water_ON!AG$64) - (water_OFF!AG23+500-water_OFF!AG$64) - AVERAGE(AG$62:AG$63), "")</f>
        <v/>
      </c>
      <c r="AH23" s="6" t="str">
        <f>IF(water_OFF!AH23, (water_ON!AH23+500-water_ON!AH$64) - (water_OFF!AH23+500-water_OFF!AH$64) - AVERAGE(AH$62:AH$63), "")</f>
        <v/>
      </c>
      <c r="AI23" s="6" t="str">
        <f>IF(water_OFF!AI23, (water_ON!AI23+500-water_ON!AI$64) - (water_OFF!AI23+500-water_OFF!AI$64) - AVERAGE(AI$62:AI$63), "")</f>
        <v/>
      </c>
      <c r="AJ23" s="6" t="str">
        <f>IF(water_OFF!AJ23, (water_ON!AJ23+500-water_ON!AJ$64) - (water_OFF!AJ23+500-water_OFF!AJ$64) - AVERAGE(AJ$62:AJ$63), "")</f>
        <v/>
      </c>
      <c r="AK23" s="27" t="str">
        <f>IF(water_OFF!AK23, (water_ON!AK23+500-water_ON!AK$64) - (water_OFF!AK23+500-water_OFF!AK$64) - AVERAGE(AK$62:AK$63), "")</f>
        <v/>
      </c>
      <c r="AL23" s="6"/>
      <c r="AM23" s="6"/>
      <c r="AN23" s="6"/>
      <c r="AO23" s="6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>
      <c r="A24" s="18">
        <v>23</v>
      </c>
      <c r="B24" s="36">
        <f>water_ON!B24 - water_OFF!B24 - AVERAGE(B$62:B$63)</f>
        <v>9.9999999999994316E-2</v>
      </c>
      <c r="C24" s="36">
        <f>water_ON!C24 - water_OFF!C24 - AVERAGE(C$62:C$63)</f>
        <v>9.9999999999965894E-2</v>
      </c>
      <c r="D24" s="36">
        <f>water_ON!D24 - water_OFF!D24 - AVERAGE(D$62:D$63)</f>
        <v>0.84999999999996589</v>
      </c>
      <c r="E24" s="36">
        <f>water_ON!E24 - water_OFF!E24 - AVERAGE(E$62:E$63)</f>
        <v>0.15000000000000568</v>
      </c>
      <c r="F24" s="36">
        <f>water_ON!F24 - water_OFF!F24 - AVERAGE(F$62:F$63)</f>
        <v>0.40000000000000568</v>
      </c>
      <c r="G24" s="36">
        <f>water_ON!G24 - water_OFF!G24 - AVERAGE(G$62:G$63)</f>
        <v>0.10000000000005116</v>
      </c>
      <c r="H24" s="36">
        <f>water_ON!H24 - water_OFF!H24 - AVERAGE(H$62:H$63)</f>
        <v>0.5</v>
      </c>
      <c r="I24" s="36">
        <f>water_ON!I24 - water_OFF!I24 - AVERAGE(I$62:I$63)</f>
        <v>5.0000000000011369E-2</v>
      </c>
      <c r="J24" s="36">
        <f>water_ON!J24 - water_OFF!J24 - AVERAGE(J$62:J$63)</f>
        <v>-9.9999999999994316E-2</v>
      </c>
      <c r="K24" s="36">
        <f>water_ON!K24 - water_OFF!K24 - AVERAGE(K$62:K$63)</f>
        <v>0</v>
      </c>
      <c r="L24" s="36">
        <f>water_ON!L24 - water_OFF!L24 - AVERAGE(L$62:L$63)</f>
        <v>-4.9999999999982947E-2</v>
      </c>
      <c r="M24" s="36">
        <f>water_ON!M24 - water_OFF!M24 - AVERAGE(M$62:M$63)</f>
        <v>0.10000000000002274</v>
      </c>
      <c r="N24" s="36">
        <f>water_ON!N24 - water_OFF!N24 - AVERAGE(N$62:N$63)</f>
        <v>0.25000000000002842</v>
      </c>
      <c r="O24" s="36">
        <f>water_ON!O24 - water_OFF!O24 - AVERAGE(O$62:O$63)</f>
        <v>9.9999999999965894E-2</v>
      </c>
      <c r="P24" s="36">
        <f>water_ON!P24 - water_OFF!P24 - AVERAGE(P$62:P$63)</f>
        <v>-9.9999999999965894E-2</v>
      </c>
      <c r="Q24" s="36">
        <f>water_ON!Q24 - water_OFF!Q24 - AVERAGE(Q$62:Q$63)</f>
        <v>-5.0000000000011369E-2</v>
      </c>
      <c r="R24" s="36">
        <f>water_ON!R24 - water_OFF!R24 - AVERAGE(R$62:R$63)</f>
        <v>-4.9999999999982947E-2</v>
      </c>
      <c r="S24" s="36">
        <f>water_ON!S24 - water_OFF!S24 - AVERAGE(S$62:S$63)</f>
        <v>0</v>
      </c>
      <c r="T24" s="36">
        <f>water_ON!T24 - water_OFF!T24 - AVERAGE(T$62:T$63)</f>
        <v>9.9999999999965894E-2</v>
      </c>
      <c r="U24" s="27"/>
      <c r="V24" s="6" t="str">
        <f>IF(water_OFF!V24, (water_ON!V24+500-water_ON!V$64) - (water_OFF!V24+500-water_OFF!V$64) - AVERAGE(V$62:V$63), "")</f>
        <v/>
      </c>
      <c r="W24" s="6" t="str">
        <f>IF(water_OFF!W24, (water_ON!W24+500-water_ON!W$64) - (water_OFF!W24+500-water_OFF!W$64) - AVERAGE(W$62:W$63), "")</f>
        <v/>
      </c>
      <c r="X24" s="6" t="str">
        <f>IF(water_OFF!X24, (water_ON!X24+500-water_ON!X$64) - (water_OFF!X24+500-water_OFF!X$64) - AVERAGE(X$62:X$63), "")</f>
        <v/>
      </c>
      <c r="Y24" s="6" t="str">
        <f>IF(water_OFF!Y24, (water_ON!Y24+500-water_ON!Y$64) - (water_OFF!Y24+500-water_OFF!Y$64) - AVERAGE(Y$62:Y$63), "")</f>
        <v/>
      </c>
      <c r="Z24" s="6" t="str">
        <f>IF(water_OFF!Z24, (water_ON!Z24+500-water_ON!Z$64) - (water_OFF!Z24+500-water_OFF!Z$64) - AVERAGE(Z$62:Z$63), "")</f>
        <v/>
      </c>
      <c r="AA24" s="6" t="str">
        <f>IF(water_OFF!AA24, (water_ON!AA24+500-water_ON!AA$64) - (water_OFF!AA24+500-water_OFF!AA$64) - AVERAGE(AA$62:AA$63), "")</f>
        <v/>
      </c>
      <c r="AB24" s="6" t="str">
        <f>IF(water_OFF!AB24, (water_ON!AB24+500-water_ON!AB$64) - (water_OFF!AB24+500-water_OFF!AB$64) - AVERAGE(AB$62:AB$63), "")</f>
        <v/>
      </c>
      <c r="AC24" s="6" t="str">
        <f>IF(water_OFF!AC24, (water_ON!AC24+500-water_ON!AC$64) - (water_OFF!AC24+500-water_OFF!AC$64) - AVERAGE(AC$62:AC$63), "")</f>
        <v/>
      </c>
      <c r="AD24" s="6" t="str">
        <f>IF(water_OFF!AD24, (water_ON!AD24+500-water_ON!AD$64) - (water_OFF!AD24+500-water_OFF!AD$64) - AVERAGE(AD$62:AD$63), "")</f>
        <v/>
      </c>
      <c r="AE24" s="6" t="str">
        <f>IF(water_OFF!AE24, (water_ON!AE24+500-water_ON!AE$64) - (water_OFF!AE24+500-water_OFF!AE$64) - AVERAGE(AE$62:AE$63), "")</f>
        <v/>
      </c>
      <c r="AF24" s="6" t="str">
        <f>IF(water_OFF!AF24, (water_ON!AF24+500-water_ON!AF$64) - (water_OFF!AF24+500-water_OFF!AF$64) - AVERAGE(AF$62:AF$63), "")</f>
        <v/>
      </c>
      <c r="AG24" s="6" t="str">
        <f>IF(water_OFF!AG24, (water_ON!AG24+500-water_ON!AG$64) - (water_OFF!AG24+500-water_OFF!AG$64) - AVERAGE(AG$62:AG$63), "")</f>
        <v/>
      </c>
      <c r="AH24" s="6" t="str">
        <f>IF(water_OFF!AH24, (water_ON!AH24+500-water_ON!AH$64) - (water_OFF!AH24+500-water_OFF!AH$64) - AVERAGE(AH$62:AH$63), "")</f>
        <v/>
      </c>
      <c r="AI24" s="6" t="str">
        <f>IF(water_OFF!AI24, (water_ON!AI24+500-water_ON!AI$64) - (water_OFF!AI24+500-water_OFF!AI$64) - AVERAGE(AI$62:AI$63), "")</f>
        <v/>
      </c>
      <c r="AJ24" s="6" t="str">
        <f>IF(water_OFF!AJ24, (water_ON!AJ24+500-water_ON!AJ$64) - (water_OFF!AJ24+500-water_OFF!AJ$64) - AVERAGE(AJ$62:AJ$63), "")</f>
        <v/>
      </c>
      <c r="AK24" s="27" t="str">
        <f>IF(water_OFF!AK24, (water_ON!AK24+500-water_ON!AK$64) - (water_OFF!AK24+500-water_OFF!AK$64) - AVERAGE(AK$62:AK$63), "")</f>
        <v/>
      </c>
      <c r="AL24" s="6"/>
      <c r="AM24" s="6"/>
      <c r="AN24" s="6"/>
      <c r="AO24" s="6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>
      <c r="A25" s="18">
        <v>24</v>
      </c>
      <c r="B25" s="36">
        <f>water_ON!B25 - water_OFF!B25 - AVERAGE(B$62:B$63)</f>
        <v>2.8421709430404007E-14</v>
      </c>
      <c r="C25" s="36">
        <f>water_ON!C25 - water_OFF!C25 - AVERAGE(C$62:C$63)</f>
        <v>9.9999999999965894E-2</v>
      </c>
      <c r="D25" s="36">
        <f>water_ON!D25 - water_OFF!D25 - AVERAGE(D$62:D$63)</f>
        <v>4.9999999999954525E-2</v>
      </c>
      <c r="E25" s="36">
        <f>water_ON!E25 - water_OFF!E25 - AVERAGE(E$62:E$63)</f>
        <v>0.15000000000000568</v>
      </c>
      <c r="F25" s="36">
        <f>water_ON!F25 - water_OFF!F25 - AVERAGE(F$62:F$63)</f>
        <v>2.8421709430404007E-14</v>
      </c>
      <c r="G25" s="36">
        <f>water_ON!G25 - water_OFF!G25 - AVERAGE(G$62:G$63)</f>
        <v>2.8421709430404007E-14</v>
      </c>
      <c r="H25" s="36">
        <f>water_ON!H25 - water_OFF!H25 - AVERAGE(H$62:H$63)</f>
        <v>0.10000000000002274</v>
      </c>
      <c r="I25" s="36">
        <f>water_ON!I25 - water_OFF!I25 - AVERAGE(I$62:I$63)</f>
        <v>4.9999999999954525E-2</v>
      </c>
      <c r="J25" s="36">
        <f>water_ON!J25 - water_OFF!J25 - AVERAGE(J$62:J$63)</f>
        <v>0.20000000000001705</v>
      </c>
      <c r="K25" s="36">
        <f>water_ON!K25 - water_OFF!K25 - AVERAGE(K$62:K$63)</f>
        <v>9.9999999999965894E-2</v>
      </c>
      <c r="L25" s="36">
        <f>water_ON!L25 - water_OFF!L25 - AVERAGE(L$62:L$63)</f>
        <v>-4.9999999999982947E-2</v>
      </c>
      <c r="M25" s="36">
        <f>water_ON!M25 - water_OFF!M25 - AVERAGE(M$62:M$63)</f>
        <v>0.30000000000001137</v>
      </c>
      <c r="N25" s="36">
        <f>water_ON!N25 - water_OFF!N25 - AVERAGE(N$62:N$63)</f>
        <v>0.25000000000002842</v>
      </c>
      <c r="O25" s="36">
        <f>water_ON!O25 - water_OFF!O25 - AVERAGE(O$62:O$63)</f>
        <v>-5.6843418860808015E-14</v>
      </c>
      <c r="P25" s="36">
        <f>water_ON!P25 - water_OFF!P25 - AVERAGE(P$62:P$63)</f>
        <v>0</v>
      </c>
      <c r="Q25" s="36">
        <f>water_ON!Q25 - water_OFF!Q25 - AVERAGE(Q$62:Q$63)</f>
        <v>-4.9999999999954525E-2</v>
      </c>
      <c r="R25" s="36">
        <f>water_ON!R25 - water_OFF!R25 - AVERAGE(R$62:R$63)</f>
        <v>5.000000000003979E-2</v>
      </c>
      <c r="S25" s="36">
        <f>water_ON!S25 - water_OFF!S25 - AVERAGE(S$62:S$63)</f>
        <v>0.10000000000002274</v>
      </c>
      <c r="T25" s="36">
        <f>water_ON!T25 - water_OFF!T25 - AVERAGE(T$62:T$63)</f>
        <v>0.10000000000002274</v>
      </c>
      <c r="U25" s="27"/>
      <c r="V25" s="6" t="str">
        <f>IF(water_OFF!V25, (water_ON!V25+500-water_ON!V$64) - (water_OFF!V25+500-water_OFF!V$64) - AVERAGE(V$62:V$63), "")</f>
        <v/>
      </c>
      <c r="W25" s="6" t="str">
        <f>IF(water_OFF!W25, (water_ON!W25+500-water_ON!W$64) - (water_OFF!W25+500-water_OFF!W$64) - AVERAGE(W$62:W$63), "")</f>
        <v/>
      </c>
      <c r="X25" s="6" t="str">
        <f>IF(water_OFF!X25, (water_ON!X25+500-water_ON!X$64) - (water_OFF!X25+500-water_OFF!X$64) - AVERAGE(X$62:X$63), "")</f>
        <v/>
      </c>
      <c r="Y25" s="6" t="str">
        <f>IF(water_OFF!Y25, (water_ON!Y25+500-water_ON!Y$64) - (water_OFF!Y25+500-water_OFF!Y$64) - AVERAGE(Y$62:Y$63), "")</f>
        <v/>
      </c>
      <c r="Z25" s="6" t="str">
        <f>IF(water_OFF!Z25, (water_ON!Z25+500-water_ON!Z$64) - (water_OFF!Z25+500-water_OFF!Z$64) - AVERAGE(Z$62:Z$63), "")</f>
        <v/>
      </c>
      <c r="AA25" s="6" t="str">
        <f>IF(water_OFF!AA25, (water_ON!AA25+500-water_ON!AA$64) - (water_OFF!AA25+500-water_OFF!AA$64) - AVERAGE(AA$62:AA$63), "")</f>
        <v/>
      </c>
      <c r="AB25" s="6" t="str">
        <f>IF(water_OFF!AB25, (water_ON!AB25+500-water_ON!AB$64) - (water_OFF!AB25+500-water_OFF!AB$64) - AVERAGE(AB$62:AB$63), "")</f>
        <v/>
      </c>
      <c r="AC25" s="6" t="str">
        <f>IF(water_OFF!AC25, (water_ON!AC25+500-water_ON!AC$64) - (water_OFF!AC25+500-water_OFF!AC$64) - AVERAGE(AC$62:AC$63), "")</f>
        <v/>
      </c>
      <c r="AD25" s="6" t="str">
        <f>IF(water_OFF!AD25, (water_ON!AD25+500-water_ON!AD$64) - (water_OFF!AD25+500-water_OFF!AD$64) - AVERAGE(AD$62:AD$63), "")</f>
        <v/>
      </c>
      <c r="AE25" s="6" t="str">
        <f>IF(water_OFF!AE25, (water_ON!AE25+500-water_ON!AE$64) - (water_OFF!AE25+500-water_OFF!AE$64) - AVERAGE(AE$62:AE$63), "")</f>
        <v/>
      </c>
      <c r="AF25" s="6" t="str">
        <f>IF(water_OFF!AF25, (water_ON!AF25+500-water_ON!AF$64) - (water_OFF!AF25+500-water_OFF!AF$64) - AVERAGE(AF$62:AF$63), "")</f>
        <v/>
      </c>
      <c r="AG25" s="6" t="str">
        <f>IF(water_OFF!AG25, (water_ON!AG25+500-water_ON!AG$64) - (water_OFF!AG25+500-water_OFF!AG$64) - AVERAGE(AG$62:AG$63), "")</f>
        <v/>
      </c>
      <c r="AH25" s="6" t="str">
        <f>IF(water_OFF!AH25, (water_ON!AH25+500-water_ON!AH$64) - (water_OFF!AH25+500-water_OFF!AH$64) - AVERAGE(AH$62:AH$63), "")</f>
        <v/>
      </c>
      <c r="AI25" s="6" t="str">
        <f>IF(water_OFF!AI25, (water_ON!AI25+500-water_ON!AI$64) - (water_OFF!AI25+500-water_OFF!AI$64) - AVERAGE(AI$62:AI$63), "")</f>
        <v/>
      </c>
      <c r="AJ25" s="6" t="str">
        <f>IF(water_OFF!AJ25, (water_ON!AJ25+500-water_ON!AJ$64) - (water_OFF!AJ25+500-water_OFF!AJ$64) - AVERAGE(AJ$62:AJ$63), "")</f>
        <v/>
      </c>
      <c r="AK25" s="27" t="str">
        <f>IF(water_OFF!AK25, (water_ON!AK25+500-water_ON!AK$64) - (water_OFF!AK25+500-water_OFF!AK$64) - AVERAGE(AK$62:AK$63), "")</f>
        <v/>
      </c>
      <c r="AL25" s="6"/>
      <c r="AM25" s="6"/>
      <c r="AN25" s="6"/>
      <c r="AO25" s="6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>
      <c r="A26" s="18">
        <v>25</v>
      </c>
      <c r="B26" s="36">
        <f>water_ON!B26 - water_OFF!B26 - AVERAGE(B$62:B$63)</f>
        <v>-2.8421709430404007E-14</v>
      </c>
      <c r="C26" s="36">
        <f>water_ON!C26 - water_OFF!C26 - AVERAGE(C$62:C$63)</f>
        <v>0.10000000000002274</v>
      </c>
      <c r="D26" s="36">
        <f>water_ON!D26 - water_OFF!D26 - AVERAGE(D$62:D$63)</f>
        <v>-0.14999999999997726</v>
      </c>
      <c r="E26" s="36">
        <f>water_ON!E26 - water_OFF!E26 - AVERAGE(E$62:E$63)</f>
        <v>0.15000000000000568</v>
      </c>
      <c r="F26" s="36">
        <f>water_ON!F26 - water_OFF!F26 - AVERAGE(F$62:F$63)</f>
        <v>0.10000000000005116</v>
      </c>
      <c r="G26" s="36">
        <f>water_ON!G26 - water_OFF!G26 - AVERAGE(G$62:G$63)</f>
        <v>9.9999999999994316E-2</v>
      </c>
      <c r="H26" s="36">
        <f>water_ON!H26 - water_OFF!H26 - AVERAGE(H$62:H$63)</f>
        <v>0.10000000000002274</v>
      </c>
      <c r="I26" s="36">
        <f>water_ON!I26 - water_OFF!I26 - AVERAGE(I$62:I$63)</f>
        <v>0.14999999999997726</v>
      </c>
      <c r="J26" s="36">
        <f>water_ON!J26 - water_OFF!J26 - AVERAGE(J$62:J$63)</f>
        <v>-2.8421709430404007E-14</v>
      </c>
      <c r="K26" s="36">
        <f>water_ON!K26 - water_OFF!K26 - AVERAGE(K$62:K$63)</f>
        <v>9.9999999999965894E-2</v>
      </c>
      <c r="L26" s="36">
        <f>water_ON!L26 - water_OFF!L26 - AVERAGE(L$62:L$63)</f>
        <v>-0.15000000000000568</v>
      </c>
      <c r="M26" s="36">
        <f>water_ON!M26 - water_OFF!M26 - AVERAGE(M$62:M$63)</f>
        <v>0.30000000000001137</v>
      </c>
      <c r="N26" s="36">
        <f>water_ON!N26 - water_OFF!N26 - AVERAGE(N$62:N$63)</f>
        <v>0.15000000000000568</v>
      </c>
      <c r="O26" s="36">
        <f>water_ON!O26 - water_OFF!O26 - AVERAGE(O$62:O$63)</f>
        <v>0.39999999999997726</v>
      </c>
      <c r="P26" s="36">
        <f>water_ON!P26 - water_OFF!P26 - AVERAGE(P$62:P$63)</f>
        <v>-0.10000000000002274</v>
      </c>
      <c r="Q26" s="36">
        <f>water_ON!Q26 - water_OFF!Q26 - AVERAGE(Q$62:Q$63)</f>
        <v>-0.14999999999997726</v>
      </c>
      <c r="R26" s="36">
        <f>water_ON!R26 - water_OFF!R26 - AVERAGE(R$62:R$63)</f>
        <v>5.000000000003979E-2</v>
      </c>
      <c r="S26" s="36">
        <f>water_ON!S26 - water_OFF!S26 - AVERAGE(S$62:S$63)</f>
        <v>0.10000000000002274</v>
      </c>
      <c r="T26" s="36">
        <f>water_ON!T26 - water_OFF!T26 - AVERAGE(T$62:T$63)</f>
        <v>9.9999999999965894E-2</v>
      </c>
      <c r="U26" s="27"/>
      <c r="V26" s="6" t="str">
        <f>IF(water_OFF!V26, (water_ON!V26+500-water_ON!V$64) - (water_OFF!V26+500-water_OFF!V$64) - AVERAGE(V$62:V$63), "")</f>
        <v/>
      </c>
      <c r="W26" s="6" t="str">
        <f>IF(water_OFF!W26, (water_ON!W26+500-water_ON!W$64) - (water_OFF!W26+500-water_OFF!W$64) - AVERAGE(W$62:W$63), "")</f>
        <v/>
      </c>
      <c r="X26" s="6" t="str">
        <f>IF(water_OFF!X26, (water_ON!X26+500-water_ON!X$64) - (water_OFF!X26+500-water_OFF!X$64) - AVERAGE(X$62:X$63), "")</f>
        <v/>
      </c>
      <c r="Y26" s="6" t="str">
        <f>IF(water_OFF!Y26, (water_ON!Y26+500-water_ON!Y$64) - (water_OFF!Y26+500-water_OFF!Y$64) - AVERAGE(Y$62:Y$63), "")</f>
        <v/>
      </c>
      <c r="Z26" s="6" t="str">
        <f>IF(water_OFF!Z26, (water_ON!Z26+500-water_ON!Z$64) - (water_OFF!Z26+500-water_OFF!Z$64) - AVERAGE(Z$62:Z$63), "")</f>
        <v/>
      </c>
      <c r="AA26" s="6" t="str">
        <f>IF(water_OFF!AA26, (water_ON!AA26+500-water_ON!AA$64) - (water_OFF!AA26+500-water_OFF!AA$64) - AVERAGE(AA$62:AA$63), "")</f>
        <v/>
      </c>
      <c r="AB26" s="6" t="str">
        <f>IF(water_OFF!AB26, (water_ON!AB26+500-water_ON!AB$64) - (water_OFF!AB26+500-water_OFF!AB$64) - AVERAGE(AB$62:AB$63), "")</f>
        <v/>
      </c>
      <c r="AC26" s="6" t="str">
        <f>IF(water_OFF!AC26, (water_ON!AC26+500-water_ON!AC$64) - (water_OFF!AC26+500-water_OFF!AC$64) - AVERAGE(AC$62:AC$63), "")</f>
        <v/>
      </c>
      <c r="AD26" s="6" t="str">
        <f>IF(water_OFF!AD26, (water_ON!AD26+500-water_ON!AD$64) - (water_OFF!AD26+500-water_OFF!AD$64) - AVERAGE(AD$62:AD$63), "")</f>
        <v/>
      </c>
      <c r="AE26" s="6" t="str">
        <f>IF(water_OFF!AE26, (water_ON!AE26+500-water_ON!AE$64) - (water_OFF!AE26+500-water_OFF!AE$64) - AVERAGE(AE$62:AE$63), "")</f>
        <v/>
      </c>
      <c r="AF26" s="6" t="str">
        <f>IF(water_OFF!AF26, (water_ON!AF26+500-water_ON!AF$64) - (water_OFF!AF26+500-water_OFF!AF$64) - AVERAGE(AF$62:AF$63), "")</f>
        <v/>
      </c>
      <c r="AG26" s="6" t="str">
        <f>IF(water_OFF!AG26, (water_ON!AG26+500-water_ON!AG$64) - (water_OFF!AG26+500-water_OFF!AG$64) - AVERAGE(AG$62:AG$63), "")</f>
        <v/>
      </c>
      <c r="AH26" s="6" t="str">
        <f>IF(water_OFF!AH26, (water_ON!AH26+500-water_ON!AH$64) - (water_OFF!AH26+500-water_OFF!AH$64) - AVERAGE(AH$62:AH$63), "")</f>
        <v/>
      </c>
      <c r="AI26" s="6" t="str">
        <f>IF(water_OFF!AI26, (water_ON!AI26+500-water_ON!AI$64) - (water_OFF!AI26+500-water_OFF!AI$64) - AVERAGE(AI$62:AI$63), "")</f>
        <v/>
      </c>
      <c r="AJ26" s="6" t="str">
        <f>IF(water_OFF!AJ26, (water_ON!AJ26+500-water_ON!AJ$64) - (water_OFF!AJ26+500-water_OFF!AJ$64) - AVERAGE(AJ$62:AJ$63), "")</f>
        <v/>
      </c>
      <c r="AK26" s="27" t="str">
        <f>IF(water_OFF!AK26, (water_ON!AK26+500-water_ON!AK$64) - (water_OFF!AK26+500-water_OFF!AK$64) - AVERAGE(AK$62:AK$63), "")</f>
        <v/>
      </c>
      <c r="AL26" s="6"/>
      <c r="AM26" s="6"/>
      <c r="AN26" s="6"/>
      <c r="AO26" s="6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1:65">
      <c r="A27" s="18">
        <v>26</v>
      </c>
      <c r="B27" s="36">
        <f>water_ON!B27 - water_OFF!B27 - AVERAGE(B$62:B$63)</f>
        <v>2.8421709430404007E-14</v>
      </c>
      <c r="C27" s="36">
        <f>water_ON!C27 - water_OFF!C27 - AVERAGE(C$62:C$63)</f>
        <v>0.10000000000002274</v>
      </c>
      <c r="D27" s="36">
        <f>water_ON!D27 - water_OFF!D27 - AVERAGE(D$62:D$63)</f>
        <v>0.25</v>
      </c>
      <c r="E27" s="36">
        <f>water_ON!E27 - water_OFF!E27 - AVERAGE(E$62:E$63)</f>
        <v>4.9999999999982947E-2</v>
      </c>
      <c r="F27" s="36">
        <f>water_ON!F27 - water_OFF!F27 - AVERAGE(F$62:F$63)</f>
        <v>-2.8421709430404007E-14</v>
      </c>
      <c r="G27" s="36">
        <f>water_ON!G27 - water_OFF!G27 - AVERAGE(G$62:G$63)</f>
        <v>9.9999999999994316E-2</v>
      </c>
      <c r="H27" s="36">
        <f>water_ON!H27 - water_OFF!H27 - AVERAGE(H$62:H$63)</f>
        <v>0.10000000000002274</v>
      </c>
      <c r="I27" s="36">
        <f>water_ON!I27 - water_OFF!I27 - AVERAGE(I$62:I$63)</f>
        <v>4.9999999999954525E-2</v>
      </c>
      <c r="J27" s="36">
        <f>water_ON!J27 - water_OFF!J27 - AVERAGE(J$62:J$63)</f>
        <v>9.9999999999994316E-2</v>
      </c>
      <c r="K27" s="36">
        <f>water_ON!K27 - water_OFF!K27 - AVERAGE(K$62:K$63)</f>
        <v>4.9730000000000132</v>
      </c>
      <c r="L27" s="36">
        <f>water_ON!L27 - water_OFF!L27 - AVERAGE(L$62:L$63)</f>
        <v>-4.9999999999982947E-2</v>
      </c>
      <c r="M27" s="36">
        <f>water_ON!M27 - water_OFF!M27 - AVERAGE(M$62:M$63)</f>
        <v>0.10000000000002274</v>
      </c>
      <c r="N27" s="36">
        <f>water_ON!N27 - water_OFF!N27 - AVERAGE(N$62:N$63)</f>
        <v>0.15000000000000568</v>
      </c>
      <c r="O27" s="36">
        <f>water_ON!O27 - water_OFF!O27 - AVERAGE(O$62:O$63)</f>
        <v>0</v>
      </c>
      <c r="P27" s="36">
        <f>water_ON!P27 - water_OFF!P27 - AVERAGE(P$62:P$63)</f>
        <v>0.10000000000002274</v>
      </c>
      <c r="Q27" s="36">
        <f>water_ON!Q27 - water_OFF!Q27 - AVERAGE(Q$62:Q$63)</f>
        <v>-5.0000000000011369E-2</v>
      </c>
      <c r="R27" s="36">
        <f>water_ON!R27 - water_OFF!R27 - AVERAGE(R$62:R$63)</f>
        <v>4.9999999999982947E-2</v>
      </c>
      <c r="S27" s="36">
        <f>water_ON!S27 - water_OFF!S27 - AVERAGE(S$62:S$63)</f>
        <v>0.19999999999998863</v>
      </c>
      <c r="T27" s="36">
        <f>water_ON!T27 - water_OFF!T27 - AVERAGE(T$62:T$63)</f>
        <v>0</v>
      </c>
      <c r="U27" s="27"/>
      <c r="V27" s="6" t="str">
        <f>IF(water_OFF!V27, (water_ON!V27+500-water_ON!V$64) - (water_OFF!V27+500-water_OFF!V$64) - AVERAGE(V$62:V$63), "")</f>
        <v/>
      </c>
      <c r="W27" s="6" t="str">
        <f>IF(water_OFF!W27, (water_ON!W27+500-water_ON!W$64) - (water_OFF!W27+500-water_OFF!W$64) - AVERAGE(W$62:W$63), "")</f>
        <v/>
      </c>
      <c r="X27" s="6" t="str">
        <f>IF(water_OFF!X27, (water_ON!X27+500-water_ON!X$64) - (water_OFF!X27+500-water_OFF!X$64) - AVERAGE(X$62:X$63), "")</f>
        <v/>
      </c>
      <c r="Y27" s="6" t="str">
        <f>IF(water_OFF!Y27, (water_ON!Y27+500-water_ON!Y$64) - (water_OFF!Y27+500-water_OFF!Y$64) - AVERAGE(Y$62:Y$63), "")</f>
        <v/>
      </c>
      <c r="Z27" s="6" t="str">
        <f>IF(water_OFF!Z27, (water_ON!Z27+500-water_ON!Z$64) - (water_OFF!Z27+500-water_OFF!Z$64) - AVERAGE(Z$62:Z$63), "")</f>
        <v/>
      </c>
      <c r="AA27" s="6" t="str">
        <f>IF(water_OFF!AA27, (water_ON!AA27+500-water_ON!AA$64) - (water_OFF!AA27+500-water_OFF!AA$64) - AVERAGE(AA$62:AA$63), "")</f>
        <v/>
      </c>
      <c r="AB27" s="6" t="str">
        <f>IF(water_OFF!AB27, (water_ON!AB27+500-water_ON!AB$64) - (water_OFF!AB27+500-water_OFF!AB$64) - AVERAGE(AB$62:AB$63), "")</f>
        <v/>
      </c>
      <c r="AC27" s="6" t="str">
        <f>IF(water_OFF!AC27, (water_ON!AC27+500-water_ON!AC$64) - (water_OFF!AC27+500-water_OFF!AC$64) - AVERAGE(AC$62:AC$63), "")</f>
        <v/>
      </c>
      <c r="AD27" s="6" t="str">
        <f>IF(water_OFF!AD27, (water_ON!AD27+500-water_ON!AD$64) - (water_OFF!AD27+500-water_OFF!AD$64) - AVERAGE(AD$62:AD$63), "")</f>
        <v/>
      </c>
      <c r="AE27" s="6" t="str">
        <f>IF(water_OFF!AE27, (water_ON!AE27+500-water_ON!AE$64) - (water_OFF!AE27+500-water_OFF!AE$64) - AVERAGE(AE$62:AE$63), "")</f>
        <v/>
      </c>
      <c r="AF27" s="6" t="str">
        <f>IF(water_OFF!AF27, (water_ON!AF27+500-water_ON!AF$64) - (water_OFF!AF27+500-water_OFF!AF$64) - AVERAGE(AF$62:AF$63), "")</f>
        <v/>
      </c>
      <c r="AG27" s="6" t="str">
        <f>IF(water_OFF!AG27, (water_ON!AG27+500-water_ON!AG$64) - (water_OFF!AG27+500-water_OFF!AG$64) - AVERAGE(AG$62:AG$63), "")</f>
        <v/>
      </c>
      <c r="AH27" s="6" t="str">
        <f>IF(water_OFF!AH27, (water_ON!AH27+500-water_ON!AH$64) - (water_OFF!AH27+500-water_OFF!AH$64) - AVERAGE(AH$62:AH$63), "")</f>
        <v/>
      </c>
      <c r="AI27" s="6" t="str">
        <f>IF(water_OFF!AI27, (water_ON!AI27+500-water_ON!AI$64) - (water_OFF!AI27+500-water_OFF!AI$64) - AVERAGE(AI$62:AI$63), "")</f>
        <v/>
      </c>
      <c r="AJ27" s="6" t="str">
        <f>IF(water_OFF!AJ27, (water_ON!AJ27+500-water_ON!AJ$64) - (water_OFF!AJ27+500-water_OFF!AJ$64) - AVERAGE(AJ$62:AJ$63), "")</f>
        <v/>
      </c>
      <c r="AK27" s="27" t="str">
        <f>IF(water_OFF!AK27, (water_ON!AK27+500-water_ON!AK$64) - (water_OFF!AK27+500-water_OFF!AK$64) - AVERAGE(AK$62:AK$63), "")</f>
        <v/>
      </c>
      <c r="AL27" s="6"/>
      <c r="AM27" s="6"/>
      <c r="AN27" s="6"/>
      <c r="AO27" s="6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65">
      <c r="A28" s="18">
        <v>27</v>
      </c>
      <c r="B28" s="36">
        <f>water_ON!B28 - water_OFF!B28 - AVERAGE(B$62:B$63)</f>
        <v>9.9999999999994316E-2</v>
      </c>
      <c r="C28" s="36">
        <f>water_ON!C28 - water_OFF!C28 - AVERAGE(C$62:C$63)</f>
        <v>0.10000000000002274</v>
      </c>
      <c r="D28" s="36">
        <f>water_ON!D28 - water_OFF!D28 - AVERAGE(D$62:D$63)</f>
        <v>0.14999999999997726</v>
      </c>
      <c r="E28" s="36">
        <f>water_ON!E28 - water_OFF!E28 - AVERAGE(E$62:E$63)</f>
        <v>0.15000000000000568</v>
      </c>
      <c r="F28" s="36">
        <f>water_ON!F28 - water_OFF!F28 - AVERAGE(F$62:F$63)</f>
        <v>2.8421709430404007E-14</v>
      </c>
      <c r="G28" s="36">
        <f>water_ON!G28 - water_OFF!G28 - AVERAGE(G$62:G$63)</f>
        <v>-9.9999999999994316E-2</v>
      </c>
      <c r="H28" s="36">
        <f>water_ON!H28 - water_OFF!H28 - AVERAGE(H$62:H$63)</f>
        <v>0.10000000000002274</v>
      </c>
      <c r="I28" s="36">
        <f>water_ON!I28 - water_OFF!I28 - AVERAGE(I$62:I$63)</f>
        <v>0.15000000000003411</v>
      </c>
      <c r="J28" s="36">
        <f>water_ON!J28 - water_OFF!J28 - AVERAGE(J$62:J$63)</f>
        <v>2.8421709430404007E-14</v>
      </c>
      <c r="K28" s="36">
        <f>water_ON!K28 - water_OFF!K28 - AVERAGE(K$62:K$63)</f>
        <v>0.10000000000002274</v>
      </c>
      <c r="L28" s="36">
        <f>water_ON!L28 - water_OFF!L28 - AVERAGE(L$62:L$63)</f>
        <v>-0.14999999999994884</v>
      </c>
      <c r="M28" s="36">
        <f>water_ON!M28 - water_OFF!M28 - AVERAGE(M$62:M$63)</f>
        <v>0.10000000000002274</v>
      </c>
      <c r="N28" s="36">
        <f>water_ON!N28 - water_OFF!N28 - AVERAGE(N$62:N$63)</f>
        <v>0.24999999999997158</v>
      </c>
      <c r="O28" s="36">
        <f>water_ON!O28 - water_OFF!O28 - AVERAGE(O$62:O$63)</f>
        <v>-0.10000000000002274</v>
      </c>
      <c r="P28" s="36">
        <f>water_ON!P28 - water_OFF!P28 - AVERAGE(P$62:P$63)</f>
        <v>-0.10000000000002274</v>
      </c>
      <c r="Q28" s="36">
        <f>water_ON!Q28 - water_OFF!Q28 - AVERAGE(Q$62:Q$63)</f>
        <v>1.9500000000000455</v>
      </c>
      <c r="R28" s="36">
        <f>water_ON!R28 - water_OFF!R28 - AVERAGE(R$62:R$63)</f>
        <v>-4.9999999999982947E-2</v>
      </c>
      <c r="S28" s="36">
        <f>water_ON!S28 - water_OFF!S28 - AVERAGE(S$62:S$63)</f>
        <v>1.6999999999999886</v>
      </c>
      <c r="T28" s="36">
        <f>water_ON!T28 - water_OFF!T28 - AVERAGE(T$62:T$63)</f>
        <v>0</v>
      </c>
      <c r="U28" s="27"/>
      <c r="V28" s="6" t="str">
        <f>IF(water_OFF!V28, (water_ON!V28+500-water_ON!V$64) - (water_OFF!V28+500-water_OFF!V$64) - AVERAGE(V$62:V$63), "")</f>
        <v/>
      </c>
      <c r="W28" s="6" t="str">
        <f>IF(water_OFF!W28, (water_ON!W28+500-water_ON!W$64) - (water_OFF!W28+500-water_OFF!W$64) - AVERAGE(W$62:W$63), "")</f>
        <v/>
      </c>
      <c r="X28" s="6" t="str">
        <f>IF(water_OFF!X28, (water_ON!X28+500-water_ON!X$64) - (water_OFF!X28+500-water_OFF!X$64) - AVERAGE(X$62:X$63), "")</f>
        <v/>
      </c>
      <c r="Y28" s="6" t="str">
        <f>IF(water_OFF!Y28, (water_ON!Y28+500-water_ON!Y$64) - (water_OFF!Y28+500-water_OFF!Y$64) - AVERAGE(Y$62:Y$63), "")</f>
        <v/>
      </c>
      <c r="Z28" s="6" t="str">
        <f>IF(water_OFF!Z28, (water_ON!Z28+500-water_ON!Z$64) - (water_OFF!Z28+500-water_OFF!Z$64) - AVERAGE(Z$62:Z$63), "")</f>
        <v/>
      </c>
      <c r="AA28" s="6" t="str">
        <f>IF(water_OFF!AA28, (water_ON!AA28+500-water_ON!AA$64) - (water_OFF!AA28+500-water_OFF!AA$64) - AVERAGE(AA$62:AA$63), "")</f>
        <v/>
      </c>
      <c r="AB28" s="6" t="str">
        <f>IF(water_OFF!AB28, (water_ON!AB28+500-water_ON!AB$64) - (water_OFF!AB28+500-water_OFF!AB$64) - AVERAGE(AB$62:AB$63), "")</f>
        <v/>
      </c>
      <c r="AC28" s="6" t="str">
        <f>IF(water_OFF!AC28, (water_ON!AC28+500-water_ON!AC$64) - (water_OFF!AC28+500-water_OFF!AC$64) - AVERAGE(AC$62:AC$63), "")</f>
        <v/>
      </c>
      <c r="AD28" s="6" t="str">
        <f>IF(water_OFF!AD28, (water_ON!AD28+500-water_ON!AD$64) - (water_OFF!AD28+500-water_OFF!AD$64) - AVERAGE(AD$62:AD$63), "")</f>
        <v/>
      </c>
      <c r="AE28" s="6" t="str">
        <f>IF(water_OFF!AE28, (water_ON!AE28+500-water_ON!AE$64) - (water_OFF!AE28+500-water_OFF!AE$64) - AVERAGE(AE$62:AE$63), "")</f>
        <v/>
      </c>
      <c r="AF28" s="6" t="str">
        <f>IF(water_OFF!AF28, (water_ON!AF28+500-water_ON!AF$64) - (water_OFF!AF28+500-water_OFF!AF$64) - AVERAGE(AF$62:AF$63), "")</f>
        <v/>
      </c>
      <c r="AG28" s="6" t="str">
        <f>IF(water_OFF!AG28, (water_ON!AG28+500-water_ON!AG$64) - (water_OFF!AG28+500-water_OFF!AG$64) - AVERAGE(AG$62:AG$63), "")</f>
        <v/>
      </c>
      <c r="AH28" s="6" t="str">
        <f>IF(water_OFF!AH28, (water_ON!AH28+500-water_ON!AH$64) - (water_OFF!AH28+500-water_OFF!AH$64) - AVERAGE(AH$62:AH$63), "")</f>
        <v/>
      </c>
      <c r="AI28" s="6" t="str">
        <f>IF(water_OFF!AI28, (water_ON!AI28+500-water_ON!AI$64) - (water_OFF!AI28+500-water_OFF!AI$64) - AVERAGE(AI$62:AI$63), "")</f>
        <v/>
      </c>
      <c r="AJ28" s="6" t="str">
        <f>IF(water_OFF!AJ28, (water_ON!AJ28+500-water_ON!AJ$64) - (water_OFF!AJ28+500-water_OFF!AJ$64) - AVERAGE(AJ$62:AJ$63), "")</f>
        <v/>
      </c>
      <c r="AK28" s="27" t="str">
        <f>IF(water_OFF!AK28, (water_ON!AK28+500-water_ON!AK$64) - (water_OFF!AK28+500-water_OFF!AK$64) - AVERAGE(AK$62:AK$63), "")</f>
        <v/>
      </c>
      <c r="AL28" s="6"/>
      <c r="AM28" s="6"/>
      <c r="AN28" s="6"/>
      <c r="AO28" s="6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>
      <c r="A29" s="18">
        <v>28</v>
      </c>
      <c r="B29" s="36">
        <f>water_ON!B29 - water_OFF!B29 - AVERAGE(B$62:B$63)</f>
        <v>2.8421709430404007E-14</v>
      </c>
      <c r="C29" s="36">
        <f>water_ON!C29 - water_OFF!C29 - AVERAGE(C$62:C$63)</f>
        <v>0.10000000000002274</v>
      </c>
      <c r="D29" s="36">
        <f>water_ON!D29 - water_OFF!D29 - AVERAGE(D$62:D$63)</f>
        <v>5.0000000000011369E-2</v>
      </c>
      <c r="E29" s="36">
        <f>water_ON!E29 - water_OFF!E29 - AVERAGE(E$62:E$63)</f>
        <v>-5.000000000003979E-2</v>
      </c>
      <c r="F29" s="36">
        <f>water_ON!F29 - water_OFF!F29 - AVERAGE(F$62:F$63)</f>
        <v>-9.9999999999994316E-2</v>
      </c>
      <c r="G29" s="36">
        <f>water_ON!G29 - water_OFF!G29 - AVERAGE(G$62:G$63)</f>
        <v>2.8421709430404007E-14</v>
      </c>
      <c r="H29" s="36">
        <f>water_ON!H29 - water_OFF!H29 - AVERAGE(H$62:H$63)</f>
        <v>0.19999999999998863</v>
      </c>
      <c r="I29" s="36">
        <f>water_ON!I29 - water_OFF!I29 - AVERAGE(I$62:I$63)</f>
        <v>5.0000000000011369E-2</v>
      </c>
      <c r="J29" s="36">
        <f>water_ON!J29 - water_OFF!J29 - AVERAGE(J$62:J$63)</f>
        <v>-9.9999999999994316E-2</v>
      </c>
      <c r="K29" s="36">
        <f>water_ON!K29 - water_OFF!K29 - AVERAGE(K$62:K$63)</f>
        <v>0.10000000000002274</v>
      </c>
      <c r="L29" s="36">
        <f>water_ON!L29 - water_OFF!L29 - AVERAGE(L$62:L$63)</f>
        <v>-0.15000000000000568</v>
      </c>
      <c r="M29" s="36">
        <f>water_ON!M29 - water_OFF!M29 - AVERAGE(M$62:M$63)</f>
        <v>0.20000000000004547</v>
      </c>
      <c r="N29" s="36">
        <f>water_ON!N29 - water_OFF!N29 - AVERAGE(N$62:N$63)</f>
        <v>0.35000000000005116</v>
      </c>
      <c r="O29" s="36">
        <f>water_ON!O29 - water_OFF!O29 - AVERAGE(O$62:O$63)</f>
        <v>9.9999999999965894E-2</v>
      </c>
      <c r="P29" s="36">
        <f>water_ON!P29 - water_OFF!P29 - AVERAGE(P$62:P$63)</f>
        <v>0</v>
      </c>
      <c r="Q29" s="36">
        <f>water_ON!Q29 - water_OFF!Q29 - AVERAGE(Q$62:Q$63)</f>
        <v>-0.14999999999997726</v>
      </c>
      <c r="R29" s="36">
        <f>water_ON!R29 - water_OFF!R29 - AVERAGE(R$62:R$63)</f>
        <v>4.9999999999982947E-2</v>
      </c>
      <c r="S29" s="36">
        <f>water_ON!S29 - water_OFF!S29 - AVERAGE(S$62:S$63)</f>
        <v>0.30000000000001137</v>
      </c>
      <c r="T29" s="36">
        <f>water_ON!T29 - water_OFF!T29 - AVERAGE(T$62:T$63)</f>
        <v>0.10000000000002274</v>
      </c>
      <c r="U29" s="27"/>
      <c r="V29" s="6" t="str">
        <f>IF(water_OFF!V29, (water_ON!V29+500-water_ON!V$64) - (water_OFF!V29+500-water_OFF!V$64) - AVERAGE(V$62:V$63), "")</f>
        <v/>
      </c>
      <c r="W29" s="6" t="str">
        <f>IF(water_OFF!W29, (water_ON!W29+500-water_ON!W$64) - (water_OFF!W29+500-water_OFF!W$64) - AVERAGE(W$62:W$63), "")</f>
        <v/>
      </c>
      <c r="X29" s="6" t="str">
        <f>IF(water_OFF!X29, (water_ON!X29+500-water_ON!X$64) - (water_OFF!X29+500-water_OFF!X$64) - AVERAGE(X$62:X$63), "")</f>
        <v/>
      </c>
      <c r="Y29" s="6" t="str">
        <f>IF(water_OFF!Y29, (water_ON!Y29+500-water_ON!Y$64) - (water_OFF!Y29+500-water_OFF!Y$64) - AVERAGE(Y$62:Y$63), "")</f>
        <v/>
      </c>
      <c r="Z29" s="6" t="str">
        <f>IF(water_OFF!Z29, (water_ON!Z29+500-water_ON!Z$64) - (water_OFF!Z29+500-water_OFF!Z$64) - AVERAGE(Z$62:Z$63), "")</f>
        <v/>
      </c>
      <c r="AA29" s="6" t="str">
        <f>IF(water_OFF!AA29, (water_ON!AA29+500-water_ON!AA$64) - (water_OFF!AA29+500-water_OFF!AA$64) - AVERAGE(AA$62:AA$63), "")</f>
        <v/>
      </c>
      <c r="AB29" s="6" t="str">
        <f>IF(water_OFF!AB29, (water_ON!AB29+500-water_ON!AB$64) - (water_OFF!AB29+500-water_OFF!AB$64) - AVERAGE(AB$62:AB$63), "")</f>
        <v/>
      </c>
      <c r="AC29" s="6" t="str">
        <f>IF(water_OFF!AC29, (water_ON!AC29+500-water_ON!AC$64) - (water_OFF!AC29+500-water_OFF!AC$64) - AVERAGE(AC$62:AC$63), "")</f>
        <v/>
      </c>
      <c r="AD29" s="6" t="str">
        <f>IF(water_OFF!AD29, (water_ON!AD29+500-water_ON!AD$64) - (water_OFF!AD29+500-water_OFF!AD$64) - AVERAGE(AD$62:AD$63), "")</f>
        <v/>
      </c>
      <c r="AE29" s="6" t="str">
        <f>IF(water_OFF!AE29, (water_ON!AE29+500-water_ON!AE$64) - (water_OFF!AE29+500-water_OFF!AE$64) - AVERAGE(AE$62:AE$63), "")</f>
        <v/>
      </c>
      <c r="AF29" s="6" t="str">
        <f>IF(water_OFF!AF29, (water_ON!AF29+500-water_ON!AF$64) - (water_OFF!AF29+500-water_OFF!AF$64) - AVERAGE(AF$62:AF$63), "")</f>
        <v/>
      </c>
      <c r="AG29" s="6" t="str">
        <f>IF(water_OFF!AG29, (water_ON!AG29+500-water_ON!AG$64) - (water_OFF!AG29+500-water_OFF!AG$64) - AVERAGE(AG$62:AG$63), "")</f>
        <v/>
      </c>
      <c r="AH29" s="6" t="str">
        <f>IF(water_OFF!AH29, (water_ON!AH29+500-water_ON!AH$64) - (water_OFF!AH29+500-water_OFF!AH$64) - AVERAGE(AH$62:AH$63), "")</f>
        <v/>
      </c>
      <c r="AI29" s="6" t="str">
        <f>IF(water_OFF!AI29, (water_ON!AI29+500-water_ON!AI$64) - (water_OFF!AI29+500-water_OFF!AI$64) - AVERAGE(AI$62:AI$63), "")</f>
        <v/>
      </c>
      <c r="AJ29" s="6" t="str">
        <f>IF(water_OFF!AJ29, (water_ON!AJ29+500-water_ON!AJ$64) - (water_OFF!AJ29+500-water_OFF!AJ$64) - AVERAGE(AJ$62:AJ$63), "")</f>
        <v/>
      </c>
      <c r="AK29" s="27" t="str">
        <f>IF(water_OFF!AK29, (water_ON!AK29+500-water_ON!AK$64) - (water_OFF!AK29+500-water_OFF!AK$64) - AVERAGE(AK$62:AK$63), "")</f>
        <v/>
      </c>
      <c r="AL29" s="6"/>
      <c r="AM29" s="6"/>
      <c r="AN29" s="6"/>
      <c r="AO29" s="6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1:65">
      <c r="A30" s="18">
        <v>29</v>
      </c>
      <c r="B30" s="36">
        <f>water_ON!B30 - water_OFF!B30 - AVERAGE(B$62:B$63)</f>
        <v>0.79999999999998295</v>
      </c>
      <c r="C30" s="36">
        <f>water_ON!C30 - water_OFF!C30 - AVERAGE(C$62:C$63)</f>
        <v>1.0999999999999659</v>
      </c>
      <c r="D30" s="36">
        <f>water_ON!D30 - water_OFF!D30 - AVERAGE(D$62:D$63)</f>
        <v>1.1499999999999773</v>
      </c>
      <c r="E30" s="36">
        <f>water_ON!E30 - water_OFF!E30 - AVERAGE(E$62:E$63)</f>
        <v>0.64999999999994884</v>
      </c>
      <c r="F30" s="36">
        <f>water_ON!F30 - water_OFF!F30 - AVERAGE(F$62:F$63)</f>
        <v>0.49999999999997158</v>
      </c>
      <c r="G30" s="36">
        <f>water_ON!G30 - water_OFF!G30 - AVERAGE(G$62:G$63)</f>
        <v>2.2999999999999829</v>
      </c>
      <c r="H30" s="36">
        <f>water_ON!H30 - water_OFF!H30 - AVERAGE(H$62:H$63)</f>
        <v>0.30000000000001137</v>
      </c>
      <c r="I30" s="36">
        <f>water_ON!I30 - water_OFF!I30 - AVERAGE(I$62:I$63)</f>
        <v>1.3499999999999659</v>
      </c>
      <c r="J30" s="36">
        <f>water_ON!J30 - water_OFF!J30 - AVERAGE(J$62:J$63)</f>
        <v>-2.8421709430404007E-14</v>
      </c>
      <c r="K30" s="36">
        <f>water_ON!K30 - water_OFF!K30 - AVERAGE(K$62:K$63)</f>
        <v>1.3999999999999773</v>
      </c>
      <c r="L30" s="36">
        <f>water_ON!L30 - water_OFF!L30 - AVERAGE(L$62:L$63)</f>
        <v>-4.9999999999982947E-2</v>
      </c>
      <c r="M30" s="36">
        <f>water_ON!M30 - water_OFF!M30 - AVERAGE(M$62:M$63)</f>
        <v>0.60000000000002274</v>
      </c>
      <c r="N30" s="36">
        <f>water_ON!N30 - water_OFF!N30 - AVERAGE(N$62:N$63)</f>
        <v>0.54999999999998295</v>
      </c>
      <c r="O30" s="36">
        <f>water_ON!O30 - water_OFF!O30 - AVERAGE(O$62:O$63)</f>
        <v>0.19999999999998863</v>
      </c>
      <c r="P30" s="36">
        <f>water_ON!P30 - water_OFF!P30 - AVERAGE(P$62:P$63)</f>
        <v>1.2999999999999545</v>
      </c>
      <c r="Q30" s="36">
        <f>water_ON!Q30 - water_OFF!Q30 - AVERAGE(Q$62:Q$63)</f>
        <v>1.75</v>
      </c>
      <c r="R30" s="36">
        <f>water_ON!R30 - water_OFF!R30 - AVERAGE(R$62:R$63)</f>
        <v>4.9999999999982947E-2</v>
      </c>
      <c r="S30" s="36">
        <f>water_ON!S30 - water_OFF!S30 - AVERAGE(S$62:S$63)</f>
        <v>0.60000000000002274</v>
      </c>
      <c r="T30" s="36">
        <f>water_ON!T30 - water_OFF!T30 - AVERAGE(T$62:T$63)</f>
        <v>1.6999999999999886</v>
      </c>
      <c r="U30" s="27"/>
      <c r="V30" s="6" t="str">
        <f>IF(water_OFF!V30, (water_ON!V30+500-water_ON!V$64) - (water_OFF!V30+500-water_OFF!V$64) - AVERAGE(V$62:V$63), "")</f>
        <v/>
      </c>
      <c r="W30" s="6" t="str">
        <f>IF(water_OFF!W30, (water_ON!W30+500-water_ON!W$64) - (water_OFF!W30+500-water_OFF!W$64) - AVERAGE(W$62:W$63), "")</f>
        <v/>
      </c>
      <c r="X30" s="6" t="str">
        <f>IF(water_OFF!X30, (water_ON!X30+500-water_ON!X$64) - (water_OFF!X30+500-water_OFF!X$64) - AVERAGE(X$62:X$63), "")</f>
        <v/>
      </c>
      <c r="Y30" s="6" t="str">
        <f>IF(water_OFF!Y30, (water_ON!Y30+500-water_ON!Y$64) - (water_OFF!Y30+500-water_OFF!Y$64) - AVERAGE(Y$62:Y$63), "")</f>
        <v/>
      </c>
      <c r="Z30" s="6" t="str">
        <f>IF(water_OFF!Z30, (water_ON!Z30+500-water_ON!Z$64) - (water_OFF!Z30+500-water_OFF!Z$64) - AVERAGE(Z$62:Z$63), "")</f>
        <v/>
      </c>
      <c r="AA30" s="6" t="str">
        <f>IF(water_OFF!AA30, (water_ON!AA30+500-water_ON!AA$64) - (water_OFF!AA30+500-water_OFF!AA$64) - AVERAGE(AA$62:AA$63), "")</f>
        <v/>
      </c>
      <c r="AB30" s="6" t="str">
        <f>IF(water_OFF!AB30, (water_ON!AB30+500-water_ON!AB$64) - (water_OFF!AB30+500-water_OFF!AB$64) - AVERAGE(AB$62:AB$63), "")</f>
        <v/>
      </c>
      <c r="AC30" s="6" t="str">
        <f>IF(water_OFF!AC30, (water_ON!AC30+500-water_ON!AC$64) - (water_OFF!AC30+500-water_OFF!AC$64) - AVERAGE(AC$62:AC$63), "")</f>
        <v/>
      </c>
      <c r="AD30" s="6" t="str">
        <f>IF(water_OFF!AD30, (water_ON!AD30+500-water_ON!AD$64) - (water_OFF!AD30+500-water_OFF!AD$64) - AVERAGE(AD$62:AD$63), "")</f>
        <v/>
      </c>
      <c r="AE30" s="6" t="str">
        <f>IF(water_OFF!AE30, (water_ON!AE30+500-water_ON!AE$64) - (water_OFF!AE30+500-water_OFF!AE$64) - AVERAGE(AE$62:AE$63), "")</f>
        <v/>
      </c>
      <c r="AF30" s="6" t="str">
        <f>IF(water_OFF!AF30, (water_ON!AF30+500-water_ON!AF$64) - (water_OFF!AF30+500-water_OFF!AF$64) - AVERAGE(AF$62:AF$63), "")</f>
        <v/>
      </c>
      <c r="AG30" s="6" t="str">
        <f>IF(water_OFF!AG30, (water_ON!AG30+500-water_ON!AG$64) - (water_OFF!AG30+500-water_OFF!AG$64) - AVERAGE(AG$62:AG$63), "")</f>
        <v/>
      </c>
      <c r="AH30" s="6" t="str">
        <f>IF(water_OFF!AH30, (water_ON!AH30+500-water_ON!AH$64) - (water_OFF!AH30+500-water_OFF!AH$64) - AVERAGE(AH$62:AH$63), "")</f>
        <v/>
      </c>
      <c r="AI30" s="6" t="str">
        <f>IF(water_OFF!AI30, (water_ON!AI30+500-water_ON!AI$64) - (water_OFF!AI30+500-water_OFF!AI$64) - AVERAGE(AI$62:AI$63), "")</f>
        <v/>
      </c>
      <c r="AJ30" s="6" t="str">
        <f>IF(water_OFF!AJ30, (water_ON!AJ30+500-water_ON!AJ$64) - (water_OFF!AJ30+500-water_OFF!AJ$64) - AVERAGE(AJ$62:AJ$63), "")</f>
        <v/>
      </c>
      <c r="AK30" s="27" t="str">
        <f>IF(water_OFF!AK30, (water_ON!AK30+500-water_ON!AK$64) - (water_OFF!AK30+500-water_OFF!AK$64) - AVERAGE(AK$62:AK$63), "")</f>
        <v/>
      </c>
      <c r="AL30" s="6"/>
      <c r="AM30" s="6"/>
      <c r="AN30" s="6"/>
      <c r="AO30" s="6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spans="1:65">
      <c r="A31" s="18">
        <v>30</v>
      </c>
      <c r="B31" s="36">
        <f>water_ON!B31 - water_OFF!B31 - AVERAGE(B$62:B$63)</f>
        <v>0.19999999999996021</v>
      </c>
      <c r="C31" s="36">
        <f>water_ON!C31 - water_OFF!C31 - AVERAGE(C$62:C$63)</f>
        <v>0.39999999999997726</v>
      </c>
      <c r="D31" s="36">
        <f>water_ON!D31 - water_OFF!D31 - AVERAGE(D$62:D$63)</f>
        <v>0.94999999999998863</v>
      </c>
      <c r="E31" s="36">
        <f>water_ON!E31 - water_OFF!E31 - AVERAGE(E$62:E$63)</f>
        <v>0.34999999999993747</v>
      </c>
      <c r="F31" s="36">
        <f>water_ON!F31 - water_OFF!F31 - AVERAGE(F$62:F$63)</f>
        <v>1.7999999999999829</v>
      </c>
      <c r="G31" s="36">
        <f>water_ON!G31 - water_OFF!G31 - AVERAGE(G$62:G$63)</f>
        <v>1.1999999999999602</v>
      </c>
      <c r="H31" s="36">
        <f>water_ON!H31 - water_OFF!H31 - AVERAGE(H$62:H$63)</f>
        <v>0.19999999999998863</v>
      </c>
      <c r="I31" s="36">
        <f>water_ON!I31 - water_OFF!I31 - AVERAGE(I$62:I$63)</f>
        <v>0.44999999999998863</v>
      </c>
      <c r="J31" s="36">
        <f>water_ON!J31 - water_OFF!J31 - AVERAGE(J$62:J$63)</f>
        <v>2.8421709430404007E-14</v>
      </c>
      <c r="K31" s="36">
        <f>water_ON!K31 - water_OFF!K31 - AVERAGE(K$62:K$63)</f>
        <v>9.9999999999965894E-2</v>
      </c>
      <c r="L31" s="36">
        <f>water_ON!L31 - water_OFF!L31 - AVERAGE(L$62:L$63)</f>
        <v>-4.9999999999926104E-2</v>
      </c>
      <c r="M31" s="36">
        <f>water_ON!M31 - water_OFF!M31 - AVERAGE(M$62:M$63)</f>
        <v>0.69999999999998863</v>
      </c>
      <c r="N31" s="36">
        <f>water_ON!N31 - water_OFF!N31 - AVERAGE(N$62:N$63)</f>
        <v>0.65000000000000568</v>
      </c>
      <c r="O31" s="36">
        <f>water_ON!O31 - water_OFF!O31 - AVERAGE(O$62:O$63)</f>
        <v>0.69999999999998863</v>
      </c>
      <c r="P31" s="36">
        <f>water_ON!P31 - water_OFF!P31 - AVERAGE(P$62:P$63)</f>
        <v>0.20000000000004547</v>
      </c>
      <c r="Q31" s="36">
        <f>water_ON!Q31 - water_OFF!Q31 - AVERAGE(Q$62:Q$63)</f>
        <v>1.5500000000000682</v>
      </c>
      <c r="R31" s="36">
        <f>water_ON!R31 - water_OFF!R31 - AVERAGE(R$62:R$63)</f>
        <v>1.0499999999999829</v>
      </c>
      <c r="S31" s="36">
        <f>water_ON!S31 - water_OFF!S31 - AVERAGE(S$62:S$63)</f>
        <v>0.19999999999998863</v>
      </c>
      <c r="T31" s="36">
        <f>water_ON!T31 - water_OFF!T31 - AVERAGE(T$62:T$63)</f>
        <v>2.5</v>
      </c>
      <c r="U31" s="27"/>
      <c r="V31" s="6" t="str">
        <f>IF(water_OFF!V31, (water_ON!V31+500-water_ON!V$64) - (water_OFF!V31+500-water_OFF!V$64) - AVERAGE(V$62:V$63), "")</f>
        <v/>
      </c>
      <c r="W31" s="6" t="str">
        <f>IF(water_OFF!W31, (water_ON!W31+500-water_ON!W$64) - (water_OFF!W31+500-water_OFF!W$64) - AVERAGE(W$62:W$63), "")</f>
        <v/>
      </c>
      <c r="X31" s="6" t="str">
        <f>IF(water_OFF!X31, (water_ON!X31+500-water_ON!X$64) - (water_OFF!X31+500-water_OFF!X$64) - AVERAGE(X$62:X$63), "")</f>
        <v/>
      </c>
      <c r="Y31" s="6" t="str">
        <f>IF(water_OFF!Y31, (water_ON!Y31+500-water_ON!Y$64) - (water_OFF!Y31+500-water_OFF!Y$64) - AVERAGE(Y$62:Y$63), "")</f>
        <v/>
      </c>
      <c r="Z31" s="6" t="str">
        <f>IF(water_OFF!Z31, (water_ON!Z31+500-water_ON!Z$64) - (water_OFF!Z31+500-water_OFF!Z$64) - AVERAGE(Z$62:Z$63), "")</f>
        <v/>
      </c>
      <c r="AA31" s="6" t="str">
        <f>IF(water_OFF!AA31, (water_ON!AA31+500-water_ON!AA$64) - (water_OFF!AA31+500-water_OFF!AA$64) - AVERAGE(AA$62:AA$63), "")</f>
        <v/>
      </c>
      <c r="AB31" s="6" t="str">
        <f>IF(water_OFF!AB31, (water_ON!AB31+500-water_ON!AB$64) - (water_OFF!AB31+500-water_OFF!AB$64) - AVERAGE(AB$62:AB$63), "")</f>
        <v/>
      </c>
      <c r="AC31" s="6" t="str">
        <f>IF(water_OFF!AC31, (water_ON!AC31+500-water_ON!AC$64) - (water_OFF!AC31+500-water_OFF!AC$64) - AVERAGE(AC$62:AC$63), "")</f>
        <v/>
      </c>
      <c r="AD31" s="6" t="str">
        <f>IF(water_OFF!AD31, (water_ON!AD31+500-water_ON!AD$64) - (water_OFF!AD31+500-water_OFF!AD$64) - AVERAGE(AD$62:AD$63), "")</f>
        <v/>
      </c>
      <c r="AE31" s="6" t="str">
        <f>IF(water_OFF!AE31, (water_ON!AE31+500-water_ON!AE$64) - (water_OFF!AE31+500-water_OFF!AE$64) - AVERAGE(AE$62:AE$63), "")</f>
        <v/>
      </c>
      <c r="AF31" s="6" t="str">
        <f>IF(water_OFF!AF31, (water_ON!AF31+500-water_ON!AF$64) - (water_OFF!AF31+500-water_OFF!AF$64) - AVERAGE(AF$62:AF$63), "")</f>
        <v/>
      </c>
      <c r="AG31" s="6" t="str">
        <f>IF(water_OFF!AG31, (water_ON!AG31+500-water_ON!AG$64) - (water_OFF!AG31+500-water_OFF!AG$64) - AVERAGE(AG$62:AG$63), "")</f>
        <v/>
      </c>
      <c r="AH31" s="6" t="str">
        <f>IF(water_OFF!AH31, (water_ON!AH31+500-water_ON!AH$64) - (water_OFF!AH31+500-water_OFF!AH$64) - AVERAGE(AH$62:AH$63), "")</f>
        <v/>
      </c>
      <c r="AI31" s="6" t="str">
        <f>IF(water_OFF!AI31, (water_ON!AI31+500-water_ON!AI$64) - (water_OFF!AI31+500-water_OFF!AI$64) - AVERAGE(AI$62:AI$63), "")</f>
        <v/>
      </c>
      <c r="AJ31" s="6" t="str">
        <f>IF(water_OFF!AJ31, (water_ON!AJ31+500-water_ON!AJ$64) - (water_OFF!AJ31+500-water_OFF!AJ$64) - AVERAGE(AJ$62:AJ$63), "")</f>
        <v/>
      </c>
      <c r="AK31" s="27" t="str">
        <f>IF(water_OFF!AK31, (water_ON!AK31+500-water_ON!AK$64) - (water_OFF!AK31+500-water_OFF!AK$64) - AVERAGE(AK$62:AK$63), "")</f>
        <v/>
      </c>
      <c r="AL31" s="6"/>
      <c r="AM31" s="6"/>
      <c r="AN31" s="6"/>
      <c r="AO31" s="6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1:65">
      <c r="A32" s="18">
        <v>31</v>
      </c>
      <c r="B32" s="36">
        <f>water_ON!B32 - water_OFF!B32 - AVERAGE(B$62:B$63)</f>
        <v>0.49999999999997158</v>
      </c>
      <c r="C32" s="36">
        <f>water_ON!C32 - water_OFF!C32 - AVERAGE(C$62:C$63)</f>
        <v>0.89999999999997726</v>
      </c>
      <c r="D32" s="36">
        <f>water_ON!D32 - water_OFF!D32 - AVERAGE(D$62:D$63)</f>
        <v>1.5499999999999545</v>
      </c>
      <c r="E32" s="36">
        <f>water_ON!E32 - water_OFF!E32 - AVERAGE(E$62:E$63)</f>
        <v>0.14999999999994884</v>
      </c>
      <c r="F32" s="36">
        <f>water_ON!F32 - water_OFF!F32 - AVERAGE(F$62:F$63)</f>
        <v>1.0999999999999943</v>
      </c>
      <c r="G32" s="36">
        <f>water_ON!G32 - water_OFF!G32 - AVERAGE(G$62:G$63)</f>
        <v>0.50000000000002842</v>
      </c>
      <c r="H32" s="36">
        <f>water_ON!H32 - water_OFF!H32 - AVERAGE(H$62:H$63)</f>
        <v>3.3999999999999773</v>
      </c>
      <c r="I32" s="36">
        <f>water_ON!I32 - water_OFF!I32 - AVERAGE(I$62:I$63)</f>
        <v>3.1500000000000341</v>
      </c>
      <c r="J32" s="36">
        <f>water_ON!J32 - water_OFF!J32 - AVERAGE(J$62:J$63)</f>
        <v>-9.9999999999994316E-2</v>
      </c>
      <c r="K32" s="36">
        <f>water_ON!K32 - water_OFF!K32 - AVERAGE(K$62:K$63)</f>
        <v>3.3000000000000114</v>
      </c>
      <c r="L32" s="36">
        <f>water_ON!L32 - water_OFF!L32 - AVERAGE(L$62:L$63)</f>
        <v>2.9500000000000171</v>
      </c>
      <c r="M32" s="36">
        <f>water_ON!M32 - water_OFF!M32 - AVERAGE(M$62:M$63)</f>
        <v>0.70000000000004547</v>
      </c>
      <c r="N32" s="36">
        <f>water_ON!N32 - water_OFF!N32 - AVERAGE(N$62:N$63)</f>
        <v>1.4500000000000171</v>
      </c>
      <c r="O32" s="36">
        <f>water_ON!O32 - water_OFF!O32 - AVERAGE(O$62:O$63)</f>
        <v>9.9999999999965894E-2</v>
      </c>
      <c r="P32" s="36">
        <f>water_ON!P32 - water_OFF!P32 - AVERAGE(P$62:P$63)</f>
        <v>0.30000000000001137</v>
      </c>
      <c r="Q32" s="36">
        <f>water_ON!Q32 - water_OFF!Q32 - AVERAGE(Q$62:Q$63)</f>
        <v>0.45000000000004547</v>
      </c>
      <c r="R32" s="36">
        <f>water_ON!R32 - water_OFF!R32 - AVERAGE(R$62:R$63)</f>
        <v>0.95000000000001705</v>
      </c>
      <c r="S32" s="36">
        <f>water_ON!S32 - water_OFF!S32 - AVERAGE(S$62:S$63)</f>
        <v>1</v>
      </c>
      <c r="T32" s="36">
        <f>water_ON!T32 - water_OFF!T32 - AVERAGE(T$62:T$63)</f>
        <v>0</v>
      </c>
      <c r="U32" s="27"/>
      <c r="V32" s="6" t="str">
        <f>IF(water_OFF!V32, (water_ON!V32+500-water_ON!V$64) - (water_OFF!V32+500-water_OFF!V$64) - AVERAGE(V$62:V$63), "")</f>
        <v/>
      </c>
      <c r="W32" s="6" t="str">
        <f>IF(water_OFF!W32, (water_ON!W32+500-water_ON!W$64) - (water_OFF!W32+500-water_OFF!W$64) - AVERAGE(W$62:W$63), "")</f>
        <v/>
      </c>
      <c r="X32" s="6" t="str">
        <f>IF(water_OFF!X32, (water_ON!X32+500-water_ON!X$64) - (water_OFF!X32+500-water_OFF!X$64) - AVERAGE(X$62:X$63), "")</f>
        <v/>
      </c>
      <c r="Y32" s="6" t="str">
        <f>IF(water_OFF!Y32, (water_ON!Y32+500-water_ON!Y$64) - (water_OFF!Y32+500-water_OFF!Y$64) - AVERAGE(Y$62:Y$63), "")</f>
        <v/>
      </c>
      <c r="Z32" s="6" t="str">
        <f>IF(water_OFF!Z32, (water_ON!Z32+500-water_ON!Z$64) - (water_OFF!Z32+500-water_OFF!Z$64) - AVERAGE(Z$62:Z$63), "")</f>
        <v/>
      </c>
      <c r="AA32" s="6" t="str">
        <f>IF(water_OFF!AA32, (water_ON!AA32+500-water_ON!AA$64) - (water_OFF!AA32+500-water_OFF!AA$64) - AVERAGE(AA$62:AA$63), "")</f>
        <v/>
      </c>
      <c r="AB32" s="6" t="str">
        <f>IF(water_OFF!AB32, (water_ON!AB32+500-water_ON!AB$64) - (water_OFF!AB32+500-water_OFF!AB$64) - AVERAGE(AB$62:AB$63), "")</f>
        <v/>
      </c>
      <c r="AC32" s="6" t="str">
        <f>IF(water_OFF!AC32, (water_ON!AC32+500-water_ON!AC$64) - (water_OFF!AC32+500-water_OFF!AC$64) - AVERAGE(AC$62:AC$63), "")</f>
        <v/>
      </c>
      <c r="AD32" s="6" t="str">
        <f>IF(water_OFF!AD32, (water_ON!AD32+500-water_ON!AD$64) - (water_OFF!AD32+500-water_OFF!AD$64) - AVERAGE(AD$62:AD$63), "")</f>
        <v/>
      </c>
      <c r="AE32" s="6" t="str">
        <f>IF(water_OFF!AE32, (water_ON!AE32+500-water_ON!AE$64) - (water_OFF!AE32+500-water_OFF!AE$64) - AVERAGE(AE$62:AE$63), "")</f>
        <v/>
      </c>
      <c r="AF32" s="6" t="str">
        <f>IF(water_OFF!AF32, (water_ON!AF32+500-water_ON!AF$64) - (water_OFF!AF32+500-water_OFF!AF$64) - AVERAGE(AF$62:AF$63), "")</f>
        <v/>
      </c>
      <c r="AG32" s="6" t="str">
        <f>IF(water_OFF!AG32, (water_ON!AG32+500-water_ON!AG$64) - (water_OFF!AG32+500-water_OFF!AG$64) - AVERAGE(AG$62:AG$63), "")</f>
        <v/>
      </c>
      <c r="AH32" s="6" t="str">
        <f>IF(water_OFF!AH32, (water_ON!AH32+500-water_ON!AH$64) - (water_OFF!AH32+500-water_OFF!AH$64) - AVERAGE(AH$62:AH$63), "")</f>
        <v/>
      </c>
      <c r="AI32" s="6" t="str">
        <f>IF(water_OFF!AI32, (water_ON!AI32+500-water_ON!AI$64) - (water_OFF!AI32+500-water_OFF!AI$64) - AVERAGE(AI$62:AI$63), "")</f>
        <v/>
      </c>
      <c r="AJ32" s="6" t="str">
        <f>IF(water_OFF!AJ32, (water_ON!AJ32+500-water_ON!AJ$64) - (water_OFF!AJ32+500-water_OFF!AJ$64) - AVERAGE(AJ$62:AJ$63), "")</f>
        <v/>
      </c>
      <c r="AK32" s="27" t="str">
        <f>IF(water_OFF!AK32, (water_ON!AK32+500-water_ON!AK$64) - (water_OFF!AK32+500-water_OFF!AK$64) - AVERAGE(AK$62:AK$63), "")</f>
        <v/>
      </c>
      <c r="AL32" s="6"/>
      <c r="AM32" s="6"/>
      <c r="AN32" s="6"/>
      <c r="AO32" s="6"/>
      <c r="AS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1:65">
      <c r="A33" s="18">
        <v>32</v>
      </c>
      <c r="B33" s="36">
        <f>water_ON!B33 - water_OFF!B33 - AVERAGE(B$62:B$63)</f>
        <v>0.60000000000005116</v>
      </c>
      <c r="C33" s="36">
        <f>water_ON!C33 - water_OFF!C33 - AVERAGE(C$62:C$63)</f>
        <v>0.10000000000002274</v>
      </c>
      <c r="D33" s="36">
        <f>water_ON!D33 - water_OFF!D33 - AVERAGE(D$62:D$63)</f>
        <v>1.4499999999999886</v>
      </c>
      <c r="E33" s="36">
        <f>water_ON!E33 - water_OFF!E33 - AVERAGE(E$62:E$63)</f>
        <v>0.24999999999997158</v>
      </c>
      <c r="F33" s="36">
        <f>water_ON!F33 - water_OFF!F33 - AVERAGE(F$62:F$63)</f>
        <v>0.10000000000005116</v>
      </c>
      <c r="G33" s="36">
        <f>water_ON!G33 - water_OFF!G33 - AVERAGE(G$62:G$63)</f>
        <v>9.9999999999994316E-2</v>
      </c>
      <c r="H33" s="36">
        <f>water_ON!H33 - water_OFF!H33 - AVERAGE(H$62:H$63)</f>
        <v>1.3000000000000114</v>
      </c>
      <c r="I33" s="36">
        <f>water_ON!I33 - water_OFF!I33 - AVERAGE(I$62:I$63)</f>
        <v>5.0000000000011369E-2</v>
      </c>
      <c r="J33" s="36">
        <f>water_ON!J33 - water_OFF!J33 - AVERAGE(J$62:J$63)</f>
        <v>9.9999999999994316E-2</v>
      </c>
      <c r="K33" s="36">
        <f>water_ON!K33 - water_OFF!K33 - AVERAGE(K$62:K$63)</f>
        <v>3.3000000000000114</v>
      </c>
      <c r="L33" s="36">
        <f>water_ON!L33 - water_OFF!L33 - AVERAGE(L$62:L$63)</f>
        <v>2.8500000000000512</v>
      </c>
      <c r="M33" s="36">
        <f>water_ON!M33 - water_OFF!M33 - AVERAGE(M$62:M$63)</f>
        <v>0.30000000000001137</v>
      </c>
      <c r="N33" s="36">
        <f>water_ON!N33 - water_OFF!N33 - AVERAGE(N$62:N$63)</f>
        <v>2.0500000000000398</v>
      </c>
      <c r="O33" s="36">
        <f>water_ON!O33 - water_OFF!O33 - AVERAGE(O$62:O$63)</f>
        <v>1.1999999999999886</v>
      </c>
      <c r="P33" s="36">
        <f>water_ON!P33 - water_OFF!P33 - AVERAGE(P$62:P$63)</f>
        <v>2.7000000000000455</v>
      </c>
      <c r="Q33" s="36">
        <f>water_ON!Q33 - water_OFF!Q33 - AVERAGE(Q$62:Q$63)</f>
        <v>4.1500000000000341</v>
      </c>
      <c r="R33" s="36">
        <f>water_ON!R33 - water_OFF!R33 - AVERAGE(R$62:R$63)</f>
        <v>5.4500000000000171</v>
      </c>
      <c r="S33" s="36">
        <f>water_ON!S33 - water_OFF!S33 - AVERAGE(S$62:S$63)</f>
        <v>4.4000000000000341</v>
      </c>
      <c r="T33" s="36">
        <f>water_ON!T33 - water_OFF!T33 - AVERAGE(T$62:T$63)</f>
        <v>3.5</v>
      </c>
      <c r="U33" s="27"/>
      <c r="V33" s="6" t="str">
        <f>IF(water_OFF!V33, (water_ON!V33+500-water_ON!V$64) - (water_OFF!V33+500-water_OFF!V$64) - AVERAGE(V$62:V$63), "")</f>
        <v/>
      </c>
      <c r="W33" s="6" t="str">
        <f>IF(water_OFF!W33, (water_ON!W33+500-water_ON!W$64) - (water_OFF!W33+500-water_OFF!W$64) - AVERAGE(W$62:W$63), "")</f>
        <v/>
      </c>
      <c r="X33" s="6" t="str">
        <f>IF(water_OFF!X33, (water_ON!X33+500-water_ON!X$64) - (water_OFF!X33+500-water_OFF!X$64) - AVERAGE(X$62:X$63), "")</f>
        <v/>
      </c>
      <c r="Y33" s="6" t="str">
        <f>IF(water_OFF!Y33, (water_ON!Y33+500-water_ON!Y$64) - (water_OFF!Y33+500-water_OFF!Y$64) - AVERAGE(Y$62:Y$63), "")</f>
        <v/>
      </c>
      <c r="Z33" s="6" t="str">
        <f>IF(water_OFF!Z33, (water_ON!Z33+500-water_ON!Z$64) - (water_OFF!Z33+500-water_OFF!Z$64) - AVERAGE(Z$62:Z$63), "")</f>
        <v/>
      </c>
      <c r="AA33" s="6" t="str">
        <f>IF(water_OFF!AA33, (water_ON!AA33+500-water_ON!AA$64) - (water_OFF!AA33+500-water_OFF!AA$64) - AVERAGE(AA$62:AA$63), "")</f>
        <v/>
      </c>
      <c r="AB33" s="6" t="str">
        <f>IF(water_OFF!AB33, (water_ON!AB33+500-water_ON!AB$64) - (water_OFF!AB33+500-water_OFF!AB$64) - AVERAGE(AB$62:AB$63), "")</f>
        <v/>
      </c>
      <c r="AC33" s="6" t="str">
        <f>IF(water_OFF!AC33, (water_ON!AC33+500-water_ON!AC$64) - (water_OFF!AC33+500-water_OFF!AC$64) - AVERAGE(AC$62:AC$63), "")</f>
        <v/>
      </c>
      <c r="AD33" s="6" t="str">
        <f>IF(water_OFF!AD33, (water_ON!AD33+500-water_ON!AD$64) - (water_OFF!AD33+500-water_OFF!AD$64) - AVERAGE(AD$62:AD$63), "")</f>
        <v/>
      </c>
      <c r="AE33" s="6" t="str">
        <f>IF(water_OFF!AE33, (water_ON!AE33+500-water_ON!AE$64) - (water_OFF!AE33+500-water_OFF!AE$64) - AVERAGE(AE$62:AE$63), "")</f>
        <v/>
      </c>
      <c r="AF33" s="6" t="str">
        <f>IF(water_OFF!AF33, (water_ON!AF33+500-water_ON!AF$64) - (water_OFF!AF33+500-water_OFF!AF$64) - AVERAGE(AF$62:AF$63), "")</f>
        <v/>
      </c>
      <c r="AG33" s="6" t="str">
        <f>IF(water_OFF!AG33, (water_ON!AG33+500-water_ON!AG$64) - (water_OFF!AG33+500-water_OFF!AG$64) - AVERAGE(AG$62:AG$63), "")</f>
        <v/>
      </c>
      <c r="AH33" s="6" t="str">
        <f>IF(water_OFF!AH33, (water_ON!AH33+500-water_ON!AH$64) - (water_OFF!AH33+500-water_OFF!AH$64) - AVERAGE(AH$62:AH$63), "")</f>
        <v/>
      </c>
      <c r="AI33" s="6" t="str">
        <f>IF(water_OFF!AI33, (water_ON!AI33+500-water_ON!AI$64) - (water_OFF!AI33+500-water_OFF!AI$64) - AVERAGE(AI$62:AI$63), "")</f>
        <v/>
      </c>
      <c r="AJ33" s="6" t="str">
        <f>IF(water_OFF!AJ33, (water_ON!AJ33+500-water_ON!AJ$64) - (water_OFF!AJ33+500-water_OFF!AJ$64) - AVERAGE(AJ$62:AJ$63), "")</f>
        <v/>
      </c>
      <c r="AK33" s="27" t="str">
        <f>IF(water_OFF!AK33, (water_ON!AK33+500-water_ON!AK$64) - (water_OFF!AK33+500-water_OFF!AK$64) - AVERAGE(AK$62:AK$63), "")</f>
        <v/>
      </c>
      <c r="AL33" s="6"/>
      <c r="AM33" s="6"/>
      <c r="AN33" s="6"/>
      <c r="AO33" s="6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1:65">
      <c r="A34" s="18">
        <v>33</v>
      </c>
      <c r="B34" s="36">
        <f>water_ON!B34 - water_OFF!B34 - AVERAGE(B$62:B$63)</f>
        <v>0.20000000000001705</v>
      </c>
      <c r="C34" s="36">
        <f>water_ON!C34 - water_OFF!C34 - AVERAGE(C$62:C$63)</f>
        <v>9.9999999999965894E-2</v>
      </c>
      <c r="D34" s="36">
        <f>water_ON!D34 - water_OFF!D34 - AVERAGE(D$62:D$63)</f>
        <v>5.0000000000011369E-2</v>
      </c>
      <c r="E34" s="36">
        <f>water_ON!E34 - water_OFF!E34 - AVERAGE(E$62:E$63)</f>
        <v>0.15000000000000568</v>
      </c>
      <c r="F34" s="36">
        <f>water_ON!F34 - water_OFF!F34 - AVERAGE(F$62:F$63)</f>
        <v>9.9999999999994316E-2</v>
      </c>
      <c r="G34" s="36">
        <f>water_ON!G34 - water_OFF!G34 - AVERAGE(G$62:G$63)</f>
        <v>0.20000000000001705</v>
      </c>
      <c r="H34" s="36">
        <f>water_ON!H34 - water_OFF!H34 - AVERAGE(H$62:H$63)</f>
        <v>0.29999999999995453</v>
      </c>
      <c r="I34" s="36">
        <f>water_ON!I34 - water_OFF!I34 - AVERAGE(I$62:I$63)</f>
        <v>5.0000000000011369E-2</v>
      </c>
      <c r="J34" s="36">
        <f>water_ON!J34 - water_OFF!J34 - AVERAGE(J$62:J$63)</f>
        <v>0.20000000000001705</v>
      </c>
      <c r="K34" s="36">
        <f>water_ON!K34 - water_OFF!K34 - AVERAGE(K$62:K$63)</f>
        <v>9.9999999999965894E-2</v>
      </c>
      <c r="L34" s="36">
        <f>water_ON!L34 - water_OFF!L34 - AVERAGE(L$62:L$63)</f>
        <v>5.000000000003979E-2</v>
      </c>
      <c r="M34" s="36">
        <f>water_ON!M34 - water_OFF!M34 - AVERAGE(M$62:M$63)</f>
        <v>0.30000000000001137</v>
      </c>
      <c r="N34" s="36">
        <f>water_ON!N34 - water_OFF!N34 - AVERAGE(N$62:N$63)</f>
        <v>0.25000000000002842</v>
      </c>
      <c r="O34" s="36">
        <f>water_ON!O34 - water_OFF!O34 - AVERAGE(O$62:O$63)</f>
        <v>9.9999999999965894E-2</v>
      </c>
      <c r="P34" s="36">
        <f>water_ON!P34 - water_OFF!P34 - AVERAGE(P$62:P$63)</f>
        <v>0.10000000000002274</v>
      </c>
      <c r="Q34" s="36">
        <f>water_ON!Q34 - water_OFF!Q34 - AVERAGE(Q$62:Q$63)</f>
        <v>0.15000000000003411</v>
      </c>
      <c r="R34" s="36">
        <f>water_ON!R34 - water_OFF!R34 - AVERAGE(R$62:R$63)</f>
        <v>0.15000000000000568</v>
      </c>
      <c r="S34" s="36">
        <f>water_ON!S34 - water_OFF!S34 - AVERAGE(S$62:S$63)</f>
        <v>0.19999999999998863</v>
      </c>
      <c r="T34" s="36">
        <f>water_ON!T34 - water_OFF!T34 - AVERAGE(T$62:T$63)</f>
        <v>9.9999999999965894E-2</v>
      </c>
      <c r="U34" s="27"/>
      <c r="V34" s="6" t="str">
        <f>IF(water_OFF!V34, (water_ON!V34+500-water_ON!V$64) - (water_OFF!V34+500-water_OFF!V$64) - AVERAGE(V$62:V$63), "")</f>
        <v/>
      </c>
      <c r="W34" s="6" t="str">
        <f>IF(water_OFF!W34, (water_ON!W34+500-water_ON!W$64) - (water_OFF!W34+500-water_OFF!W$64) - AVERAGE(W$62:W$63), "")</f>
        <v/>
      </c>
      <c r="X34" s="6" t="str">
        <f>IF(water_OFF!X34, (water_ON!X34+500-water_ON!X$64) - (water_OFF!X34+500-water_OFF!X$64) - AVERAGE(X$62:X$63), "")</f>
        <v/>
      </c>
      <c r="Y34" s="6" t="str">
        <f>IF(water_OFF!Y34, (water_ON!Y34+500-water_ON!Y$64) - (water_OFF!Y34+500-water_OFF!Y$64) - AVERAGE(Y$62:Y$63), "")</f>
        <v/>
      </c>
      <c r="Z34" s="6" t="str">
        <f>IF(water_OFF!Z34, (water_ON!Z34+500-water_ON!Z$64) - (water_OFF!Z34+500-water_OFF!Z$64) - AVERAGE(Z$62:Z$63), "")</f>
        <v/>
      </c>
      <c r="AA34" s="6" t="str">
        <f>IF(water_OFF!AA34, (water_ON!AA34+500-water_ON!AA$64) - (water_OFF!AA34+500-water_OFF!AA$64) - AVERAGE(AA$62:AA$63), "")</f>
        <v/>
      </c>
      <c r="AB34" s="6" t="str">
        <f>IF(water_OFF!AB34, (water_ON!AB34+500-water_ON!AB$64) - (water_OFF!AB34+500-water_OFF!AB$64) - AVERAGE(AB$62:AB$63), "")</f>
        <v/>
      </c>
      <c r="AC34" s="6" t="str">
        <f>IF(water_OFF!AC34, (water_ON!AC34+500-water_ON!AC$64) - (water_OFF!AC34+500-water_OFF!AC$64) - AVERAGE(AC$62:AC$63), "")</f>
        <v/>
      </c>
      <c r="AD34" s="6" t="str">
        <f>IF(water_OFF!AD34, (water_ON!AD34+500-water_ON!AD$64) - (water_OFF!AD34+500-water_OFF!AD$64) - AVERAGE(AD$62:AD$63), "")</f>
        <v/>
      </c>
      <c r="AE34" s="6" t="str">
        <f>IF(water_OFF!AE34, (water_ON!AE34+500-water_ON!AE$64) - (water_OFF!AE34+500-water_OFF!AE$64) - AVERAGE(AE$62:AE$63), "")</f>
        <v/>
      </c>
      <c r="AF34" s="6" t="str">
        <f>IF(water_OFF!AF34, (water_ON!AF34+500-water_ON!AF$64) - (water_OFF!AF34+500-water_OFF!AF$64) - AVERAGE(AF$62:AF$63), "")</f>
        <v/>
      </c>
      <c r="AG34" s="6" t="str">
        <f>IF(water_OFF!AG34, (water_ON!AG34+500-water_ON!AG$64) - (water_OFF!AG34+500-water_OFF!AG$64) - AVERAGE(AG$62:AG$63), "")</f>
        <v/>
      </c>
      <c r="AH34" s="6" t="str">
        <f>IF(water_OFF!AH34, (water_ON!AH34+500-water_ON!AH$64) - (water_OFF!AH34+500-water_OFF!AH$64) - AVERAGE(AH$62:AH$63), "")</f>
        <v/>
      </c>
      <c r="AI34" s="6" t="str">
        <f>IF(water_OFF!AI34, (water_ON!AI34+500-water_ON!AI$64) - (water_OFF!AI34+500-water_OFF!AI$64) - AVERAGE(AI$62:AI$63), "")</f>
        <v/>
      </c>
      <c r="AJ34" s="6" t="str">
        <f>IF(water_OFF!AJ34, (water_ON!AJ34+500-water_ON!AJ$64) - (water_OFF!AJ34+500-water_OFF!AJ$64) - AVERAGE(AJ$62:AJ$63), "")</f>
        <v/>
      </c>
      <c r="AK34" s="27" t="str">
        <f>IF(water_OFF!AK34, (water_ON!AK34+500-water_ON!AK$64) - (water_OFF!AK34+500-water_OFF!AK$64) - AVERAGE(AK$62:AK$63), "")</f>
        <v/>
      </c>
      <c r="AL34" s="6"/>
      <c r="AM34" s="6"/>
      <c r="AN34" s="6"/>
      <c r="AO34" s="6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1:65">
      <c r="A35" s="18">
        <v>34</v>
      </c>
      <c r="B35" s="36">
        <f>water_ON!B35 - water_OFF!B35 - AVERAGE(B$62:B$63)</f>
        <v>1.2000000000000171</v>
      </c>
      <c r="C35" s="36">
        <f>water_ON!C35 - water_OFF!C35 - AVERAGE(C$62:C$63)</f>
        <v>0.10000000000002274</v>
      </c>
      <c r="D35" s="36">
        <f>water_ON!D35 - water_OFF!D35 - AVERAGE(D$62:D$63)</f>
        <v>0.65000000000003411</v>
      </c>
      <c r="E35" s="36">
        <f>water_ON!E35 - water_OFF!E35 - AVERAGE(E$62:E$63)</f>
        <v>1.2499999999999716</v>
      </c>
      <c r="F35" s="36">
        <f>water_ON!F35 - water_OFF!F35 - AVERAGE(F$62:F$63)</f>
        <v>0.10000000000005116</v>
      </c>
      <c r="G35" s="36">
        <f>water_ON!G35 - water_OFF!G35 - AVERAGE(G$62:G$63)</f>
        <v>1.0000000000000284</v>
      </c>
      <c r="H35" s="36">
        <f>water_ON!H35 - water_OFF!H35 - AVERAGE(H$62:H$63)</f>
        <v>2.3000000000000114</v>
      </c>
      <c r="I35" s="36">
        <f>water_ON!I35 - water_OFF!I35 - AVERAGE(I$62:I$63)</f>
        <v>0.54999999999995453</v>
      </c>
      <c r="J35" s="36">
        <f>water_ON!J35 - water_OFF!J35 - AVERAGE(J$62:J$63)</f>
        <v>2.8421709430404007E-14</v>
      </c>
      <c r="K35" s="36">
        <f>water_ON!K35 - water_OFF!K35 - AVERAGE(K$62:K$63)</f>
        <v>1.6000000000000227</v>
      </c>
      <c r="L35" s="36">
        <f>water_ON!L35 - water_OFF!L35 - AVERAGE(L$62:L$63)</f>
        <v>-4.9999999999982947E-2</v>
      </c>
      <c r="M35" s="36">
        <f>water_ON!M35 - water_OFF!M35 - AVERAGE(M$62:M$63)</f>
        <v>0.20000000000004547</v>
      </c>
      <c r="N35" s="36">
        <f>water_ON!N35 - water_OFF!N35 - AVERAGE(N$62:N$63)</f>
        <v>1.6500000000000625</v>
      </c>
      <c r="O35" s="36">
        <f>water_ON!O35 - water_OFF!O35 - AVERAGE(O$62:O$63)</f>
        <v>-5.6843418860808015E-14</v>
      </c>
      <c r="P35" s="36">
        <f>water_ON!P35 - water_OFF!P35 - AVERAGE(P$62:P$63)</f>
        <v>0</v>
      </c>
      <c r="Q35" s="36">
        <f>water_ON!Q35 - water_OFF!Q35 - AVERAGE(Q$62:Q$63)</f>
        <v>0.94999999999998863</v>
      </c>
      <c r="R35" s="36">
        <f>water_ON!R35 - water_OFF!R35 - AVERAGE(R$62:R$63)</f>
        <v>1.4500000000000171</v>
      </c>
      <c r="S35" s="36">
        <f>water_ON!S35 - water_OFF!S35 - AVERAGE(S$62:S$63)</f>
        <v>3.1999999999999886</v>
      </c>
      <c r="T35" s="36">
        <f>water_ON!T35 - water_OFF!T35 - AVERAGE(T$62:T$63)</f>
        <v>1.0999999999999659</v>
      </c>
      <c r="U35" s="27"/>
      <c r="V35" s="6" t="str">
        <f>IF(water_OFF!V35, (water_ON!V35+500-water_ON!V$64) - (water_OFF!V35+500-water_OFF!V$64) - AVERAGE(V$62:V$63), "")</f>
        <v/>
      </c>
      <c r="W35" s="6" t="str">
        <f>IF(water_OFF!W35, (water_ON!W35+500-water_ON!W$64) - (water_OFF!W35+500-water_OFF!W$64) - AVERAGE(W$62:W$63), "")</f>
        <v/>
      </c>
      <c r="X35" s="6" t="str">
        <f>IF(water_OFF!X35, (water_ON!X35+500-water_ON!X$64) - (water_OFF!X35+500-water_OFF!X$64) - AVERAGE(X$62:X$63), "")</f>
        <v/>
      </c>
      <c r="Y35" s="6" t="str">
        <f>IF(water_OFF!Y35, (water_ON!Y35+500-water_ON!Y$64) - (water_OFF!Y35+500-water_OFF!Y$64) - AVERAGE(Y$62:Y$63), "")</f>
        <v/>
      </c>
      <c r="Z35" s="6" t="str">
        <f>IF(water_OFF!Z35, (water_ON!Z35+500-water_ON!Z$64) - (water_OFF!Z35+500-water_OFF!Z$64) - AVERAGE(Z$62:Z$63), "")</f>
        <v/>
      </c>
      <c r="AA35" s="6" t="str">
        <f>IF(water_OFF!AA35, (water_ON!AA35+500-water_ON!AA$64) - (water_OFF!AA35+500-water_OFF!AA$64) - AVERAGE(AA$62:AA$63), "")</f>
        <v/>
      </c>
      <c r="AB35" s="6" t="str">
        <f>IF(water_OFF!AB35, (water_ON!AB35+500-water_ON!AB$64) - (water_OFF!AB35+500-water_OFF!AB$64) - AVERAGE(AB$62:AB$63), "")</f>
        <v/>
      </c>
      <c r="AC35" s="6" t="str">
        <f>IF(water_OFF!AC35, (water_ON!AC35+500-water_ON!AC$64) - (water_OFF!AC35+500-water_OFF!AC$64) - AVERAGE(AC$62:AC$63), "")</f>
        <v/>
      </c>
      <c r="AD35" s="6" t="str">
        <f>IF(water_OFF!AD35, (water_ON!AD35+500-water_ON!AD$64) - (water_OFF!AD35+500-water_OFF!AD$64) - AVERAGE(AD$62:AD$63), "")</f>
        <v/>
      </c>
      <c r="AE35" s="6" t="str">
        <f>IF(water_OFF!AE35, (water_ON!AE35+500-water_ON!AE$64) - (water_OFF!AE35+500-water_OFF!AE$64) - AVERAGE(AE$62:AE$63), "")</f>
        <v/>
      </c>
      <c r="AF35" s="6" t="str">
        <f>IF(water_OFF!AF35, (water_ON!AF35+500-water_ON!AF$64) - (water_OFF!AF35+500-water_OFF!AF$64) - AVERAGE(AF$62:AF$63), "")</f>
        <v/>
      </c>
      <c r="AG35" s="6" t="str">
        <f>IF(water_OFF!AG35, (water_ON!AG35+500-water_ON!AG$64) - (water_OFF!AG35+500-water_OFF!AG$64) - AVERAGE(AG$62:AG$63), "")</f>
        <v/>
      </c>
      <c r="AH35" s="6" t="str">
        <f>IF(water_OFF!AH35, (water_ON!AH35+500-water_ON!AH$64) - (water_OFF!AH35+500-water_OFF!AH$64) - AVERAGE(AH$62:AH$63), "")</f>
        <v/>
      </c>
      <c r="AI35" s="6" t="str">
        <f>IF(water_OFF!AI35, (water_ON!AI35+500-water_ON!AI$64) - (water_OFF!AI35+500-water_OFF!AI$64) - AVERAGE(AI$62:AI$63), "")</f>
        <v/>
      </c>
      <c r="AJ35" s="6" t="str">
        <f>IF(water_OFF!AJ35, (water_ON!AJ35+500-water_ON!AJ$64) - (water_OFF!AJ35+500-water_OFF!AJ$64) - AVERAGE(AJ$62:AJ$63), "")</f>
        <v/>
      </c>
      <c r="AK35" s="27" t="str">
        <f>IF(water_OFF!AK35, (water_ON!AK35+500-water_ON!AK$64) - (water_OFF!AK35+500-water_OFF!AK$64) - AVERAGE(AK$62:AK$63), "")</f>
        <v/>
      </c>
      <c r="AL35" s="6"/>
      <c r="AM35" s="6"/>
      <c r="AN35" s="6"/>
      <c r="AO35" s="6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1:65">
      <c r="A36" s="18">
        <v>35</v>
      </c>
      <c r="B36" s="36">
        <f>water_ON!B36 - water_OFF!B36 - AVERAGE(B$62:B$63)</f>
        <v>0.90000000000000568</v>
      </c>
      <c r="C36" s="36">
        <f>water_ON!C36 - water_OFF!C36 - AVERAGE(C$62:C$63)</f>
        <v>0.10000000000002274</v>
      </c>
      <c r="D36" s="36">
        <f>water_ON!D36 - water_OFF!D36 - AVERAGE(D$62:D$63)</f>
        <v>5.0000000000011369E-2</v>
      </c>
      <c r="E36" s="36">
        <f>water_ON!E36 - water_OFF!E36 - AVERAGE(E$62:E$63)</f>
        <v>0.34999999999999432</v>
      </c>
      <c r="F36" s="36">
        <f>water_ON!F36 - water_OFF!F36 - AVERAGE(F$62:F$63)</f>
        <v>9.9999999999994316E-2</v>
      </c>
      <c r="G36" s="36">
        <f>water_ON!G36 - water_OFF!G36 - AVERAGE(G$62:G$63)</f>
        <v>-2.8421709430404007E-14</v>
      </c>
      <c r="H36" s="36">
        <f>water_ON!H36 - water_OFF!H36 - AVERAGE(H$62:H$63)</f>
        <v>1.1000000000000227</v>
      </c>
      <c r="I36" s="36">
        <f>water_ON!I36 - water_OFF!I36 - AVERAGE(I$62:I$63)</f>
        <v>0.44999999999998863</v>
      </c>
      <c r="J36" s="36">
        <f>water_ON!J36 - water_OFF!J36 - AVERAGE(J$62:J$63)</f>
        <v>2.8421709430404007E-14</v>
      </c>
      <c r="K36" s="36">
        <f>water_ON!K36 - water_OFF!K36 - AVERAGE(K$62:K$63)</f>
        <v>0.40000000000003411</v>
      </c>
      <c r="L36" s="36">
        <f>water_ON!L36 - water_OFF!L36 - AVERAGE(L$62:L$63)</f>
        <v>-4.9999999999982947E-2</v>
      </c>
      <c r="M36" s="36">
        <f>water_ON!M36 - water_OFF!M36 - AVERAGE(M$62:M$63)</f>
        <v>0.30000000000001137</v>
      </c>
      <c r="N36" s="36">
        <f>water_ON!N36 - water_OFF!N36 - AVERAGE(N$62:N$63)</f>
        <v>0.55000000000003979</v>
      </c>
      <c r="O36" s="36">
        <f>water_ON!O36 - water_OFF!O36 - AVERAGE(O$62:O$63)</f>
        <v>0</v>
      </c>
      <c r="P36" s="36">
        <f>water_ON!P36 - water_OFF!P36 - AVERAGE(P$62:P$63)</f>
        <v>0</v>
      </c>
      <c r="Q36" s="36">
        <f>water_ON!Q36 - water_OFF!Q36 - AVERAGE(Q$62:Q$63)</f>
        <v>-0.14999999999997726</v>
      </c>
      <c r="R36" s="36">
        <f>water_ON!R36 - water_OFF!R36 - AVERAGE(R$62:R$63)</f>
        <v>4.9999999999982947E-2</v>
      </c>
      <c r="S36" s="36">
        <f>water_ON!S36 - water_OFF!S36 - AVERAGE(S$62:S$63)</f>
        <v>9.9999999999965894E-2</v>
      </c>
      <c r="T36" s="36">
        <f>water_ON!T36 - water_OFF!T36 - AVERAGE(T$62:T$63)</f>
        <v>0</v>
      </c>
      <c r="U36" s="27"/>
      <c r="V36" s="6" t="str">
        <f>IF(water_OFF!V36, (water_ON!V36+500-water_ON!V$64) - (water_OFF!V36+500-water_OFF!V$64) - AVERAGE(V$62:V$63), "")</f>
        <v/>
      </c>
      <c r="W36" s="6" t="str">
        <f>IF(water_OFF!W36, (water_ON!W36+500-water_ON!W$64) - (water_OFF!W36+500-water_OFF!W$64) - AVERAGE(W$62:W$63), "")</f>
        <v/>
      </c>
      <c r="X36" s="6" t="str">
        <f>IF(water_OFF!X36, (water_ON!X36+500-water_ON!X$64) - (water_OFF!X36+500-water_OFF!X$64) - AVERAGE(X$62:X$63), "")</f>
        <v/>
      </c>
      <c r="Y36" s="6" t="str">
        <f>IF(water_OFF!Y36, (water_ON!Y36+500-water_ON!Y$64) - (water_OFF!Y36+500-water_OFF!Y$64) - AVERAGE(Y$62:Y$63), "")</f>
        <v/>
      </c>
      <c r="Z36" s="6" t="str">
        <f>IF(water_OFF!Z36, (water_ON!Z36+500-water_ON!Z$64) - (water_OFF!Z36+500-water_OFF!Z$64) - AVERAGE(Z$62:Z$63), "")</f>
        <v/>
      </c>
      <c r="AA36" s="6" t="str">
        <f>IF(water_OFF!AA36, (water_ON!AA36+500-water_ON!AA$64) - (water_OFF!AA36+500-water_OFF!AA$64) - AVERAGE(AA$62:AA$63), "")</f>
        <v/>
      </c>
      <c r="AB36" s="6" t="str">
        <f>IF(water_OFF!AB36, (water_ON!AB36+500-water_ON!AB$64) - (water_OFF!AB36+500-water_OFF!AB$64) - AVERAGE(AB$62:AB$63), "")</f>
        <v/>
      </c>
      <c r="AC36" s="6" t="str">
        <f>IF(water_OFF!AC36, (water_ON!AC36+500-water_ON!AC$64) - (water_OFF!AC36+500-water_OFF!AC$64) - AVERAGE(AC$62:AC$63), "")</f>
        <v/>
      </c>
      <c r="AD36" s="6" t="str">
        <f>IF(water_OFF!AD36, (water_ON!AD36+500-water_ON!AD$64) - (water_OFF!AD36+500-water_OFF!AD$64) - AVERAGE(AD$62:AD$63), "")</f>
        <v/>
      </c>
      <c r="AE36" s="6" t="str">
        <f>IF(water_OFF!AE36, (water_ON!AE36+500-water_ON!AE$64) - (water_OFF!AE36+500-water_OFF!AE$64) - AVERAGE(AE$62:AE$63), "")</f>
        <v/>
      </c>
      <c r="AF36" s="6" t="str">
        <f>IF(water_OFF!AF36, (water_ON!AF36+500-water_ON!AF$64) - (water_OFF!AF36+500-water_OFF!AF$64) - AVERAGE(AF$62:AF$63), "")</f>
        <v/>
      </c>
      <c r="AG36" s="6" t="str">
        <f>IF(water_OFF!AG36, (water_ON!AG36+500-water_ON!AG$64) - (water_OFF!AG36+500-water_OFF!AG$64) - AVERAGE(AG$62:AG$63), "")</f>
        <v/>
      </c>
      <c r="AH36" s="6" t="str">
        <f>IF(water_OFF!AH36, (water_ON!AH36+500-water_ON!AH$64) - (water_OFF!AH36+500-water_OFF!AH$64) - AVERAGE(AH$62:AH$63), "")</f>
        <v/>
      </c>
      <c r="AI36" s="6" t="str">
        <f>IF(water_OFF!AI36, (water_ON!AI36+500-water_ON!AI$64) - (water_OFF!AI36+500-water_OFF!AI$64) - AVERAGE(AI$62:AI$63), "")</f>
        <v/>
      </c>
      <c r="AJ36" s="6" t="str">
        <f>IF(water_OFF!AJ36, (water_ON!AJ36+500-water_ON!AJ$64) - (water_OFF!AJ36+500-water_OFF!AJ$64) - AVERAGE(AJ$62:AJ$63), "")</f>
        <v/>
      </c>
      <c r="AK36" s="27" t="str">
        <f>IF(water_OFF!AK36, (water_ON!AK36+500-water_ON!AK$64) - (water_OFF!AK36+500-water_OFF!AK$64) - AVERAGE(AK$62:AK$63), "")</f>
        <v/>
      </c>
      <c r="AL36" s="6"/>
      <c r="AM36" s="6"/>
      <c r="AN36" s="6"/>
      <c r="AO36" s="6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>
      <c r="A37" s="18">
        <v>36</v>
      </c>
      <c r="B37" s="36">
        <f>water_ON!B37 - water_OFF!B37 - AVERAGE(B$62:B$63)</f>
        <v>2.8421709430404007E-14</v>
      </c>
      <c r="C37" s="36">
        <f>water_ON!C37 - water_OFF!C37 - AVERAGE(C$62:C$63)</f>
        <v>0.19999999999998863</v>
      </c>
      <c r="D37" s="36">
        <f>water_ON!D37 - water_OFF!D37 - AVERAGE(D$62:D$63)</f>
        <v>-5.0000000000011369E-2</v>
      </c>
      <c r="E37" s="36">
        <f>water_ON!E37 - water_OFF!E37 - AVERAGE(E$62:E$63)</f>
        <v>0.14999999999994884</v>
      </c>
      <c r="F37" s="36">
        <f>water_ON!F37 - water_OFF!F37 - AVERAGE(F$62:F$63)</f>
        <v>9.9999999999994316E-2</v>
      </c>
      <c r="G37" s="36">
        <f>water_ON!G37 - water_OFF!G37 - AVERAGE(G$62:G$63)</f>
        <v>0.29999999999998295</v>
      </c>
      <c r="H37" s="36">
        <f>water_ON!H37 - water_OFF!H37 - AVERAGE(H$62:H$63)</f>
        <v>0.20000000000004547</v>
      </c>
      <c r="I37" s="36">
        <f>water_ON!I37 - water_OFF!I37 - AVERAGE(I$62:I$63)</f>
        <v>0.14999999999997726</v>
      </c>
      <c r="J37" s="36">
        <f>water_ON!J37 - water_OFF!J37 - AVERAGE(J$62:J$63)</f>
        <v>0.10000000000005116</v>
      </c>
      <c r="K37" s="36">
        <f>water_ON!K37 - water_OFF!K37 - AVERAGE(K$62:K$63)</f>
        <v>0.10000000000002274</v>
      </c>
      <c r="L37" s="36">
        <f>water_ON!L37 - water_OFF!L37 - AVERAGE(L$62:L$63)</f>
        <v>-4.9999999999926104E-2</v>
      </c>
      <c r="M37" s="36">
        <f>water_ON!M37 - water_OFF!M37 - AVERAGE(M$62:M$63)</f>
        <v>0.10000000000002274</v>
      </c>
      <c r="N37" s="36">
        <f>water_ON!N37 - water_OFF!N37 - AVERAGE(N$62:N$63)</f>
        <v>0.35000000000005116</v>
      </c>
      <c r="O37" s="36">
        <f>water_ON!O37 - water_OFF!O37 - AVERAGE(O$62:O$63)</f>
        <v>-5.6843418860808015E-14</v>
      </c>
      <c r="P37" s="36">
        <f>water_ON!P37 - water_OFF!P37 - AVERAGE(P$62:P$63)</f>
        <v>0</v>
      </c>
      <c r="Q37" s="36">
        <f>water_ON!Q37 - water_OFF!Q37 - AVERAGE(Q$62:Q$63)</f>
        <v>-4.9999999999954525E-2</v>
      </c>
      <c r="R37" s="36">
        <f>water_ON!R37 - water_OFF!R37 - AVERAGE(R$62:R$63)</f>
        <v>5.000000000003979E-2</v>
      </c>
      <c r="S37" s="36">
        <f>water_ON!S37 - water_OFF!S37 - AVERAGE(S$62:S$63)</f>
        <v>0.20000000000004547</v>
      </c>
      <c r="T37" s="36">
        <f>water_ON!T37 - water_OFF!T37 - AVERAGE(T$62:T$63)</f>
        <v>0</v>
      </c>
      <c r="U37" s="27"/>
      <c r="V37" s="6" t="str">
        <f>IF(water_OFF!V37, (water_ON!V37+500-water_ON!V$64) - (water_OFF!V37+500-water_OFF!V$64) - AVERAGE(V$62:V$63), "")</f>
        <v/>
      </c>
      <c r="W37" s="6" t="str">
        <f>IF(water_OFF!W37, (water_ON!W37+500-water_ON!W$64) - (water_OFF!W37+500-water_OFF!W$64) - AVERAGE(W$62:W$63), "")</f>
        <v/>
      </c>
      <c r="X37" s="6" t="str">
        <f>IF(water_OFF!X37, (water_ON!X37+500-water_ON!X$64) - (water_OFF!X37+500-water_OFF!X$64) - AVERAGE(X$62:X$63), "")</f>
        <v/>
      </c>
      <c r="Y37" s="6" t="str">
        <f>IF(water_OFF!Y37, (water_ON!Y37+500-water_ON!Y$64) - (water_OFF!Y37+500-water_OFF!Y$64) - AVERAGE(Y$62:Y$63), "")</f>
        <v/>
      </c>
      <c r="Z37" s="6" t="str">
        <f>IF(water_OFF!Z37, (water_ON!Z37+500-water_ON!Z$64) - (water_OFF!Z37+500-water_OFF!Z$64) - AVERAGE(Z$62:Z$63), "")</f>
        <v/>
      </c>
      <c r="AA37" s="6" t="str">
        <f>IF(water_OFF!AA37, (water_ON!AA37+500-water_ON!AA$64) - (water_OFF!AA37+500-water_OFF!AA$64) - AVERAGE(AA$62:AA$63), "")</f>
        <v/>
      </c>
      <c r="AB37" s="6" t="str">
        <f>IF(water_OFF!AB37, (water_ON!AB37+500-water_ON!AB$64) - (water_OFF!AB37+500-water_OFF!AB$64) - AVERAGE(AB$62:AB$63), "")</f>
        <v/>
      </c>
      <c r="AC37" s="6" t="str">
        <f>IF(water_OFF!AC37, (water_ON!AC37+500-water_ON!AC$64) - (water_OFF!AC37+500-water_OFF!AC$64) - AVERAGE(AC$62:AC$63), "")</f>
        <v/>
      </c>
      <c r="AD37" s="6" t="str">
        <f>IF(water_OFF!AD37, (water_ON!AD37+500-water_ON!AD$64) - (water_OFF!AD37+500-water_OFF!AD$64) - AVERAGE(AD$62:AD$63), "")</f>
        <v/>
      </c>
      <c r="AE37" s="6" t="str">
        <f>IF(water_OFF!AE37, (water_ON!AE37+500-water_ON!AE$64) - (water_OFF!AE37+500-water_OFF!AE$64) - AVERAGE(AE$62:AE$63), "")</f>
        <v/>
      </c>
      <c r="AF37" s="6" t="str">
        <f>IF(water_OFF!AF37, (water_ON!AF37+500-water_ON!AF$64) - (water_OFF!AF37+500-water_OFF!AF$64) - AVERAGE(AF$62:AF$63), "")</f>
        <v/>
      </c>
      <c r="AG37" s="6" t="str">
        <f>IF(water_OFF!AG37, (water_ON!AG37+500-water_ON!AG$64) - (water_OFF!AG37+500-water_OFF!AG$64) - AVERAGE(AG$62:AG$63), "")</f>
        <v/>
      </c>
      <c r="AH37" s="6" t="str">
        <f>IF(water_OFF!AH37, (water_ON!AH37+500-water_ON!AH$64) - (water_OFF!AH37+500-water_OFF!AH$64) - AVERAGE(AH$62:AH$63), "")</f>
        <v/>
      </c>
      <c r="AI37" s="6" t="str">
        <f>IF(water_OFF!AI37, (water_ON!AI37+500-water_ON!AI$64) - (water_OFF!AI37+500-water_OFF!AI$64) - AVERAGE(AI$62:AI$63), "")</f>
        <v/>
      </c>
      <c r="AJ37" s="6" t="str">
        <f>IF(water_OFF!AJ37, (water_ON!AJ37+500-water_ON!AJ$64) - (water_OFF!AJ37+500-water_OFF!AJ$64) - AVERAGE(AJ$62:AJ$63), "")</f>
        <v/>
      </c>
      <c r="AK37" s="27" t="str">
        <f>IF(water_OFF!AK37, (water_ON!AK37+500-water_ON!AK$64) - (water_OFF!AK37+500-water_OFF!AK$64) - AVERAGE(AK$62:AK$63), "")</f>
        <v/>
      </c>
      <c r="AL37" s="6"/>
      <c r="AM37" s="6"/>
      <c r="AN37" s="6"/>
      <c r="AO37" s="6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>
      <c r="A38" s="18">
        <v>37</v>
      </c>
      <c r="B38" s="36">
        <f>water_ON!B38 - water_OFF!B38 - AVERAGE(B$62:B$63)</f>
        <v>0.30000000000003979</v>
      </c>
      <c r="C38" s="36">
        <f>water_ON!C38 - water_OFF!C38 - AVERAGE(C$62:C$63)</f>
        <v>0.39999999999997726</v>
      </c>
      <c r="D38" s="36">
        <f>water_ON!D38 - water_OFF!D38 - AVERAGE(D$62:D$63)</f>
        <v>-5.0000000000011369E-2</v>
      </c>
      <c r="E38" s="36">
        <f>water_ON!E38 - water_OFF!E38 - AVERAGE(E$62:E$63)</f>
        <v>0.15000000000000568</v>
      </c>
      <c r="F38" s="36">
        <f>water_ON!F38 - water_OFF!F38 - AVERAGE(F$62:F$63)</f>
        <v>2.8421709430404007E-14</v>
      </c>
      <c r="G38" s="36">
        <f>water_ON!G38 - water_OFF!G38 - AVERAGE(G$62:G$63)</f>
        <v>0.20000000000001705</v>
      </c>
      <c r="H38" s="36">
        <f>water_ON!H38 - water_OFF!H38 - AVERAGE(H$62:H$63)</f>
        <v>0.19999999999998863</v>
      </c>
      <c r="I38" s="36">
        <f>water_ON!I38 - water_OFF!I38 - AVERAGE(I$62:I$63)</f>
        <v>0.25</v>
      </c>
      <c r="J38" s="36">
        <f>water_ON!J38 - water_OFF!J38 - AVERAGE(J$62:J$63)</f>
        <v>9.9999999999994316E-2</v>
      </c>
      <c r="K38" s="36">
        <f>water_ON!K38 - water_OFF!K38 - AVERAGE(K$62:K$63)</f>
        <v>0</v>
      </c>
      <c r="L38" s="36">
        <f>water_ON!L38 - water_OFF!L38 - AVERAGE(L$62:L$63)</f>
        <v>-4.9999999999982947E-2</v>
      </c>
      <c r="M38" s="36">
        <f>water_ON!M38 - water_OFF!M38 - AVERAGE(M$62:M$63)</f>
        <v>0.20000000000004547</v>
      </c>
      <c r="N38" s="36">
        <f>water_ON!N38 - water_OFF!N38 - AVERAGE(N$62:N$63)</f>
        <v>0.24999999999997158</v>
      </c>
      <c r="O38" s="36">
        <f>water_ON!O38 - water_OFF!O38 - AVERAGE(O$62:O$63)</f>
        <v>0.19999999999998863</v>
      </c>
      <c r="P38" s="36">
        <f>water_ON!P38 - water_OFF!P38 - AVERAGE(P$62:P$63)</f>
        <v>-0.10000000000002274</v>
      </c>
      <c r="Q38" s="36">
        <f>water_ON!Q38 - water_OFF!Q38 - AVERAGE(Q$62:Q$63)</f>
        <v>0.35000000000002274</v>
      </c>
      <c r="R38" s="36">
        <f>water_ON!R38 - water_OFF!R38 - AVERAGE(R$62:R$63)</f>
        <v>5.000000000003979E-2</v>
      </c>
      <c r="S38" s="36">
        <f>water_ON!S38 - water_OFF!S38 - AVERAGE(S$62:S$63)</f>
        <v>0.19999999999998863</v>
      </c>
      <c r="T38" s="36">
        <f>water_ON!T38 - water_OFF!T38 - AVERAGE(T$62:T$63)</f>
        <v>0.10000000000002274</v>
      </c>
      <c r="U38" s="27"/>
      <c r="V38" s="6" t="str">
        <f>IF(water_OFF!V38, (water_ON!V38+500-water_ON!V$64) - (water_OFF!V38+500-water_OFF!V$64) - AVERAGE(V$62:V$63), "")</f>
        <v/>
      </c>
      <c r="W38" s="6" t="str">
        <f>IF(water_OFF!W38, (water_ON!W38+500-water_ON!W$64) - (water_OFF!W38+500-water_OFF!W$64) - AVERAGE(W$62:W$63), "")</f>
        <v/>
      </c>
      <c r="X38" s="6" t="str">
        <f>IF(water_OFF!X38, (water_ON!X38+500-water_ON!X$64) - (water_OFF!X38+500-water_OFF!X$64) - AVERAGE(X$62:X$63), "")</f>
        <v/>
      </c>
      <c r="Y38" s="6" t="str">
        <f>IF(water_OFF!Y38, (water_ON!Y38+500-water_ON!Y$64) - (water_OFF!Y38+500-water_OFF!Y$64) - AVERAGE(Y$62:Y$63), "")</f>
        <v/>
      </c>
      <c r="Z38" s="6" t="str">
        <f>IF(water_OFF!Z38, (water_ON!Z38+500-water_ON!Z$64) - (water_OFF!Z38+500-water_OFF!Z$64) - AVERAGE(Z$62:Z$63), "")</f>
        <v/>
      </c>
      <c r="AA38" s="6" t="str">
        <f>IF(water_OFF!AA38, (water_ON!AA38+500-water_ON!AA$64) - (water_OFF!AA38+500-water_OFF!AA$64) - AVERAGE(AA$62:AA$63), "")</f>
        <v/>
      </c>
      <c r="AB38" s="6" t="str">
        <f>IF(water_OFF!AB38, (water_ON!AB38+500-water_ON!AB$64) - (water_OFF!AB38+500-water_OFF!AB$64) - AVERAGE(AB$62:AB$63), "")</f>
        <v/>
      </c>
      <c r="AC38" s="6" t="str">
        <f>IF(water_OFF!AC38, (water_ON!AC38+500-water_ON!AC$64) - (water_OFF!AC38+500-water_OFF!AC$64) - AVERAGE(AC$62:AC$63), "")</f>
        <v/>
      </c>
      <c r="AD38" s="6" t="str">
        <f>IF(water_OFF!AD38, (water_ON!AD38+500-water_ON!AD$64) - (water_OFF!AD38+500-water_OFF!AD$64) - AVERAGE(AD$62:AD$63), "")</f>
        <v/>
      </c>
      <c r="AE38" s="6" t="str">
        <f>IF(water_OFF!AE38, (water_ON!AE38+500-water_ON!AE$64) - (water_OFF!AE38+500-water_OFF!AE$64) - AVERAGE(AE$62:AE$63), "")</f>
        <v/>
      </c>
      <c r="AF38" s="6" t="str">
        <f>IF(water_OFF!AF38, (water_ON!AF38+500-water_ON!AF$64) - (water_OFF!AF38+500-water_OFF!AF$64) - AVERAGE(AF$62:AF$63), "")</f>
        <v/>
      </c>
      <c r="AG38" s="6" t="str">
        <f>IF(water_OFF!AG38, (water_ON!AG38+500-water_ON!AG$64) - (water_OFF!AG38+500-water_OFF!AG$64) - AVERAGE(AG$62:AG$63), "")</f>
        <v/>
      </c>
      <c r="AH38" s="6" t="str">
        <f>IF(water_OFF!AH38, (water_ON!AH38+500-water_ON!AH$64) - (water_OFF!AH38+500-water_OFF!AH$64) - AVERAGE(AH$62:AH$63), "")</f>
        <v/>
      </c>
      <c r="AI38" s="6" t="str">
        <f>IF(water_OFF!AI38, (water_ON!AI38+500-water_ON!AI$64) - (water_OFF!AI38+500-water_OFF!AI$64) - AVERAGE(AI$62:AI$63), "")</f>
        <v/>
      </c>
      <c r="AJ38" s="6" t="str">
        <f>IF(water_OFF!AJ38, (water_ON!AJ38+500-water_ON!AJ$64) - (water_OFF!AJ38+500-water_OFF!AJ$64) - AVERAGE(AJ$62:AJ$63), "")</f>
        <v/>
      </c>
      <c r="AK38" s="27" t="str">
        <f>IF(water_OFF!AK38, (water_ON!AK38+500-water_ON!AK$64) - (water_OFF!AK38+500-water_OFF!AK$64) - AVERAGE(AK$62:AK$63), "")</f>
        <v/>
      </c>
      <c r="AL38" s="6"/>
      <c r="AM38" s="6"/>
      <c r="AN38" s="6"/>
      <c r="AO38" s="6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>
      <c r="A39" s="18">
        <v>38</v>
      </c>
      <c r="B39" s="36">
        <f>water_ON!B39 - water_OFF!B39 - AVERAGE(B$62:B$63)</f>
        <v>2.8421709430404007E-14</v>
      </c>
      <c r="C39" s="36">
        <f>water_ON!C39 - water_OFF!C39 - AVERAGE(C$62:C$63)</f>
        <v>0.10000000000002274</v>
      </c>
      <c r="D39" s="36">
        <f>water_ON!D39 - water_OFF!D39 - AVERAGE(D$62:D$63)</f>
        <v>-0.14999999999997726</v>
      </c>
      <c r="E39" s="36">
        <f>water_ON!E39 - water_OFF!E39 - AVERAGE(E$62:E$63)</f>
        <v>4.9999999999982947E-2</v>
      </c>
      <c r="F39" s="36">
        <f>water_ON!F39 - water_OFF!F39 - AVERAGE(F$62:F$63)</f>
        <v>-9.9999999999994316E-2</v>
      </c>
      <c r="G39" s="36">
        <f>water_ON!G39 - water_OFF!G39 - AVERAGE(G$62:G$63)</f>
        <v>2.8421709430404007E-14</v>
      </c>
      <c r="H39" s="36">
        <f>water_ON!H39 - water_OFF!H39 - AVERAGE(H$62:H$63)</f>
        <v>9.9999999999965894E-2</v>
      </c>
      <c r="I39" s="36">
        <f>water_ON!I39 - water_OFF!I39 - AVERAGE(I$62:I$63)</f>
        <v>0.25</v>
      </c>
      <c r="J39" s="36">
        <f>water_ON!J39 - water_OFF!J39 - AVERAGE(J$62:J$63)</f>
        <v>-2.8421709430404007E-14</v>
      </c>
      <c r="K39" s="36">
        <f>water_ON!K39 - water_OFF!K39 - AVERAGE(K$62:K$63)</f>
        <v>9.9999999999965894E-2</v>
      </c>
      <c r="L39" s="36">
        <f>water_ON!L39 - water_OFF!L39 - AVERAGE(L$62:L$63)</f>
        <v>-4.9999999999982947E-2</v>
      </c>
      <c r="M39" s="36">
        <f>water_ON!M39 - water_OFF!M39 - AVERAGE(M$62:M$63)</f>
        <v>0.19999999999998863</v>
      </c>
      <c r="N39" s="36">
        <f>water_ON!N39 - water_OFF!N39 - AVERAGE(N$62:N$63)</f>
        <v>0.25000000000002842</v>
      </c>
      <c r="O39" s="36">
        <f>water_ON!O39 - water_OFF!O39 - AVERAGE(O$62:O$63)</f>
        <v>0</v>
      </c>
      <c r="P39" s="36">
        <f>water_ON!P39 - water_OFF!P39 - AVERAGE(P$62:P$63)</f>
        <v>0</v>
      </c>
      <c r="Q39" s="36">
        <f>water_ON!Q39 - water_OFF!Q39 - AVERAGE(Q$62:Q$63)</f>
        <v>5.0000000000011369E-2</v>
      </c>
      <c r="R39" s="36">
        <f>water_ON!R39 - water_OFF!R39 - AVERAGE(R$62:R$63)</f>
        <v>4.9999999999982947E-2</v>
      </c>
      <c r="S39" s="36">
        <f>water_ON!S39 - water_OFF!S39 - AVERAGE(S$62:S$63)</f>
        <v>0.19999999999998863</v>
      </c>
      <c r="T39" s="36">
        <f>water_ON!T39 - water_OFF!T39 - AVERAGE(T$62:T$63)</f>
        <v>0.10000000000002274</v>
      </c>
      <c r="U39" s="27"/>
      <c r="V39" s="6" t="str">
        <f>IF(water_OFF!V39, (water_ON!V39+500-water_ON!V$64) - (water_OFF!V39+500-water_OFF!V$64) - AVERAGE(V$62:V$63), "")</f>
        <v/>
      </c>
      <c r="W39" s="6" t="str">
        <f>IF(water_OFF!W39, (water_ON!W39+500-water_ON!W$64) - (water_OFF!W39+500-water_OFF!W$64) - AVERAGE(W$62:W$63), "")</f>
        <v/>
      </c>
      <c r="X39" s="6" t="str">
        <f>IF(water_OFF!X39, (water_ON!X39+500-water_ON!X$64) - (water_OFF!X39+500-water_OFF!X$64) - AVERAGE(X$62:X$63), "")</f>
        <v/>
      </c>
      <c r="Y39" s="6" t="str">
        <f>IF(water_OFF!Y39, (water_ON!Y39+500-water_ON!Y$64) - (water_OFF!Y39+500-water_OFF!Y$64) - AVERAGE(Y$62:Y$63), "")</f>
        <v/>
      </c>
      <c r="Z39" s="6" t="str">
        <f>IF(water_OFF!Z39, (water_ON!Z39+500-water_ON!Z$64) - (water_OFF!Z39+500-water_OFF!Z$64) - AVERAGE(Z$62:Z$63), "")</f>
        <v/>
      </c>
      <c r="AA39" s="6" t="str">
        <f>IF(water_OFF!AA39, (water_ON!AA39+500-water_ON!AA$64) - (water_OFF!AA39+500-water_OFF!AA$64) - AVERAGE(AA$62:AA$63), "")</f>
        <v/>
      </c>
      <c r="AB39" s="6" t="str">
        <f>IF(water_OFF!AB39, (water_ON!AB39+500-water_ON!AB$64) - (water_OFF!AB39+500-water_OFF!AB$64) - AVERAGE(AB$62:AB$63), "")</f>
        <v/>
      </c>
      <c r="AC39" s="6" t="str">
        <f>IF(water_OFF!AC39, (water_ON!AC39+500-water_ON!AC$64) - (water_OFF!AC39+500-water_OFF!AC$64) - AVERAGE(AC$62:AC$63), "")</f>
        <v/>
      </c>
      <c r="AD39" s="6" t="str">
        <f>IF(water_OFF!AD39, (water_ON!AD39+500-water_ON!AD$64) - (water_OFF!AD39+500-water_OFF!AD$64) - AVERAGE(AD$62:AD$63), "")</f>
        <v/>
      </c>
      <c r="AE39" s="6" t="str">
        <f>IF(water_OFF!AE39, (water_ON!AE39+500-water_ON!AE$64) - (water_OFF!AE39+500-water_OFF!AE$64) - AVERAGE(AE$62:AE$63), "")</f>
        <v/>
      </c>
      <c r="AF39" s="6" t="str">
        <f>IF(water_OFF!AF39, (water_ON!AF39+500-water_ON!AF$64) - (water_OFF!AF39+500-water_OFF!AF$64) - AVERAGE(AF$62:AF$63), "")</f>
        <v/>
      </c>
      <c r="AG39" s="6" t="str">
        <f>IF(water_OFF!AG39, (water_ON!AG39+500-water_ON!AG$64) - (water_OFF!AG39+500-water_OFF!AG$64) - AVERAGE(AG$62:AG$63), "")</f>
        <v/>
      </c>
      <c r="AH39" s="6" t="str">
        <f>IF(water_OFF!AH39, (water_ON!AH39+500-water_ON!AH$64) - (water_OFF!AH39+500-water_OFF!AH$64) - AVERAGE(AH$62:AH$63), "")</f>
        <v/>
      </c>
      <c r="AI39" s="6" t="str">
        <f>IF(water_OFF!AI39, (water_ON!AI39+500-water_ON!AI$64) - (water_OFF!AI39+500-water_OFF!AI$64) - AVERAGE(AI$62:AI$63), "")</f>
        <v/>
      </c>
      <c r="AJ39" s="6" t="str">
        <f>IF(water_OFF!AJ39, (water_ON!AJ39+500-water_ON!AJ$64) - (water_OFF!AJ39+500-water_OFF!AJ$64) - AVERAGE(AJ$62:AJ$63), "")</f>
        <v/>
      </c>
      <c r="AK39" s="27" t="str">
        <f>IF(water_OFF!AK39, (water_ON!AK39+500-water_ON!AK$64) - (water_OFF!AK39+500-water_OFF!AK$64) - AVERAGE(AK$62:AK$63), "")</f>
        <v/>
      </c>
      <c r="AL39" s="6"/>
      <c r="AM39" s="6"/>
      <c r="AN39" s="6"/>
      <c r="AO39" s="6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>
      <c r="A40" s="18">
        <v>39</v>
      </c>
      <c r="B40" s="36">
        <f>water_ON!B40 - water_OFF!B40 - AVERAGE(B$62:B$63)</f>
        <v>9.9999999999994316E-2</v>
      </c>
      <c r="C40" s="36">
        <f>water_ON!C40 - water_OFF!C40 - AVERAGE(C$62:C$63)</f>
        <v>0.10000000000002274</v>
      </c>
      <c r="D40" s="36">
        <f>water_ON!D40 - water_OFF!D40 - AVERAGE(D$62:D$63)</f>
        <v>-5.0000000000011369E-2</v>
      </c>
      <c r="E40" s="36">
        <f>water_ON!E40 - water_OFF!E40 - AVERAGE(E$62:E$63)</f>
        <v>4.9999999999982947E-2</v>
      </c>
      <c r="F40" s="36">
        <f>water_ON!F40 - water_OFF!F40 - AVERAGE(F$62:F$63)</f>
        <v>-9.9999999999994316E-2</v>
      </c>
      <c r="G40" s="36">
        <f>water_ON!G40 - water_OFF!G40 - AVERAGE(G$62:G$63)</f>
        <v>9.9999999999994316E-2</v>
      </c>
      <c r="H40" s="36">
        <f>water_ON!H40 - water_OFF!H40 - AVERAGE(H$62:H$63)</f>
        <v>9.9999999999965894E-2</v>
      </c>
      <c r="I40" s="36">
        <f>water_ON!I40 - water_OFF!I40 - AVERAGE(I$62:I$63)</f>
        <v>5.0000000000011369E-2</v>
      </c>
      <c r="J40" s="36">
        <f>water_ON!J40 - water_OFF!J40 - AVERAGE(J$62:J$63)</f>
        <v>-9.9999999999994316E-2</v>
      </c>
      <c r="K40" s="36">
        <f>water_ON!K40 - water_OFF!K40 - AVERAGE(K$62:K$63)</f>
        <v>0.20000000000004547</v>
      </c>
      <c r="L40" s="36">
        <f>water_ON!L40 - water_OFF!L40 - AVERAGE(L$62:L$63)</f>
        <v>0.45000000000001705</v>
      </c>
      <c r="M40" s="36">
        <f>water_ON!M40 - water_OFF!M40 - AVERAGE(M$62:M$63)</f>
        <v>0.20000000000004547</v>
      </c>
      <c r="N40" s="36">
        <f>water_ON!N40 - water_OFF!N40 - AVERAGE(N$62:N$63)</f>
        <v>0.34999999999999432</v>
      </c>
      <c r="O40" s="36">
        <f>water_ON!O40 - water_OFF!O40 - AVERAGE(O$62:O$63)</f>
        <v>0</v>
      </c>
      <c r="P40" s="36">
        <f>water_ON!P40 - water_OFF!P40 - AVERAGE(P$62:P$63)</f>
        <v>0</v>
      </c>
      <c r="Q40" s="36">
        <f>water_ON!Q40 - water_OFF!Q40 - AVERAGE(Q$62:Q$63)</f>
        <v>2.5500000000000114</v>
      </c>
      <c r="R40" s="36">
        <f>water_ON!R40 - water_OFF!R40 - AVERAGE(R$62:R$63)</f>
        <v>0.85000000000005116</v>
      </c>
      <c r="S40" s="36">
        <f>water_ON!S40 - water_OFF!S40 - AVERAGE(S$62:S$63)</f>
        <v>1</v>
      </c>
      <c r="T40" s="36">
        <f>water_ON!T40 - water_OFF!T40 - AVERAGE(T$62:T$63)</f>
        <v>0.20000000000004547</v>
      </c>
      <c r="U40" s="27"/>
      <c r="V40" s="6" t="str">
        <f>IF(water_OFF!V40, (water_ON!V40+500-water_ON!V$64) - (water_OFF!V40+500-water_OFF!V$64) - AVERAGE(V$62:V$63), "")</f>
        <v/>
      </c>
      <c r="W40" s="6" t="str">
        <f>IF(water_OFF!W40, (water_ON!W40+500-water_ON!W$64) - (water_OFF!W40+500-water_OFF!W$64) - AVERAGE(W$62:W$63), "")</f>
        <v/>
      </c>
      <c r="X40" s="6" t="str">
        <f>IF(water_OFF!X40, (water_ON!X40+500-water_ON!X$64) - (water_OFF!X40+500-water_OFF!X$64) - AVERAGE(X$62:X$63), "")</f>
        <v/>
      </c>
      <c r="Y40" s="6" t="str">
        <f>IF(water_OFF!Y40, (water_ON!Y40+500-water_ON!Y$64) - (water_OFF!Y40+500-water_OFF!Y$64) - AVERAGE(Y$62:Y$63), "")</f>
        <v/>
      </c>
      <c r="Z40" s="6" t="str">
        <f>IF(water_OFF!Z40, (water_ON!Z40+500-water_ON!Z$64) - (water_OFF!Z40+500-water_OFF!Z$64) - AVERAGE(Z$62:Z$63), "")</f>
        <v/>
      </c>
      <c r="AA40" s="6" t="str">
        <f>IF(water_OFF!AA40, (water_ON!AA40+500-water_ON!AA$64) - (water_OFF!AA40+500-water_OFF!AA$64) - AVERAGE(AA$62:AA$63), "")</f>
        <v/>
      </c>
      <c r="AB40" s="6" t="str">
        <f>IF(water_OFF!AB40, (water_ON!AB40+500-water_ON!AB$64) - (water_OFF!AB40+500-water_OFF!AB$64) - AVERAGE(AB$62:AB$63), "")</f>
        <v/>
      </c>
      <c r="AC40" s="6" t="str">
        <f>IF(water_OFF!AC40, (water_ON!AC40+500-water_ON!AC$64) - (water_OFF!AC40+500-water_OFF!AC$64) - AVERAGE(AC$62:AC$63), "")</f>
        <v/>
      </c>
      <c r="AD40" s="6" t="str">
        <f>IF(water_OFF!AD40, (water_ON!AD40+500-water_ON!AD$64) - (water_OFF!AD40+500-water_OFF!AD$64) - AVERAGE(AD$62:AD$63), "")</f>
        <v/>
      </c>
      <c r="AE40" s="6" t="str">
        <f>IF(water_OFF!AE40, (water_ON!AE40+500-water_ON!AE$64) - (water_OFF!AE40+500-water_OFF!AE$64) - AVERAGE(AE$62:AE$63), "")</f>
        <v/>
      </c>
      <c r="AF40" s="6" t="str">
        <f>IF(water_OFF!AF40, (water_ON!AF40+500-water_ON!AF$64) - (water_OFF!AF40+500-water_OFF!AF$64) - AVERAGE(AF$62:AF$63), "")</f>
        <v/>
      </c>
      <c r="AG40" s="6" t="str">
        <f>IF(water_OFF!AG40, (water_ON!AG40+500-water_ON!AG$64) - (water_OFF!AG40+500-water_OFF!AG$64) - AVERAGE(AG$62:AG$63), "")</f>
        <v/>
      </c>
      <c r="AH40" s="6" t="str">
        <f>IF(water_OFF!AH40, (water_ON!AH40+500-water_ON!AH$64) - (water_OFF!AH40+500-water_OFF!AH$64) - AVERAGE(AH$62:AH$63), "")</f>
        <v/>
      </c>
      <c r="AI40" s="6" t="str">
        <f>IF(water_OFF!AI40, (water_ON!AI40+500-water_ON!AI$64) - (water_OFF!AI40+500-water_OFF!AI$64) - AVERAGE(AI$62:AI$63), "")</f>
        <v/>
      </c>
      <c r="AJ40" s="6" t="str">
        <f>IF(water_OFF!AJ40, (water_ON!AJ40+500-water_ON!AJ$64) - (water_OFF!AJ40+500-water_OFF!AJ$64) - AVERAGE(AJ$62:AJ$63), "")</f>
        <v/>
      </c>
      <c r="AK40" s="27" t="str">
        <f>IF(water_OFF!AK40, (water_ON!AK40+500-water_ON!AK$64) - (water_OFF!AK40+500-water_OFF!AK$64) - AVERAGE(AK$62:AK$63), "")</f>
        <v/>
      </c>
      <c r="AL40" s="6"/>
      <c r="AM40" s="6"/>
      <c r="AN40" s="6"/>
      <c r="AO40" s="6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1:65">
      <c r="A41" s="18">
        <v>40</v>
      </c>
      <c r="B41" s="36">
        <f>water_ON!B41 - water_OFF!B41 - AVERAGE(B$62:B$63)</f>
        <v>7.5999999999999943</v>
      </c>
      <c r="C41" s="36">
        <f>water_ON!C41 - water_OFF!C41 - AVERAGE(C$62:C$63)</f>
        <v>3.1999999999999886</v>
      </c>
      <c r="D41" s="36">
        <f>water_ON!D41 - water_OFF!D41 - AVERAGE(D$62:D$63)</f>
        <v>6.5500000000000114</v>
      </c>
      <c r="E41" s="36">
        <f>water_ON!E41 - water_OFF!E41 - AVERAGE(E$62:E$63)</f>
        <v>7.0499999999999829</v>
      </c>
      <c r="F41" s="36">
        <f>water_ON!F41 - water_OFF!F41 - AVERAGE(F$62:F$63)</f>
        <v>4.5999999999999943</v>
      </c>
      <c r="G41" s="36">
        <f>water_ON!G41 - water_OFF!G41 - AVERAGE(G$62:G$63)</f>
        <v>1.9000000000000057</v>
      </c>
      <c r="H41" s="36">
        <f>water_ON!H41 - water_OFF!H41 - AVERAGE(H$62:H$63)</f>
        <v>5.9000000000000341</v>
      </c>
      <c r="I41" s="36">
        <f>water_ON!I41 - water_OFF!I41 - AVERAGE(I$62:I$63)</f>
        <v>9.25</v>
      </c>
      <c r="J41" s="36">
        <f>water_ON!J41 - water_OFF!J41 - AVERAGE(J$62:J$63)</f>
        <v>3.7999999999999829</v>
      </c>
      <c r="K41" s="36">
        <f>water_ON!K41 - water_OFF!K41 - AVERAGE(K$62:K$63)</f>
        <v>6</v>
      </c>
      <c r="L41" s="36">
        <f>water_ON!L41 - water_OFF!L41 - AVERAGE(L$62:L$63)</f>
        <v>4.1500000000000625</v>
      </c>
      <c r="M41" s="36">
        <f>water_ON!M41 - water_OFF!M41 - AVERAGE(M$62:M$63)</f>
        <v>7</v>
      </c>
      <c r="N41" s="36">
        <f>water_ON!N41 - water_OFF!N41 - AVERAGE(N$62:N$63)</f>
        <v>4.2500000000000284</v>
      </c>
      <c r="O41" s="36">
        <f>water_ON!O41 - water_OFF!O41 - AVERAGE(O$62:O$63)</f>
        <v>2.7999999999999545</v>
      </c>
      <c r="P41" s="36">
        <f>water_ON!P41 - water_OFF!P41 - AVERAGE(P$62:P$63)</f>
        <v>3.1000000000000227</v>
      </c>
      <c r="Q41" s="36">
        <f>water_ON!Q41 - water_OFF!Q41 - AVERAGE(Q$62:Q$63)</f>
        <v>3.3500000000000227</v>
      </c>
      <c r="R41" s="36">
        <f>water_ON!R41 - water_OFF!R41 - AVERAGE(R$62:R$63)</f>
        <v>4.1500000000000057</v>
      </c>
      <c r="S41" s="36">
        <f>water_ON!S41 - water_OFF!S41 - AVERAGE(S$62:S$63)</f>
        <v>6.3999999999999773</v>
      </c>
      <c r="T41" s="36">
        <f>water_ON!T41 - water_OFF!T41 - AVERAGE(T$62:T$63)</f>
        <v>3.0999999999999659</v>
      </c>
      <c r="U41" s="27"/>
      <c r="V41" s="6" t="str">
        <f>IF(water_OFF!V41, (water_ON!V41+500-water_ON!V$64) - (water_OFF!V41+500-water_OFF!V$64) - AVERAGE(V$62:V$63), "")</f>
        <v/>
      </c>
      <c r="W41" s="6" t="str">
        <f>IF(water_OFF!W41, (water_ON!W41+500-water_ON!W$64) - (water_OFF!W41+500-water_OFF!W$64) - AVERAGE(W$62:W$63), "")</f>
        <v/>
      </c>
      <c r="X41" s="6" t="str">
        <f>IF(water_OFF!X41, (water_ON!X41+500-water_ON!X$64) - (water_OFF!X41+500-water_OFF!X$64) - AVERAGE(X$62:X$63), "")</f>
        <v/>
      </c>
      <c r="Y41" s="6" t="str">
        <f>IF(water_OFF!Y41, (water_ON!Y41+500-water_ON!Y$64) - (water_OFF!Y41+500-water_OFF!Y$64) - AVERAGE(Y$62:Y$63), "")</f>
        <v/>
      </c>
      <c r="Z41" s="6" t="str">
        <f>IF(water_OFF!Z41, (water_ON!Z41+500-water_ON!Z$64) - (water_OFF!Z41+500-water_OFF!Z$64) - AVERAGE(Z$62:Z$63), "")</f>
        <v/>
      </c>
      <c r="AA41" s="6" t="str">
        <f>IF(water_OFF!AA41, (water_ON!AA41+500-water_ON!AA$64) - (water_OFF!AA41+500-water_OFF!AA$64) - AVERAGE(AA$62:AA$63), "")</f>
        <v/>
      </c>
      <c r="AB41" s="6" t="str">
        <f>IF(water_OFF!AB41, (water_ON!AB41+500-water_ON!AB$64) - (water_OFF!AB41+500-water_OFF!AB$64) - AVERAGE(AB$62:AB$63), "")</f>
        <v/>
      </c>
      <c r="AC41" s="6" t="str">
        <f>IF(water_OFF!AC41, (water_ON!AC41+500-water_ON!AC$64) - (water_OFF!AC41+500-water_OFF!AC$64) - AVERAGE(AC$62:AC$63), "")</f>
        <v/>
      </c>
      <c r="AD41" s="6" t="str">
        <f>IF(water_OFF!AD41, (water_ON!AD41+500-water_ON!AD$64) - (water_OFF!AD41+500-water_OFF!AD$64) - AVERAGE(AD$62:AD$63), "")</f>
        <v/>
      </c>
      <c r="AE41" s="6" t="str">
        <f>IF(water_OFF!AE41, (water_ON!AE41+500-water_ON!AE$64) - (water_OFF!AE41+500-water_OFF!AE$64) - AVERAGE(AE$62:AE$63), "")</f>
        <v/>
      </c>
      <c r="AF41" s="6" t="str">
        <f>IF(water_OFF!AF41, (water_ON!AF41+500-water_ON!AF$64) - (water_OFF!AF41+500-water_OFF!AF$64) - AVERAGE(AF$62:AF$63), "")</f>
        <v/>
      </c>
      <c r="AG41" s="6" t="str">
        <f>IF(water_OFF!AG41, (water_ON!AG41+500-water_ON!AG$64) - (water_OFF!AG41+500-water_OFF!AG$64) - AVERAGE(AG$62:AG$63), "")</f>
        <v/>
      </c>
      <c r="AH41" s="6" t="str">
        <f>IF(water_OFF!AH41, (water_ON!AH41+500-water_ON!AH$64) - (water_OFF!AH41+500-water_OFF!AH$64) - AVERAGE(AH$62:AH$63), "")</f>
        <v/>
      </c>
      <c r="AI41" s="6" t="str">
        <f>IF(water_OFF!AI41, (water_ON!AI41+500-water_ON!AI$64) - (water_OFF!AI41+500-water_OFF!AI$64) - AVERAGE(AI$62:AI$63), "")</f>
        <v/>
      </c>
      <c r="AJ41" s="6" t="str">
        <f>IF(water_OFF!AJ41, (water_ON!AJ41+500-water_ON!AJ$64) - (water_OFF!AJ41+500-water_OFF!AJ$64) - AVERAGE(AJ$62:AJ$63), "")</f>
        <v/>
      </c>
      <c r="AK41" s="27" t="str">
        <f>IF(water_OFF!AK41, (water_ON!AK41+500-water_ON!AK$64) - (water_OFF!AK41+500-water_OFF!AK$64) - AVERAGE(AK$62:AK$63), "")</f>
        <v/>
      </c>
      <c r="AL41" s="6"/>
      <c r="AM41" s="6"/>
      <c r="AN41" s="6"/>
      <c r="AO41" s="46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</row>
    <row r="42" spans="1:65">
      <c r="A42" s="18">
        <v>41</v>
      </c>
      <c r="B42" s="36">
        <f>water_ON!B42 - water_OFF!B42 - AVERAGE(B$62:B$63)</f>
        <v>9.9999999999994316E-2</v>
      </c>
      <c r="C42" s="36">
        <f>water_ON!C42 - water_OFF!C42 - AVERAGE(C$62:C$63)</f>
        <v>9.9999999999965894E-2</v>
      </c>
      <c r="D42" s="36">
        <f>water_ON!D42 - water_OFF!D42 - AVERAGE(D$62:D$63)</f>
        <v>-5.0000000000011369E-2</v>
      </c>
      <c r="E42" s="36">
        <f>water_ON!E42 - water_OFF!E42 - AVERAGE(E$62:E$63)</f>
        <v>4.9999999999982947E-2</v>
      </c>
      <c r="F42" s="36">
        <f>water_ON!F42 - water_OFF!F42 - AVERAGE(F$62:F$63)</f>
        <v>-2.8421709430404007E-14</v>
      </c>
      <c r="G42" s="36">
        <f>water_ON!G42 - water_OFF!G42 - AVERAGE(G$62:G$63)</f>
        <v>-2.8421709430404007E-14</v>
      </c>
      <c r="H42" s="36">
        <f>water_ON!H42 - water_OFF!H42 - AVERAGE(H$62:H$63)</f>
        <v>9.9999999999965894E-2</v>
      </c>
      <c r="I42" s="36">
        <f>water_ON!I42 - water_OFF!I42 - AVERAGE(I$62:I$63)</f>
        <v>-5.0000000000011369E-2</v>
      </c>
      <c r="J42" s="36">
        <f>water_ON!J42 - water_OFF!J42 - AVERAGE(J$62:J$63)</f>
        <v>-2.8421709430404007E-14</v>
      </c>
      <c r="K42" s="36">
        <f>water_ON!K42 - water_OFF!K42 - AVERAGE(K$62:K$63)</f>
        <v>-9.9999999999965894E-2</v>
      </c>
      <c r="L42" s="36">
        <f>water_ON!L42 - water_OFF!L42 - AVERAGE(L$62:L$63)</f>
        <v>-0.14999999999994884</v>
      </c>
      <c r="M42" s="36">
        <f>water_ON!M42 - water_OFF!M42 - AVERAGE(M$62:M$63)</f>
        <v>0.10000000000002274</v>
      </c>
      <c r="N42" s="36">
        <f>water_ON!N42 - water_OFF!N42 - AVERAGE(N$62:N$63)</f>
        <v>0.25000000000002842</v>
      </c>
      <c r="O42" s="36">
        <f>water_ON!O42 - water_OFF!O42 - AVERAGE(O$62:O$63)</f>
        <v>0</v>
      </c>
      <c r="P42" s="36">
        <f>water_ON!P42 - water_OFF!P42 - AVERAGE(P$62:P$63)</f>
        <v>0</v>
      </c>
      <c r="Q42" s="36">
        <f>water_ON!Q42 - water_OFF!Q42 - AVERAGE(Q$62:Q$63)</f>
        <v>-5.0000000000011369E-2</v>
      </c>
      <c r="R42" s="36">
        <f>water_ON!R42 - water_OFF!R42 - AVERAGE(R$62:R$63)</f>
        <v>4.9999999999982947E-2</v>
      </c>
      <c r="S42" s="36">
        <f>water_ON!S42 - water_OFF!S42 - AVERAGE(S$62:S$63)</f>
        <v>0</v>
      </c>
      <c r="T42" s="36">
        <f>water_ON!T42 - water_OFF!T42 - AVERAGE(T$62:T$63)</f>
        <v>0</v>
      </c>
      <c r="U42" s="27"/>
      <c r="V42" s="6" t="str">
        <f>IF(water_OFF!V42, (water_ON!V42+500-water_ON!V$64) - (water_OFF!V42+500-water_OFF!V$64) - AVERAGE(V$62:V$63), "")</f>
        <v/>
      </c>
      <c r="W42" s="6" t="str">
        <f>IF(water_OFF!W42, (water_ON!W42+500-water_ON!W$64) - (water_OFF!W42+500-water_OFF!W$64) - AVERAGE(W$62:W$63), "")</f>
        <v/>
      </c>
      <c r="X42" s="6" t="str">
        <f>IF(water_OFF!X42, (water_ON!X42+500-water_ON!X$64) - (water_OFF!X42+500-water_OFF!X$64) - AVERAGE(X$62:X$63), "")</f>
        <v/>
      </c>
      <c r="Y42" s="6" t="str">
        <f>IF(water_OFF!Y42, (water_ON!Y42+500-water_ON!Y$64) - (water_OFF!Y42+500-water_OFF!Y$64) - AVERAGE(Y$62:Y$63), "")</f>
        <v/>
      </c>
      <c r="Z42" s="6" t="str">
        <f>IF(water_OFF!Z42, (water_ON!Z42+500-water_ON!Z$64) - (water_OFF!Z42+500-water_OFF!Z$64) - AVERAGE(Z$62:Z$63), "")</f>
        <v/>
      </c>
      <c r="AA42" s="6" t="str">
        <f>IF(water_OFF!AA42, (water_ON!AA42+500-water_ON!AA$64) - (water_OFF!AA42+500-water_OFF!AA$64) - AVERAGE(AA$62:AA$63), "")</f>
        <v/>
      </c>
      <c r="AB42" s="6" t="str">
        <f>IF(water_OFF!AB42, (water_ON!AB42+500-water_ON!AB$64) - (water_OFF!AB42+500-water_OFF!AB$64) - AVERAGE(AB$62:AB$63), "")</f>
        <v/>
      </c>
      <c r="AC42" s="6" t="str">
        <f>IF(water_OFF!AC42, (water_ON!AC42+500-water_ON!AC$64) - (water_OFF!AC42+500-water_OFF!AC$64) - AVERAGE(AC$62:AC$63), "")</f>
        <v/>
      </c>
      <c r="AD42" s="6" t="str">
        <f>IF(water_OFF!AD42, (water_ON!AD42+500-water_ON!AD$64) - (water_OFF!AD42+500-water_OFF!AD$64) - AVERAGE(AD$62:AD$63), "")</f>
        <v/>
      </c>
      <c r="AE42" s="6" t="str">
        <f>IF(water_OFF!AE42, (water_ON!AE42+500-water_ON!AE$64) - (water_OFF!AE42+500-water_OFF!AE$64) - AVERAGE(AE$62:AE$63), "")</f>
        <v/>
      </c>
      <c r="AF42" s="6" t="str">
        <f>IF(water_OFF!AF42, (water_ON!AF42+500-water_ON!AF$64) - (water_OFF!AF42+500-water_OFF!AF$64) - AVERAGE(AF$62:AF$63), "")</f>
        <v/>
      </c>
      <c r="AG42" s="6" t="str">
        <f>IF(water_OFF!AG42, (water_ON!AG42+500-water_ON!AG$64) - (water_OFF!AG42+500-water_OFF!AG$64) - AVERAGE(AG$62:AG$63), "")</f>
        <v/>
      </c>
      <c r="AH42" s="6" t="str">
        <f>IF(water_OFF!AH42, (water_ON!AH42+500-water_ON!AH$64) - (water_OFF!AH42+500-water_OFF!AH$64) - AVERAGE(AH$62:AH$63), "")</f>
        <v/>
      </c>
      <c r="AI42" s="6" t="str">
        <f>IF(water_OFF!AI42, (water_ON!AI42+500-water_ON!AI$64) - (water_OFF!AI42+500-water_OFF!AI$64) - AVERAGE(AI$62:AI$63), "")</f>
        <v/>
      </c>
      <c r="AJ42" s="6" t="str">
        <f>IF(water_OFF!AJ42, (water_ON!AJ42+500-water_ON!AJ$64) - (water_OFF!AJ42+500-water_OFF!AJ$64) - AVERAGE(AJ$62:AJ$63), "")</f>
        <v/>
      </c>
      <c r="AK42" s="27" t="str">
        <f>IF(water_OFF!AK42, (water_ON!AK42+500-water_ON!AK$64) - (water_OFF!AK42+500-water_OFF!AK$64) - AVERAGE(AK$62:AK$63), "")</f>
        <v/>
      </c>
      <c r="AL42" s="6"/>
      <c r="AM42" s="6"/>
      <c r="AN42" s="6"/>
      <c r="AO42" s="6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1:65">
      <c r="A43" s="18">
        <v>42</v>
      </c>
      <c r="B43" s="36">
        <f>water_ON!B43 - water_OFF!B43 - AVERAGE(B$62:B$63)</f>
        <v>0.10000000000005116</v>
      </c>
      <c r="C43" s="36">
        <f>water_ON!C43 - water_OFF!C43 - AVERAGE(C$62:C$63)</f>
        <v>0.10000000000002274</v>
      </c>
      <c r="D43" s="36">
        <f>water_ON!D43 - water_OFF!D43 - AVERAGE(D$62:D$63)</f>
        <v>1.4499999999999886</v>
      </c>
      <c r="E43" s="36">
        <f>water_ON!E43 - water_OFF!E43 - AVERAGE(E$62:E$63)</f>
        <v>0.24999999999997158</v>
      </c>
      <c r="F43" s="36">
        <f>water_ON!F43 - water_OFF!F43 - AVERAGE(F$62:F$63)</f>
        <v>9.9999999999994316E-2</v>
      </c>
      <c r="G43" s="36">
        <f>water_ON!G43 - water_OFF!G43 - AVERAGE(G$62:G$63)</f>
        <v>0.70000000000001705</v>
      </c>
      <c r="H43" s="36">
        <f>water_ON!H43 - water_OFF!H43 - AVERAGE(H$62:H$63)</f>
        <v>0.10000000000002274</v>
      </c>
      <c r="I43" s="36">
        <f>water_ON!I43 - water_OFF!I43 - AVERAGE(I$62:I$63)</f>
        <v>4.9999999999954525E-2</v>
      </c>
      <c r="J43" s="36">
        <f>water_ON!J43 - water_OFF!J43 - AVERAGE(J$62:J$63)</f>
        <v>-9.9999999999994316E-2</v>
      </c>
      <c r="K43" s="36">
        <f>water_ON!K43 - water_OFF!K43 - AVERAGE(K$62:K$63)</f>
        <v>0</v>
      </c>
      <c r="L43" s="36">
        <f>water_ON!L43 - water_OFF!L43 - AVERAGE(L$62:L$63)</f>
        <v>-4.9999999999982947E-2</v>
      </c>
      <c r="M43" s="36">
        <f>water_ON!M43 - water_OFF!M43 - AVERAGE(M$62:M$63)</f>
        <v>0.39999999999997726</v>
      </c>
      <c r="N43" s="36">
        <f>water_ON!N43 - water_OFF!N43 - AVERAGE(N$62:N$63)</f>
        <v>0.15000000000000568</v>
      </c>
      <c r="O43" s="36">
        <f>water_ON!O43 - water_OFF!O43 - AVERAGE(O$62:O$63)</f>
        <v>9.9999999999965894E-2</v>
      </c>
      <c r="P43" s="36">
        <f>water_ON!P43 - water_OFF!P43 - AVERAGE(P$62:P$63)</f>
        <v>0</v>
      </c>
      <c r="Q43" s="36">
        <f>water_ON!Q43 - water_OFF!Q43 - AVERAGE(Q$62:Q$63)</f>
        <v>1.8500000000000227</v>
      </c>
      <c r="R43" s="36">
        <f>water_ON!R43 - water_OFF!R43 - AVERAGE(R$62:R$63)</f>
        <v>5.000000000003979E-2</v>
      </c>
      <c r="S43" s="36">
        <f>water_ON!S43 - water_OFF!S43 - AVERAGE(S$62:S$63)</f>
        <v>1.5</v>
      </c>
      <c r="T43" s="36">
        <f>water_ON!T43 - water_OFF!T43 - AVERAGE(T$62:T$63)</f>
        <v>1.8000000000000114</v>
      </c>
      <c r="U43" s="27"/>
      <c r="V43" s="6" t="str">
        <f>IF(water_OFF!V43, (water_ON!V43+500-water_ON!V$64) - (water_OFF!V43+500-water_OFF!V$64) - AVERAGE(V$62:V$63), "")</f>
        <v/>
      </c>
      <c r="W43" s="6" t="str">
        <f>IF(water_OFF!W43, (water_ON!W43+500-water_ON!W$64) - (water_OFF!W43+500-water_OFF!W$64) - AVERAGE(W$62:W$63), "")</f>
        <v/>
      </c>
      <c r="X43" s="6" t="str">
        <f>IF(water_OFF!X43, (water_ON!X43+500-water_ON!X$64) - (water_OFF!X43+500-water_OFF!X$64) - AVERAGE(X$62:X$63), "")</f>
        <v/>
      </c>
      <c r="Y43" s="6" t="str">
        <f>IF(water_OFF!Y43, (water_ON!Y43+500-water_ON!Y$64) - (water_OFF!Y43+500-water_OFF!Y$64) - AVERAGE(Y$62:Y$63), "")</f>
        <v/>
      </c>
      <c r="Z43" s="6" t="str">
        <f>IF(water_OFF!Z43, (water_ON!Z43+500-water_ON!Z$64) - (water_OFF!Z43+500-water_OFF!Z$64) - AVERAGE(Z$62:Z$63), "")</f>
        <v/>
      </c>
      <c r="AA43" s="6" t="str">
        <f>IF(water_OFF!AA43, (water_ON!AA43+500-water_ON!AA$64) - (water_OFF!AA43+500-water_OFF!AA$64) - AVERAGE(AA$62:AA$63), "")</f>
        <v/>
      </c>
      <c r="AB43" s="6" t="str">
        <f>IF(water_OFF!AB43, (water_ON!AB43+500-water_ON!AB$64) - (water_OFF!AB43+500-water_OFF!AB$64) - AVERAGE(AB$62:AB$63), "")</f>
        <v/>
      </c>
      <c r="AC43" s="6" t="str">
        <f>IF(water_OFF!AC43, (water_ON!AC43+500-water_ON!AC$64) - (water_OFF!AC43+500-water_OFF!AC$64) - AVERAGE(AC$62:AC$63), "")</f>
        <v/>
      </c>
      <c r="AD43" s="6" t="str">
        <f>IF(water_OFF!AD43, (water_ON!AD43+500-water_ON!AD$64) - (water_OFF!AD43+500-water_OFF!AD$64) - AVERAGE(AD$62:AD$63), "")</f>
        <v/>
      </c>
      <c r="AE43" s="6" t="str">
        <f>IF(water_OFF!AE43, (water_ON!AE43+500-water_ON!AE$64) - (water_OFF!AE43+500-water_OFF!AE$64) - AVERAGE(AE$62:AE$63), "")</f>
        <v/>
      </c>
      <c r="AF43" s="6" t="str">
        <f>IF(water_OFF!AF43, (water_ON!AF43+500-water_ON!AF$64) - (water_OFF!AF43+500-water_OFF!AF$64) - AVERAGE(AF$62:AF$63), "")</f>
        <v/>
      </c>
      <c r="AG43" s="6" t="str">
        <f>IF(water_OFF!AG43, (water_ON!AG43+500-water_ON!AG$64) - (water_OFF!AG43+500-water_OFF!AG$64) - AVERAGE(AG$62:AG$63), "")</f>
        <v/>
      </c>
      <c r="AH43" s="6" t="str">
        <f>IF(water_OFF!AH43, (water_ON!AH43+500-water_ON!AH$64) - (water_OFF!AH43+500-water_OFF!AH$64) - AVERAGE(AH$62:AH$63), "")</f>
        <v/>
      </c>
      <c r="AI43" s="6" t="str">
        <f>IF(water_OFF!AI43, (water_ON!AI43+500-water_ON!AI$64) - (water_OFF!AI43+500-water_OFF!AI$64) - AVERAGE(AI$62:AI$63), "")</f>
        <v/>
      </c>
      <c r="AJ43" s="6" t="str">
        <f>IF(water_OFF!AJ43, (water_ON!AJ43+500-water_ON!AJ$64) - (water_OFF!AJ43+500-water_OFF!AJ$64) - AVERAGE(AJ$62:AJ$63), "")</f>
        <v/>
      </c>
      <c r="AK43" s="27" t="str">
        <f>IF(water_OFF!AK43, (water_ON!AK43+500-water_ON!AK$64) - (water_OFF!AK43+500-water_OFF!AK$64) - AVERAGE(AK$62:AK$63), "")</f>
        <v/>
      </c>
      <c r="AL43" s="6"/>
      <c r="AM43" s="6"/>
      <c r="AN43" s="6"/>
      <c r="AO43" s="6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</row>
    <row r="44" spans="1:65">
      <c r="A44" s="18">
        <v>43</v>
      </c>
      <c r="B44" s="36">
        <f>water_ON!B44 - water_OFF!B44 - AVERAGE(B$62:B$63)</f>
        <v>-2.8421709430404007E-14</v>
      </c>
      <c r="C44" s="36">
        <f>water_ON!C44 - water_OFF!C44 - AVERAGE(C$62:C$63)</f>
        <v>0</v>
      </c>
      <c r="D44" s="36">
        <f>water_ON!D44 - water_OFF!D44 - AVERAGE(D$62:D$63)</f>
        <v>5.0000000000011369E-2</v>
      </c>
      <c r="E44" s="36">
        <f>water_ON!E44 - water_OFF!E44 - AVERAGE(E$62:E$63)</f>
        <v>0.54999999999998295</v>
      </c>
      <c r="F44" s="36">
        <f>water_ON!F44 - water_OFF!F44 - AVERAGE(F$62:F$63)</f>
        <v>2.8421709430404007E-14</v>
      </c>
      <c r="G44" s="36">
        <f>water_ON!G44 - water_OFF!G44 - AVERAGE(G$62:G$63)</f>
        <v>0.40000000000000568</v>
      </c>
      <c r="H44" s="36">
        <f>water_ON!H44 - water_OFF!H44 - AVERAGE(H$62:H$63)</f>
        <v>9.9999999999965894E-2</v>
      </c>
      <c r="I44" s="36">
        <f>water_ON!I44 - water_OFF!I44 - AVERAGE(I$62:I$63)</f>
        <v>0.14999999999997726</v>
      </c>
      <c r="J44" s="36">
        <f>water_ON!J44 - water_OFF!J44 - AVERAGE(J$62:J$63)</f>
        <v>-9.9999999999994316E-2</v>
      </c>
      <c r="K44" s="36">
        <f>water_ON!K44 - water_OFF!K44 - AVERAGE(K$62:K$63)</f>
        <v>0</v>
      </c>
      <c r="L44" s="36">
        <f>water_ON!L44 - water_OFF!L44 - AVERAGE(L$62:L$63)</f>
        <v>0.35000000000005116</v>
      </c>
      <c r="M44" s="36">
        <f>water_ON!M44 - water_OFF!M44 - AVERAGE(M$62:M$63)</f>
        <v>0.10000000000002274</v>
      </c>
      <c r="N44" s="36">
        <f>water_ON!N44 - water_OFF!N44 - AVERAGE(N$62:N$63)</f>
        <v>4.9999999999982947E-2</v>
      </c>
      <c r="O44" s="36">
        <f>water_ON!O44 - water_OFF!O44 - AVERAGE(O$62:O$63)</f>
        <v>-0.10000000000002274</v>
      </c>
      <c r="P44" s="36">
        <f>water_ON!P44 - water_OFF!P44 - AVERAGE(P$62:P$63)</f>
        <v>0</v>
      </c>
      <c r="Q44" s="36">
        <f>water_ON!Q44 - water_OFF!Q44 - AVERAGE(Q$62:Q$63)</f>
        <v>-4.9999999999954525E-2</v>
      </c>
      <c r="R44" s="36">
        <f>water_ON!R44 - water_OFF!R44 - AVERAGE(R$62:R$63)</f>
        <v>-4.9999999999982947E-2</v>
      </c>
      <c r="S44" s="36">
        <f>water_ON!S44 - water_OFF!S44 - AVERAGE(S$62:S$63)</f>
        <v>0</v>
      </c>
      <c r="T44" s="36">
        <f>water_ON!T44 - water_OFF!T44 - AVERAGE(T$62:T$63)</f>
        <v>0</v>
      </c>
      <c r="U44" s="27"/>
      <c r="V44" s="6" t="str">
        <f>IF(water_OFF!V44, (water_ON!V44+500-water_ON!V$64) - (water_OFF!V44+500-water_OFF!V$64) - AVERAGE(V$62:V$63), "")</f>
        <v/>
      </c>
      <c r="W44" s="6" t="str">
        <f>IF(water_OFF!W44, (water_ON!W44+500-water_ON!W$64) - (water_OFF!W44+500-water_OFF!W$64) - AVERAGE(W$62:W$63), "")</f>
        <v/>
      </c>
      <c r="X44" s="6" t="str">
        <f>IF(water_OFF!X44, (water_ON!X44+500-water_ON!X$64) - (water_OFF!X44+500-water_OFF!X$64) - AVERAGE(X$62:X$63), "")</f>
        <v/>
      </c>
      <c r="Y44" s="6" t="str">
        <f>IF(water_OFF!Y44, (water_ON!Y44+500-water_ON!Y$64) - (water_OFF!Y44+500-water_OFF!Y$64) - AVERAGE(Y$62:Y$63), "")</f>
        <v/>
      </c>
      <c r="Z44" s="6" t="str">
        <f>IF(water_OFF!Z44, (water_ON!Z44+500-water_ON!Z$64) - (water_OFF!Z44+500-water_OFF!Z$64) - AVERAGE(Z$62:Z$63), "")</f>
        <v/>
      </c>
      <c r="AA44" s="6" t="str">
        <f>IF(water_OFF!AA44, (water_ON!AA44+500-water_ON!AA$64) - (water_OFF!AA44+500-water_OFF!AA$64) - AVERAGE(AA$62:AA$63), "")</f>
        <v/>
      </c>
      <c r="AB44" s="6" t="str">
        <f>IF(water_OFF!AB44, (water_ON!AB44+500-water_ON!AB$64) - (water_OFF!AB44+500-water_OFF!AB$64) - AVERAGE(AB$62:AB$63), "")</f>
        <v/>
      </c>
      <c r="AC44" s="6" t="str">
        <f>IF(water_OFF!AC44, (water_ON!AC44+500-water_ON!AC$64) - (water_OFF!AC44+500-water_OFF!AC$64) - AVERAGE(AC$62:AC$63), "")</f>
        <v/>
      </c>
      <c r="AD44" s="6" t="str">
        <f>IF(water_OFF!AD44, (water_ON!AD44+500-water_ON!AD$64) - (water_OFF!AD44+500-water_OFF!AD$64) - AVERAGE(AD$62:AD$63), "")</f>
        <v/>
      </c>
      <c r="AE44" s="6" t="str">
        <f>IF(water_OFF!AE44, (water_ON!AE44+500-water_ON!AE$64) - (water_OFF!AE44+500-water_OFF!AE$64) - AVERAGE(AE$62:AE$63), "")</f>
        <v/>
      </c>
      <c r="AF44" s="6" t="str">
        <f>IF(water_OFF!AF44, (water_ON!AF44+500-water_ON!AF$64) - (water_OFF!AF44+500-water_OFF!AF$64) - AVERAGE(AF$62:AF$63), "")</f>
        <v/>
      </c>
      <c r="AG44" s="6" t="str">
        <f>IF(water_OFF!AG44, (water_ON!AG44+500-water_ON!AG$64) - (water_OFF!AG44+500-water_OFF!AG$64) - AVERAGE(AG$62:AG$63), "")</f>
        <v/>
      </c>
      <c r="AH44" s="6" t="str">
        <f>IF(water_OFF!AH44, (water_ON!AH44+500-water_ON!AH$64) - (water_OFF!AH44+500-water_OFF!AH$64) - AVERAGE(AH$62:AH$63), "")</f>
        <v/>
      </c>
      <c r="AI44" s="6" t="str">
        <f>IF(water_OFF!AI44, (water_ON!AI44+500-water_ON!AI$64) - (water_OFF!AI44+500-water_OFF!AI$64) - AVERAGE(AI$62:AI$63), "")</f>
        <v/>
      </c>
      <c r="AJ44" s="6" t="str">
        <f>IF(water_OFF!AJ44, (water_ON!AJ44+500-water_ON!AJ$64) - (water_OFF!AJ44+500-water_OFF!AJ$64) - AVERAGE(AJ$62:AJ$63), "")</f>
        <v/>
      </c>
      <c r="AK44" s="27" t="str">
        <f>IF(water_OFF!AK44, (water_ON!AK44+500-water_ON!AK$64) - (water_OFF!AK44+500-water_OFF!AK$64) - AVERAGE(AK$62:AK$63), "")</f>
        <v/>
      </c>
      <c r="AL44" s="6"/>
      <c r="AM44" s="6"/>
      <c r="AN44" s="6"/>
      <c r="AO44" s="6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</row>
    <row r="45" spans="1:65">
      <c r="A45" s="18">
        <v>44</v>
      </c>
      <c r="B45" s="36">
        <f>water_ON!B45 - water_OFF!B45 - AVERAGE(B$62:B$63)</f>
        <v>9.9999999999994316E-2</v>
      </c>
      <c r="C45" s="36">
        <f>water_ON!C45 - water_OFF!C45 - AVERAGE(C$62:C$63)</f>
        <v>0.29999999999995453</v>
      </c>
      <c r="D45" s="36">
        <f>water_ON!D45 - water_OFF!D45 - AVERAGE(D$62:D$63)</f>
        <v>-0.15000000000003411</v>
      </c>
      <c r="E45" s="36">
        <f>water_ON!E45 - water_OFF!E45 - AVERAGE(E$62:E$63)</f>
        <v>0.24999999999997158</v>
      </c>
      <c r="F45" s="36">
        <f>water_ON!F45 - water_OFF!F45 - AVERAGE(F$62:F$63)</f>
        <v>9.9999999999994316E-2</v>
      </c>
      <c r="G45" s="36">
        <f>water_ON!G45 - water_OFF!G45 - AVERAGE(G$62:G$63)</f>
        <v>0.19999999999996021</v>
      </c>
      <c r="H45" s="36">
        <f>water_ON!H45 - water_OFF!H45 - AVERAGE(H$62:H$63)</f>
        <v>0.20000000000004547</v>
      </c>
      <c r="I45" s="36">
        <f>water_ON!I45 - water_OFF!I45 - AVERAGE(I$62:I$63)</f>
        <v>0.14999999999997726</v>
      </c>
      <c r="J45" s="36">
        <f>water_ON!J45 - water_OFF!J45 - AVERAGE(J$62:J$63)</f>
        <v>2.8421709430404007E-14</v>
      </c>
      <c r="K45" s="36">
        <f>water_ON!K45 - water_OFF!K45 - AVERAGE(K$62:K$63)</f>
        <v>0.10000000000002274</v>
      </c>
      <c r="L45" s="36">
        <f>water_ON!L45 - water_OFF!L45 - AVERAGE(L$62:L$63)</f>
        <v>4.9999999999982947E-2</v>
      </c>
      <c r="M45" s="36">
        <f>water_ON!M45 - water_OFF!M45 - AVERAGE(M$62:M$63)</f>
        <v>0.20000000000004547</v>
      </c>
      <c r="N45" s="36">
        <f>water_ON!N45 - water_OFF!N45 - AVERAGE(N$62:N$63)</f>
        <v>0.15000000000000568</v>
      </c>
      <c r="O45" s="36">
        <f>water_ON!O45 - water_OFF!O45 - AVERAGE(O$62:O$63)</f>
        <v>-0.10000000000002274</v>
      </c>
      <c r="P45" s="36">
        <f>water_ON!P45 - water_OFF!P45 - AVERAGE(P$62:P$63)</f>
        <v>0</v>
      </c>
      <c r="Q45" s="36">
        <f>water_ON!Q45 - water_OFF!Q45 - AVERAGE(Q$62:Q$63)</f>
        <v>5.0000000000011369E-2</v>
      </c>
      <c r="R45" s="36">
        <f>water_ON!R45 - water_OFF!R45 - AVERAGE(R$62:R$63)</f>
        <v>-4.9999999999982947E-2</v>
      </c>
      <c r="S45" s="36">
        <f>water_ON!S45 - water_OFF!S45 - AVERAGE(S$62:S$63)</f>
        <v>9.9999999999965894E-2</v>
      </c>
      <c r="T45" s="36">
        <f>water_ON!T45 - water_OFF!T45 - AVERAGE(T$62:T$63)</f>
        <v>9.9999999999965894E-2</v>
      </c>
      <c r="U45" s="27"/>
      <c r="V45" s="6" t="str">
        <f>IF(water_OFF!V45, (water_ON!V45+500-water_ON!V$64) - (water_OFF!V45+500-water_OFF!V$64) - AVERAGE(V$62:V$63), "")</f>
        <v/>
      </c>
      <c r="W45" s="6" t="str">
        <f>IF(water_OFF!W45, (water_ON!W45+500-water_ON!W$64) - (water_OFF!W45+500-water_OFF!W$64) - AVERAGE(W$62:W$63), "")</f>
        <v/>
      </c>
      <c r="X45" s="6" t="str">
        <f>IF(water_OFF!X45, (water_ON!X45+500-water_ON!X$64) - (water_OFF!X45+500-water_OFF!X$64) - AVERAGE(X$62:X$63), "")</f>
        <v/>
      </c>
      <c r="Y45" s="6" t="str">
        <f>IF(water_OFF!Y45, (water_ON!Y45+500-water_ON!Y$64) - (water_OFF!Y45+500-water_OFF!Y$64) - AVERAGE(Y$62:Y$63), "")</f>
        <v/>
      </c>
      <c r="Z45" s="6" t="str">
        <f>IF(water_OFF!Z45, (water_ON!Z45+500-water_ON!Z$64) - (water_OFF!Z45+500-water_OFF!Z$64) - AVERAGE(Z$62:Z$63), "")</f>
        <v/>
      </c>
      <c r="AA45" s="6" t="str">
        <f>IF(water_OFF!AA45, (water_ON!AA45+500-water_ON!AA$64) - (water_OFF!AA45+500-water_OFF!AA$64) - AVERAGE(AA$62:AA$63), "")</f>
        <v/>
      </c>
      <c r="AB45" s="6" t="str">
        <f>IF(water_OFF!AB45, (water_ON!AB45+500-water_ON!AB$64) - (water_OFF!AB45+500-water_OFF!AB$64) - AVERAGE(AB$62:AB$63), "")</f>
        <v/>
      </c>
      <c r="AC45" s="6" t="str">
        <f>IF(water_OFF!AC45, (water_ON!AC45+500-water_ON!AC$64) - (water_OFF!AC45+500-water_OFF!AC$64) - AVERAGE(AC$62:AC$63), "")</f>
        <v/>
      </c>
      <c r="AD45" s="6" t="str">
        <f>IF(water_OFF!AD45, (water_ON!AD45+500-water_ON!AD$64) - (water_OFF!AD45+500-water_OFF!AD$64) - AVERAGE(AD$62:AD$63), "")</f>
        <v/>
      </c>
      <c r="AE45" s="6" t="str">
        <f>IF(water_OFF!AE45, (water_ON!AE45+500-water_ON!AE$64) - (water_OFF!AE45+500-water_OFF!AE$64) - AVERAGE(AE$62:AE$63), "")</f>
        <v/>
      </c>
      <c r="AF45" s="6" t="str">
        <f>IF(water_OFF!AF45, (water_ON!AF45+500-water_ON!AF$64) - (water_OFF!AF45+500-water_OFF!AF$64) - AVERAGE(AF$62:AF$63), "")</f>
        <v/>
      </c>
      <c r="AG45" s="6" t="str">
        <f>IF(water_OFF!AG45, (water_ON!AG45+500-water_ON!AG$64) - (water_OFF!AG45+500-water_OFF!AG$64) - AVERAGE(AG$62:AG$63), "")</f>
        <v/>
      </c>
      <c r="AH45" s="6" t="str">
        <f>IF(water_OFF!AH45, (water_ON!AH45+500-water_ON!AH$64) - (water_OFF!AH45+500-water_OFF!AH$64) - AVERAGE(AH$62:AH$63), "")</f>
        <v/>
      </c>
      <c r="AI45" s="6" t="str">
        <f>IF(water_OFF!AI45, (water_ON!AI45+500-water_ON!AI$64) - (water_OFF!AI45+500-water_OFF!AI$64) - AVERAGE(AI$62:AI$63), "")</f>
        <v/>
      </c>
      <c r="AJ45" s="6" t="str">
        <f>IF(water_OFF!AJ45, (water_ON!AJ45+500-water_ON!AJ$64) - (water_OFF!AJ45+500-water_OFF!AJ$64) - AVERAGE(AJ$62:AJ$63), "")</f>
        <v/>
      </c>
      <c r="AK45" s="27" t="str">
        <f>IF(water_OFF!AK45, (water_ON!AK45+500-water_ON!AK$64) - (water_OFF!AK45+500-water_OFF!AK$64) - AVERAGE(AK$62:AK$63), "")</f>
        <v/>
      </c>
      <c r="AL45" s="6"/>
      <c r="AM45" s="6"/>
      <c r="AN45" s="46"/>
      <c r="AO45" s="6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</row>
    <row r="46" spans="1:65">
      <c r="A46" s="18">
        <v>45</v>
      </c>
      <c r="B46" s="36">
        <f>water_ON!B46 - water_OFF!B46 - AVERAGE(B$62:B$63)</f>
        <v>-2.8421709430404007E-14</v>
      </c>
      <c r="C46" s="36">
        <f>water_ON!C46 - water_OFF!C46 - AVERAGE(C$62:C$63)</f>
        <v>0.10000000000002274</v>
      </c>
      <c r="D46" s="36">
        <f>water_ON!D46 - water_OFF!D46 - AVERAGE(D$62:D$63)</f>
        <v>5.0000000000011369E-2</v>
      </c>
      <c r="E46" s="36">
        <f>water_ON!E46 - water_OFF!E46 - AVERAGE(E$62:E$63)</f>
        <v>0.14999999999994884</v>
      </c>
      <c r="F46" s="36">
        <f>water_ON!F46 - water_OFF!F46 - AVERAGE(F$62:F$63)</f>
        <v>-2.8421709430404007E-14</v>
      </c>
      <c r="G46" s="36">
        <f>water_ON!G46 - water_OFF!G46 - AVERAGE(G$62:G$63)</f>
        <v>2.8421709430404007E-14</v>
      </c>
      <c r="H46" s="36">
        <f>water_ON!H46 - water_OFF!H46 - AVERAGE(H$62:H$63)</f>
        <v>0.10000000000002274</v>
      </c>
      <c r="I46" s="36">
        <f>water_ON!I46 - water_OFF!I46 - AVERAGE(I$62:I$63)</f>
        <v>-5.0000000000011369E-2</v>
      </c>
      <c r="J46" s="36">
        <f>water_ON!J46 - water_OFF!J46 - AVERAGE(J$62:J$63)</f>
        <v>-2.8421709430404007E-14</v>
      </c>
      <c r="K46" s="36">
        <f>water_ON!K46 - water_OFF!K46 - AVERAGE(K$62:K$63)</f>
        <v>0</v>
      </c>
      <c r="L46" s="36">
        <f>water_ON!L46 - water_OFF!L46 - AVERAGE(L$62:L$63)</f>
        <v>-0.15000000000000568</v>
      </c>
      <c r="M46" s="36">
        <f>water_ON!M46 - water_OFF!M46 - AVERAGE(M$62:M$63)</f>
        <v>0.10000000000002274</v>
      </c>
      <c r="N46" s="36">
        <f>water_ON!N46 - water_OFF!N46 - AVERAGE(N$62:N$63)</f>
        <v>0.15000000000000568</v>
      </c>
      <c r="O46" s="36">
        <f>water_ON!O46 - water_OFF!O46 - AVERAGE(O$62:O$63)</f>
        <v>0</v>
      </c>
      <c r="P46" s="36">
        <f>water_ON!P46 - water_OFF!P46 - AVERAGE(P$62:P$63)</f>
        <v>0</v>
      </c>
      <c r="Q46" s="36">
        <f>water_ON!Q46 - water_OFF!Q46 - AVERAGE(Q$62:Q$63)</f>
        <v>-0.14999999999997726</v>
      </c>
      <c r="R46" s="36">
        <f>water_ON!R46 - water_OFF!R46 - AVERAGE(R$62:R$63)</f>
        <v>-4.9999999999982947E-2</v>
      </c>
      <c r="S46" s="36">
        <f>water_ON!S46 - water_OFF!S46 - AVERAGE(S$62:S$63)</f>
        <v>0.10000000000002274</v>
      </c>
      <c r="T46" s="36">
        <f>water_ON!T46 - water_OFF!T46 - AVERAGE(T$62:T$63)</f>
        <v>0</v>
      </c>
      <c r="U46" s="27"/>
      <c r="V46" s="6" t="str">
        <f>IF(water_OFF!V46, (water_ON!V46+500-water_ON!V$64) - (water_OFF!V46+500-water_OFF!V$64) - AVERAGE(V$62:V$63), "")</f>
        <v/>
      </c>
      <c r="W46" s="6" t="str">
        <f>IF(water_OFF!W46, (water_ON!W46+500-water_ON!W$64) - (water_OFF!W46+500-water_OFF!W$64) - AVERAGE(W$62:W$63), "")</f>
        <v/>
      </c>
      <c r="X46" s="6" t="str">
        <f>IF(water_OFF!X46, (water_ON!X46+500-water_ON!X$64) - (water_OFF!X46+500-water_OFF!X$64) - AVERAGE(X$62:X$63), "")</f>
        <v/>
      </c>
      <c r="Y46" s="6" t="str">
        <f>IF(water_OFF!Y46, (water_ON!Y46+500-water_ON!Y$64) - (water_OFF!Y46+500-water_OFF!Y$64) - AVERAGE(Y$62:Y$63), "")</f>
        <v/>
      </c>
      <c r="Z46" s="6" t="str">
        <f>IF(water_OFF!Z46, (water_ON!Z46+500-water_ON!Z$64) - (water_OFF!Z46+500-water_OFF!Z$64) - AVERAGE(Z$62:Z$63), "")</f>
        <v/>
      </c>
      <c r="AA46" s="6" t="str">
        <f>IF(water_OFF!AA46, (water_ON!AA46+500-water_ON!AA$64) - (water_OFF!AA46+500-water_OFF!AA$64) - AVERAGE(AA$62:AA$63), "")</f>
        <v/>
      </c>
      <c r="AB46" s="6" t="str">
        <f>IF(water_OFF!AB46, (water_ON!AB46+500-water_ON!AB$64) - (water_OFF!AB46+500-water_OFF!AB$64) - AVERAGE(AB$62:AB$63), "")</f>
        <v/>
      </c>
      <c r="AC46" s="6" t="str">
        <f>IF(water_OFF!AC46, (water_ON!AC46+500-water_ON!AC$64) - (water_OFF!AC46+500-water_OFF!AC$64) - AVERAGE(AC$62:AC$63), "")</f>
        <v/>
      </c>
      <c r="AD46" s="6" t="str">
        <f>IF(water_OFF!AD46, (water_ON!AD46+500-water_ON!AD$64) - (water_OFF!AD46+500-water_OFF!AD$64) - AVERAGE(AD$62:AD$63), "")</f>
        <v/>
      </c>
      <c r="AE46" s="6" t="str">
        <f>IF(water_OFF!AE46, (water_ON!AE46+500-water_ON!AE$64) - (water_OFF!AE46+500-water_OFF!AE$64) - AVERAGE(AE$62:AE$63), "")</f>
        <v/>
      </c>
      <c r="AF46" s="6" t="str">
        <f>IF(water_OFF!AF46, (water_ON!AF46+500-water_ON!AF$64) - (water_OFF!AF46+500-water_OFF!AF$64) - AVERAGE(AF$62:AF$63), "")</f>
        <v/>
      </c>
      <c r="AG46" s="6" t="str">
        <f>IF(water_OFF!AG46, (water_ON!AG46+500-water_ON!AG$64) - (water_OFF!AG46+500-water_OFF!AG$64) - AVERAGE(AG$62:AG$63), "")</f>
        <v/>
      </c>
      <c r="AH46" s="6" t="str">
        <f>IF(water_OFF!AH46, (water_ON!AH46+500-water_ON!AH$64) - (water_OFF!AH46+500-water_OFF!AH$64) - AVERAGE(AH$62:AH$63), "")</f>
        <v/>
      </c>
      <c r="AI46" s="6" t="str">
        <f>IF(water_OFF!AI46, (water_ON!AI46+500-water_ON!AI$64) - (water_OFF!AI46+500-water_OFF!AI$64) - AVERAGE(AI$62:AI$63), "")</f>
        <v/>
      </c>
      <c r="AJ46" s="6" t="str">
        <f>IF(water_OFF!AJ46, (water_ON!AJ46+500-water_ON!AJ$64) - (water_OFF!AJ46+500-water_OFF!AJ$64) - AVERAGE(AJ$62:AJ$63), "")</f>
        <v/>
      </c>
      <c r="AK46" s="27" t="str">
        <f>IF(water_OFF!AK46, (water_ON!AK46+500-water_ON!AK$64) - (water_OFF!AK46+500-water_OFF!AK$64) - AVERAGE(AK$62:AK$63), "")</f>
        <v/>
      </c>
      <c r="AL46" s="6"/>
      <c r="AM46" s="6"/>
      <c r="AN46" s="6"/>
      <c r="AO46" s="6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</row>
    <row r="47" spans="1:65">
      <c r="A47" s="18">
        <v>46</v>
      </c>
      <c r="B47" s="36">
        <f>water_ON!B47 - water_OFF!B47 - AVERAGE(B$62:B$63)</f>
        <v>9.9999999999994316E-2</v>
      </c>
      <c r="C47" s="36">
        <f>water_ON!C47 - water_OFF!C47 - AVERAGE(C$62:C$63)</f>
        <v>0</v>
      </c>
      <c r="D47" s="36">
        <f>water_ON!D47 - water_OFF!D47 - AVERAGE(D$62:D$63)</f>
        <v>-5.0000000000011369E-2</v>
      </c>
      <c r="E47" s="36">
        <f>water_ON!E47 - water_OFF!E47 - AVERAGE(E$62:E$63)</f>
        <v>0.14999999999994884</v>
      </c>
      <c r="F47" s="36">
        <f>water_ON!F47 - water_OFF!F47 - AVERAGE(F$62:F$63)</f>
        <v>9.9999999999994316E-2</v>
      </c>
      <c r="G47" s="36">
        <f>water_ON!G47 - water_OFF!G47 - AVERAGE(G$62:G$63)</f>
        <v>9.9999999999994316E-2</v>
      </c>
      <c r="H47" s="36">
        <f>water_ON!H47 - water_OFF!H47 - AVERAGE(H$62:H$63)</f>
        <v>-0.19999999999998863</v>
      </c>
      <c r="I47" s="36">
        <f>water_ON!I47 - water_OFF!I47 - AVERAGE(I$62:I$63)</f>
        <v>0.15000000000003411</v>
      </c>
      <c r="J47" s="36">
        <f>water_ON!J47 - water_OFF!J47 - AVERAGE(J$62:J$63)</f>
        <v>2.8421709430404007E-14</v>
      </c>
      <c r="K47" s="36">
        <f>water_ON!K47 - water_OFF!K47 - AVERAGE(K$62:K$63)</f>
        <v>0.20000000000004547</v>
      </c>
      <c r="L47" s="36">
        <f>water_ON!L47 - water_OFF!L47 - AVERAGE(L$62:L$63)</f>
        <v>-0.14999999999994884</v>
      </c>
      <c r="M47" s="36">
        <f>water_ON!M47 - water_OFF!M47 - AVERAGE(M$62:M$63)</f>
        <v>0.10000000000002274</v>
      </c>
      <c r="N47" s="36">
        <f>water_ON!N47 - water_OFF!N47 - AVERAGE(N$62:N$63)</f>
        <v>0.34999999999999432</v>
      </c>
      <c r="O47" s="36">
        <f>water_ON!O47 - water_OFF!O47 - AVERAGE(O$62:O$63)</f>
        <v>9.9999999999965894E-2</v>
      </c>
      <c r="P47" s="36">
        <f>water_ON!P47 - water_OFF!P47 - AVERAGE(P$62:P$63)</f>
        <v>0</v>
      </c>
      <c r="Q47" s="36">
        <f>water_ON!Q47 - water_OFF!Q47 - AVERAGE(Q$62:Q$63)</f>
        <v>-0.14999999999997726</v>
      </c>
      <c r="R47" s="36">
        <f>water_ON!R47 - water_OFF!R47 - AVERAGE(R$62:R$63)</f>
        <v>0.24999999999997158</v>
      </c>
      <c r="S47" s="36">
        <f>water_ON!S47 - water_OFF!S47 - AVERAGE(S$62:S$63)</f>
        <v>0.5</v>
      </c>
      <c r="T47" s="36">
        <f>water_ON!T47 - water_OFF!T47 - AVERAGE(T$62:T$63)</f>
        <v>0.19999999999998863</v>
      </c>
      <c r="U47" s="27"/>
      <c r="V47" s="6" t="str">
        <f>IF(water_OFF!V47, (water_ON!V47+500-water_ON!V$64) - (water_OFF!V47+500-water_OFF!V$64) - AVERAGE(V$62:V$63), "")</f>
        <v/>
      </c>
      <c r="W47" s="6" t="str">
        <f>IF(water_OFF!W47, (water_ON!W47+500-water_ON!W$64) - (water_OFF!W47+500-water_OFF!W$64) - AVERAGE(W$62:W$63), "")</f>
        <v/>
      </c>
      <c r="X47" s="6" t="str">
        <f>IF(water_OFF!X47, (water_ON!X47+500-water_ON!X$64) - (water_OFF!X47+500-water_OFF!X$64) - AVERAGE(X$62:X$63), "")</f>
        <v/>
      </c>
      <c r="Y47" s="6" t="str">
        <f>IF(water_OFF!Y47, (water_ON!Y47+500-water_ON!Y$64) - (water_OFF!Y47+500-water_OFF!Y$64) - AVERAGE(Y$62:Y$63), "")</f>
        <v/>
      </c>
      <c r="Z47" s="6" t="str">
        <f>IF(water_OFF!Z47, (water_ON!Z47+500-water_ON!Z$64) - (water_OFF!Z47+500-water_OFF!Z$64) - AVERAGE(Z$62:Z$63), "")</f>
        <v/>
      </c>
      <c r="AA47" s="6" t="str">
        <f>IF(water_OFF!AA47, (water_ON!AA47+500-water_ON!AA$64) - (water_OFF!AA47+500-water_OFF!AA$64) - AVERAGE(AA$62:AA$63), "")</f>
        <v/>
      </c>
      <c r="AB47" s="6" t="str">
        <f>IF(water_OFF!AB47, (water_ON!AB47+500-water_ON!AB$64) - (water_OFF!AB47+500-water_OFF!AB$64) - AVERAGE(AB$62:AB$63), "")</f>
        <v/>
      </c>
      <c r="AC47" s="6" t="str">
        <f>IF(water_OFF!AC47, (water_ON!AC47+500-water_ON!AC$64) - (water_OFF!AC47+500-water_OFF!AC$64) - AVERAGE(AC$62:AC$63), "")</f>
        <v/>
      </c>
      <c r="AD47" s="6" t="str">
        <f>IF(water_OFF!AD47, (water_ON!AD47+500-water_ON!AD$64) - (water_OFF!AD47+500-water_OFF!AD$64) - AVERAGE(AD$62:AD$63), "")</f>
        <v/>
      </c>
      <c r="AE47" s="6" t="str">
        <f>IF(water_OFF!AE47, (water_ON!AE47+500-water_ON!AE$64) - (water_OFF!AE47+500-water_OFF!AE$64) - AVERAGE(AE$62:AE$63), "")</f>
        <v/>
      </c>
      <c r="AF47" s="6" t="str">
        <f>IF(water_OFF!AF47, (water_ON!AF47+500-water_ON!AF$64) - (water_OFF!AF47+500-water_OFF!AF$64) - AVERAGE(AF$62:AF$63), "")</f>
        <v/>
      </c>
      <c r="AG47" s="6" t="str">
        <f>IF(water_OFF!AG47, (water_ON!AG47+500-water_ON!AG$64) - (water_OFF!AG47+500-water_OFF!AG$64) - AVERAGE(AG$62:AG$63), "")</f>
        <v/>
      </c>
      <c r="AH47" s="6" t="str">
        <f>IF(water_OFF!AH47, (water_ON!AH47+500-water_ON!AH$64) - (water_OFF!AH47+500-water_OFF!AH$64) - AVERAGE(AH$62:AH$63), "")</f>
        <v/>
      </c>
      <c r="AI47" s="6" t="str">
        <f>IF(water_OFF!AI47, (water_ON!AI47+500-water_ON!AI$64) - (water_OFF!AI47+500-water_OFF!AI$64) - AVERAGE(AI$62:AI$63), "")</f>
        <v/>
      </c>
      <c r="AJ47" s="6" t="str">
        <f>IF(water_OFF!AJ47, (water_ON!AJ47+500-water_ON!AJ$64) - (water_OFF!AJ47+500-water_OFF!AJ$64) - AVERAGE(AJ$62:AJ$63), "")</f>
        <v/>
      </c>
      <c r="AK47" s="27" t="str">
        <f>IF(water_OFF!AK47, (water_ON!AK47+500-water_ON!AK$64) - (water_OFF!AK47+500-water_OFF!AK$64) - AVERAGE(AK$62:AK$63), "")</f>
        <v/>
      </c>
      <c r="AL47" s="6"/>
      <c r="AM47" s="6"/>
      <c r="AN47" s="6"/>
      <c r="AO47" s="6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</row>
    <row r="48" spans="1:65">
      <c r="A48" s="18">
        <v>47</v>
      </c>
      <c r="B48" s="36">
        <f>water_ON!B48 - water_OFF!B48 - AVERAGE(B$62:B$63)</f>
        <v>1.2000000000000171</v>
      </c>
      <c r="C48" s="36">
        <f>water_ON!C48 - water_OFF!C48 - AVERAGE(C$62:C$63)</f>
        <v>1.1999999999999886</v>
      </c>
      <c r="D48" s="36">
        <f>water_ON!D48 - water_OFF!D48 - AVERAGE(D$62:D$63)</f>
        <v>0.64999999999997726</v>
      </c>
      <c r="E48" s="36">
        <f>water_ON!E48 - water_OFF!E48 - AVERAGE(E$62:E$63)</f>
        <v>1.3499999999999943</v>
      </c>
      <c r="F48" s="36">
        <f>water_ON!F48 - water_OFF!F48 - AVERAGE(F$62:F$63)</f>
        <v>0.30000000000003979</v>
      </c>
      <c r="G48" s="36">
        <f>water_ON!G48 - water_OFF!G48 - AVERAGE(G$62:G$63)</f>
        <v>1.2000000000000171</v>
      </c>
      <c r="H48" s="36">
        <f>water_ON!H48 - water_OFF!H48 - AVERAGE(H$62:H$63)</f>
        <v>1.3000000000000114</v>
      </c>
      <c r="I48" s="36">
        <f>water_ON!I48 - water_OFF!I48 - AVERAGE(I$62:I$63)</f>
        <v>0.25</v>
      </c>
      <c r="J48" s="36">
        <f>water_ON!J48 - water_OFF!J48 - AVERAGE(J$62:J$63)</f>
        <v>0.49999999999997158</v>
      </c>
      <c r="K48" s="36">
        <f>water_ON!K48 - water_OFF!K48 - AVERAGE(K$62:K$63)</f>
        <v>1.6999999999999886</v>
      </c>
      <c r="L48" s="36">
        <f>water_ON!L48 - water_OFF!L48 - AVERAGE(L$62:L$63)</f>
        <v>0.34999999999999432</v>
      </c>
      <c r="M48" s="36">
        <f>water_ON!M48 - water_OFF!M48 - AVERAGE(M$62:M$63)</f>
        <v>1.1000000000000227</v>
      </c>
      <c r="N48" s="36">
        <f>water_ON!N48 - water_OFF!N48 - AVERAGE(N$62:N$63)</f>
        <v>2.5500000000000398</v>
      </c>
      <c r="O48" s="36">
        <f>water_ON!O48 - water_OFF!O48 - AVERAGE(O$62:O$63)</f>
        <v>4.2999999999999545</v>
      </c>
      <c r="P48" s="36">
        <f>water_ON!P48 - water_OFF!P48 - AVERAGE(P$62:P$63)</f>
        <v>1.5</v>
      </c>
      <c r="Q48" s="36">
        <f>water_ON!Q48 - water_OFF!Q48 - AVERAGE(Q$62:Q$63)</f>
        <v>1.8500000000000227</v>
      </c>
      <c r="R48" s="36">
        <f>water_ON!R48 - water_OFF!R48 - AVERAGE(R$62:R$63)</f>
        <v>2.9500000000000171</v>
      </c>
      <c r="S48" s="36">
        <f>water_ON!S48 - water_OFF!S48 - AVERAGE(S$62:S$63)</f>
        <v>1.2000000000000455</v>
      </c>
      <c r="T48" s="36">
        <f>water_ON!T48 - water_OFF!T48 - AVERAGE(T$62:T$63)</f>
        <v>1.3000000000000114</v>
      </c>
      <c r="U48" s="27"/>
      <c r="V48" s="6" t="str">
        <f>IF(water_OFF!V48, (water_ON!V48+500-water_ON!V$64) - (water_OFF!V48+500-water_OFF!V$64) - AVERAGE(V$62:V$63), "")</f>
        <v/>
      </c>
      <c r="W48" s="6" t="str">
        <f>IF(water_OFF!W48, (water_ON!W48+500-water_ON!W$64) - (water_OFF!W48+500-water_OFF!W$64) - AVERAGE(W$62:W$63), "")</f>
        <v/>
      </c>
      <c r="X48" s="6" t="str">
        <f>IF(water_OFF!X48, (water_ON!X48+500-water_ON!X$64) - (water_OFF!X48+500-water_OFF!X$64) - AVERAGE(X$62:X$63), "")</f>
        <v/>
      </c>
      <c r="Y48" s="6" t="str">
        <f>IF(water_OFF!Y48, (water_ON!Y48+500-water_ON!Y$64) - (water_OFF!Y48+500-water_OFF!Y$64) - AVERAGE(Y$62:Y$63), "")</f>
        <v/>
      </c>
      <c r="Z48" s="6" t="str">
        <f>IF(water_OFF!Z48, (water_ON!Z48+500-water_ON!Z$64) - (water_OFF!Z48+500-water_OFF!Z$64) - AVERAGE(Z$62:Z$63), "")</f>
        <v/>
      </c>
      <c r="AA48" s="6" t="str">
        <f>IF(water_OFF!AA48, (water_ON!AA48+500-water_ON!AA$64) - (water_OFF!AA48+500-water_OFF!AA$64) - AVERAGE(AA$62:AA$63), "")</f>
        <v/>
      </c>
      <c r="AB48" s="6" t="str">
        <f>IF(water_OFF!AB48, (water_ON!AB48+500-water_ON!AB$64) - (water_OFF!AB48+500-water_OFF!AB$64) - AVERAGE(AB$62:AB$63), "")</f>
        <v/>
      </c>
      <c r="AC48" s="6" t="str">
        <f>IF(water_OFF!AC48, (water_ON!AC48+500-water_ON!AC$64) - (water_OFF!AC48+500-water_OFF!AC$64) - AVERAGE(AC$62:AC$63), "")</f>
        <v/>
      </c>
      <c r="AD48" s="6" t="str">
        <f>IF(water_OFF!AD48, (water_ON!AD48+500-water_ON!AD$64) - (water_OFF!AD48+500-water_OFF!AD$64) - AVERAGE(AD$62:AD$63), "")</f>
        <v/>
      </c>
      <c r="AE48" s="6" t="str">
        <f>IF(water_OFF!AE48, (water_ON!AE48+500-water_ON!AE$64) - (water_OFF!AE48+500-water_OFF!AE$64) - AVERAGE(AE$62:AE$63), "")</f>
        <v/>
      </c>
      <c r="AF48" s="6" t="str">
        <f>IF(water_OFF!AF48, (water_ON!AF48+500-water_ON!AF$64) - (water_OFF!AF48+500-water_OFF!AF$64) - AVERAGE(AF$62:AF$63), "")</f>
        <v/>
      </c>
      <c r="AG48" s="6" t="str">
        <f>IF(water_OFF!AG48, (water_ON!AG48+500-water_ON!AG$64) - (water_OFF!AG48+500-water_OFF!AG$64) - AVERAGE(AG$62:AG$63), "")</f>
        <v/>
      </c>
      <c r="AH48" s="6" t="str">
        <f>IF(water_OFF!AH48, (water_ON!AH48+500-water_ON!AH$64) - (water_OFF!AH48+500-water_OFF!AH$64) - AVERAGE(AH$62:AH$63), "")</f>
        <v/>
      </c>
      <c r="AI48" s="6" t="str">
        <f>IF(water_OFF!AI48, (water_ON!AI48+500-water_ON!AI$64) - (water_OFF!AI48+500-water_OFF!AI$64) - AVERAGE(AI$62:AI$63), "")</f>
        <v/>
      </c>
      <c r="AJ48" s="6" t="str">
        <f>IF(water_OFF!AJ48, (water_ON!AJ48+500-water_ON!AJ$64) - (water_OFF!AJ48+500-water_OFF!AJ$64) - AVERAGE(AJ$62:AJ$63), "")</f>
        <v/>
      </c>
      <c r="AK48" s="27" t="str">
        <f>IF(water_OFF!AK48, (water_ON!AK48+500-water_ON!AK$64) - (water_OFF!AK48+500-water_OFF!AK$64) - AVERAGE(AK$62:AK$63), "")</f>
        <v/>
      </c>
      <c r="AL48" s="6"/>
      <c r="AM48" s="6"/>
      <c r="AN48" s="6"/>
      <c r="AO48" s="6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</row>
    <row r="49" spans="1:66">
      <c r="A49" s="18">
        <v>48</v>
      </c>
      <c r="B49" s="36">
        <f>water_ON!B49 - water_OFF!B49 - AVERAGE(B$62:B$63)</f>
        <v>0.29999999999998295</v>
      </c>
      <c r="C49" s="36">
        <f>water_ON!C49 - water_OFF!C49 - AVERAGE(C$62:C$63)</f>
        <v>0.10000000000002274</v>
      </c>
      <c r="D49" s="36">
        <f>water_ON!D49 - water_OFF!D49 - AVERAGE(D$62:D$63)</f>
        <v>0.35000000000002274</v>
      </c>
      <c r="E49" s="36">
        <f>water_ON!E49 - water_OFF!E49 - AVERAGE(E$62:E$63)</f>
        <v>0.24999999999997158</v>
      </c>
      <c r="F49" s="36">
        <f>water_ON!F49 - water_OFF!F49 - AVERAGE(F$62:F$63)</f>
        <v>9.9999999999994316E-2</v>
      </c>
      <c r="G49" s="36">
        <f>water_ON!G49 - water_OFF!G49 - AVERAGE(G$62:G$63)</f>
        <v>2.8421709430404007E-14</v>
      </c>
      <c r="H49" s="36">
        <f>water_ON!H49 - water_OFF!H49 - AVERAGE(H$62:H$63)</f>
        <v>0.60000000000002274</v>
      </c>
      <c r="I49" s="36">
        <f>water_ON!I49 - water_OFF!I49 - AVERAGE(I$62:I$63)</f>
        <v>0.54999999999995453</v>
      </c>
      <c r="J49" s="36">
        <f>water_ON!J49 - water_OFF!J49 - AVERAGE(J$62:J$63)</f>
        <v>0.49999999999997158</v>
      </c>
      <c r="K49" s="36">
        <f>water_ON!K49 - water_OFF!K49 - AVERAGE(K$62:K$63)</f>
        <v>0.39999999999997726</v>
      </c>
      <c r="L49" s="36">
        <f>water_ON!L49 - water_OFF!L49 - AVERAGE(L$62:L$63)</f>
        <v>2.8500000000000512</v>
      </c>
      <c r="M49" s="36">
        <f>water_ON!M49 - water_OFF!M49 - AVERAGE(M$62:M$63)</f>
        <v>0.10000000000002274</v>
      </c>
      <c r="N49" s="36">
        <f>water_ON!N49 - water_OFF!N49 - AVERAGE(N$62:N$63)</f>
        <v>2.9500000000000171</v>
      </c>
      <c r="O49" s="36">
        <f>water_ON!O49 - water_OFF!O49 - AVERAGE(O$62:O$63)</f>
        <v>2.3000000000000114</v>
      </c>
      <c r="P49" s="36">
        <f>water_ON!P49 - water_OFF!P49 - AVERAGE(P$62:P$63)</f>
        <v>1.3000000000000114</v>
      </c>
      <c r="Q49" s="36">
        <f>water_ON!Q49 - water_OFF!Q49 - AVERAGE(Q$62:Q$63)</f>
        <v>3.2500000000000568</v>
      </c>
      <c r="R49" s="36">
        <f>water_ON!R49 - water_OFF!R49 - AVERAGE(R$62:R$63)</f>
        <v>2.3500000000000512</v>
      </c>
      <c r="S49" s="36">
        <f>water_ON!S49 - water_OFF!S49 - AVERAGE(S$62:S$63)</f>
        <v>5</v>
      </c>
      <c r="T49" s="36">
        <f>water_ON!T49 - water_OFF!T49 - AVERAGE(T$62:T$63)</f>
        <v>4.1000000000000227</v>
      </c>
      <c r="U49" s="27"/>
      <c r="V49" s="6" t="str">
        <f>IF(water_OFF!V49, (water_ON!V49+500-water_ON!V$64) - (water_OFF!V49+500-water_OFF!V$64) - AVERAGE(V$62:V$63), "")</f>
        <v/>
      </c>
      <c r="W49" s="6" t="str">
        <f>IF(water_OFF!W49, (water_ON!W49+500-water_ON!W$64) - (water_OFF!W49+500-water_OFF!W$64) - AVERAGE(W$62:W$63), "")</f>
        <v/>
      </c>
      <c r="X49" s="6" t="str">
        <f>IF(water_OFF!X49, (water_ON!X49+500-water_ON!X$64) - (water_OFF!X49+500-water_OFF!X$64) - AVERAGE(X$62:X$63), "")</f>
        <v/>
      </c>
      <c r="Y49" s="6" t="str">
        <f>IF(water_OFF!Y49, (water_ON!Y49+500-water_ON!Y$64) - (water_OFF!Y49+500-water_OFF!Y$64) - AVERAGE(Y$62:Y$63), "")</f>
        <v/>
      </c>
      <c r="Z49" s="6" t="str">
        <f>IF(water_OFF!Z49, (water_ON!Z49+500-water_ON!Z$64) - (water_OFF!Z49+500-water_OFF!Z$64) - AVERAGE(Z$62:Z$63), "")</f>
        <v/>
      </c>
      <c r="AA49" s="6" t="str">
        <f>IF(water_OFF!AA49, (water_ON!AA49+500-water_ON!AA$64) - (water_OFF!AA49+500-water_OFF!AA$64) - AVERAGE(AA$62:AA$63), "")</f>
        <v/>
      </c>
      <c r="AB49" s="6" t="str">
        <f>IF(water_OFF!AB49, (water_ON!AB49+500-water_ON!AB$64) - (water_OFF!AB49+500-water_OFF!AB$64) - AVERAGE(AB$62:AB$63), "")</f>
        <v/>
      </c>
      <c r="AC49" s="6" t="str">
        <f>IF(water_OFF!AC49, (water_ON!AC49+500-water_ON!AC$64) - (water_OFF!AC49+500-water_OFF!AC$64) - AVERAGE(AC$62:AC$63), "")</f>
        <v/>
      </c>
      <c r="AD49" s="6" t="str">
        <f>IF(water_OFF!AD49, (water_ON!AD49+500-water_ON!AD$64) - (water_OFF!AD49+500-water_OFF!AD$64) - AVERAGE(AD$62:AD$63), "")</f>
        <v/>
      </c>
      <c r="AE49" s="6" t="str">
        <f>IF(water_OFF!AE49, (water_ON!AE49+500-water_ON!AE$64) - (water_OFF!AE49+500-water_OFF!AE$64) - AVERAGE(AE$62:AE$63), "")</f>
        <v/>
      </c>
      <c r="AF49" s="6" t="str">
        <f>IF(water_OFF!AF49, (water_ON!AF49+500-water_ON!AF$64) - (water_OFF!AF49+500-water_OFF!AF$64) - AVERAGE(AF$62:AF$63), "")</f>
        <v/>
      </c>
      <c r="AG49" s="6" t="str">
        <f>IF(water_OFF!AG49, (water_ON!AG49+500-water_ON!AG$64) - (water_OFF!AG49+500-water_OFF!AG$64) - AVERAGE(AG$62:AG$63), "")</f>
        <v/>
      </c>
      <c r="AH49" s="6" t="str">
        <f>IF(water_OFF!AH49, (water_ON!AH49+500-water_ON!AH$64) - (water_OFF!AH49+500-water_OFF!AH$64) - AVERAGE(AH$62:AH$63), "")</f>
        <v/>
      </c>
      <c r="AI49" s="6" t="str">
        <f>IF(water_OFF!AI49, (water_ON!AI49+500-water_ON!AI$64) - (water_OFF!AI49+500-water_OFF!AI$64) - AVERAGE(AI$62:AI$63), "")</f>
        <v/>
      </c>
      <c r="AJ49" s="6" t="str">
        <f>IF(water_OFF!AJ49, (water_ON!AJ49+500-water_ON!AJ$64) - (water_OFF!AJ49+500-water_OFF!AJ$64) - AVERAGE(AJ$62:AJ$63), "")</f>
        <v/>
      </c>
      <c r="AK49" s="27" t="str">
        <f>IF(water_OFF!AK49, (water_ON!AK49+500-water_ON!AK$64) - (water_OFF!AK49+500-water_OFF!AK$64) - AVERAGE(AK$62:AK$63), "")</f>
        <v/>
      </c>
      <c r="AL49" s="6"/>
      <c r="AM49" s="6"/>
      <c r="AN49" s="6"/>
      <c r="AO49" s="6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</row>
    <row r="50" spans="1:66">
      <c r="A50" s="18">
        <v>49</v>
      </c>
      <c r="B50" s="36">
        <f>water_ON!B50 - water_OFF!B50 - AVERAGE(B$62:B$63)</f>
        <v>3.7999999999999829</v>
      </c>
      <c r="C50" s="36">
        <f>water_ON!C50 - water_OFF!C50 - AVERAGE(C$62:C$63)</f>
        <v>0.10000000000002274</v>
      </c>
      <c r="D50" s="36">
        <f>water_ON!D50 - water_OFF!D50 - AVERAGE(D$62:D$63)</f>
        <v>4.9999999999954525E-2</v>
      </c>
      <c r="E50" s="36">
        <f>water_ON!E50 - water_OFF!E50 - AVERAGE(E$62:E$63)</f>
        <v>0.14999999999994884</v>
      </c>
      <c r="F50" s="36">
        <f>water_ON!F50 - water_OFF!F50 - AVERAGE(F$62:F$63)</f>
        <v>1.2999999999999829</v>
      </c>
      <c r="G50" s="36">
        <f>water_ON!G50 - water_OFF!G50 - AVERAGE(G$62:G$63)</f>
        <v>2.4000000000000057</v>
      </c>
      <c r="H50" s="36">
        <f>water_ON!H50 - water_OFF!H50 - AVERAGE(H$62:H$63)</f>
        <v>2.5</v>
      </c>
      <c r="I50" s="36">
        <f>water_ON!I50 - water_OFF!I50 - AVERAGE(I$62:I$63)</f>
        <v>0.94999999999998863</v>
      </c>
      <c r="J50" s="36">
        <f>water_ON!J50 - water_OFF!J50 - AVERAGE(J$62:J$63)</f>
        <v>-2.8421709430404007E-14</v>
      </c>
      <c r="K50" s="36">
        <f>water_ON!K50 - water_OFF!K50 - AVERAGE(K$62:K$63)</f>
        <v>0</v>
      </c>
      <c r="L50" s="36">
        <f>water_ON!L50 - water_OFF!L50 - AVERAGE(L$62:L$63)</f>
        <v>-4.9999999999982947E-2</v>
      </c>
      <c r="M50" s="36">
        <f>water_ON!M50 - water_OFF!M50 - AVERAGE(M$62:M$63)</f>
        <v>0.20000000000004547</v>
      </c>
      <c r="N50" s="36">
        <f>water_ON!N50 - water_OFF!N50 - AVERAGE(N$62:N$63)</f>
        <v>6.1500000000000057</v>
      </c>
      <c r="O50" s="36">
        <f>water_ON!O50 - water_OFF!O50 - AVERAGE(O$62:O$63)</f>
        <v>1.1999999999999886</v>
      </c>
      <c r="P50" s="36">
        <f>water_ON!P50 - water_OFF!P50 - AVERAGE(P$62:P$63)</f>
        <v>4.1000000000000227</v>
      </c>
      <c r="Q50" s="36">
        <f>water_ON!Q50 - water_OFF!Q50 - AVERAGE(Q$62:Q$63)</f>
        <v>1.8500000000000227</v>
      </c>
      <c r="R50" s="36">
        <f>water_ON!R50 - water_OFF!R50 - AVERAGE(R$62:R$63)</f>
        <v>4.9999999999982947E-2</v>
      </c>
      <c r="S50" s="36">
        <f>water_ON!S50 - water_OFF!S50 - AVERAGE(S$62:S$63)</f>
        <v>2.3999999999999773</v>
      </c>
      <c r="T50" s="36">
        <f>water_ON!T50 - water_OFF!T50 - AVERAGE(T$62:T$63)</f>
        <v>5.8000000000000114</v>
      </c>
      <c r="U50" s="27"/>
      <c r="V50" s="6" t="str">
        <f>IF(water_OFF!V50, (water_ON!V50+500-water_ON!V$64) - (water_OFF!V50+500-water_OFF!V$64) - AVERAGE(V$62:V$63), "")</f>
        <v/>
      </c>
      <c r="W50" s="6" t="str">
        <f>IF(water_OFF!W50, (water_ON!W50+500-water_ON!W$64) - (water_OFF!W50+500-water_OFF!W$64) - AVERAGE(W$62:W$63), "")</f>
        <v/>
      </c>
      <c r="X50" s="6" t="str">
        <f>IF(water_OFF!X50, (water_ON!X50+500-water_ON!X$64) - (water_OFF!X50+500-water_OFF!X$64) - AVERAGE(X$62:X$63), "")</f>
        <v/>
      </c>
      <c r="Y50" s="6" t="str">
        <f>IF(water_OFF!Y50, (water_ON!Y50+500-water_ON!Y$64) - (water_OFF!Y50+500-water_OFF!Y$64) - AVERAGE(Y$62:Y$63), "")</f>
        <v/>
      </c>
      <c r="Z50" s="6" t="str">
        <f>IF(water_OFF!Z50, (water_ON!Z50+500-water_ON!Z$64) - (water_OFF!Z50+500-water_OFF!Z$64) - AVERAGE(Z$62:Z$63), "")</f>
        <v/>
      </c>
      <c r="AA50" s="6" t="str">
        <f>IF(water_OFF!AA50, (water_ON!AA50+500-water_ON!AA$64) - (water_OFF!AA50+500-water_OFF!AA$64) - AVERAGE(AA$62:AA$63), "")</f>
        <v/>
      </c>
      <c r="AB50" s="6" t="str">
        <f>IF(water_OFF!AB50, (water_ON!AB50+500-water_ON!AB$64) - (water_OFF!AB50+500-water_OFF!AB$64) - AVERAGE(AB$62:AB$63), "")</f>
        <v/>
      </c>
      <c r="AC50" s="6" t="str">
        <f>IF(water_OFF!AC50, (water_ON!AC50+500-water_ON!AC$64) - (water_OFF!AC50+500-water_OFF!AC$64) - AVERAGE(AC$62:AC$63), "")</f>
        <v/>
      </c>
      <c r="AD50" s="6" t="str">
        <f>IF(water_OFF!AD50, (water_ON!AD50+500-water_ON!AD$64) - (water_OFF!AD50+500-water_OFF!AD$64) - AVERAGE(AD$62:AD$63), "")</f>
        <v/>
      </c>
      <c r="AE50" s="6" t="str">
        <f>IF(water_OFF!AE50, (water_ON!AE50+500-water_ON!AE$64) - (water_OFF!AE50+500-water_OFF!AE$64) - AVERAGE(AE$62:AE$63), "")</f>
        <v/>
      </c>
      <c r="AF50" s="6" t="str">
        <f>IF(water_OFF!AF50, (water_ON!AF50+500-water_ON!AF$64) - (water_OFF!AF50+500-water_OFF!AF$64) - AVERAGE(AF$62:AF$63), "")</f>
        <v/>
      </c>
      <c r="AG50" s="6" t="str">
        <f>IF(water_OFF!AG50, (water_ON!AG50+500-water_ON!AG$64) - (water_OFF!AG50+500-water_OFF!AG$64) - AVERAGE(AG$62:AG$63), "")</f>
        <v/>
      </c>
      <c r="AH50" s="6" t="str">
        <f>IF(water_OFF!AH50, (water_ON!AH50+500-water_ON!AH$64) - (water_OFF!AH50+500-water_OFF!AH$64) - AVERAGE(AH$62:AH$63), "")</f>
        <v/>
      </c>
      <c r="AI50" s="6" t="str">
        <f>IF(water_OFF!AI50, (water_ON!AI50+500-water_ON!AI$64) - (water_OFF!AI50+500-water_OFF!AI$64) - AVERAGE(AI$62:AI$63), "")</f>
        <v/>
      </c>
      <c r="AJ50" s="6" t="str">
        <f>IF(water_OFF!AJ50, (water_ON!AJ50+500-water_ON!AJ$64) - (water_OFF!AJ50+500-water_OFF!AJ$64) - AVERAGE(AJ$62:AJ$63), "")</f>
        <v/>
      </c>
      <c r="AK50" s="27" t="str">
        <f>IF(water_OFF!AK50, (water_ON!AK50+500-water_ON!AK$64) - (water_OFF!AK50+500-water_OFF!AK$64) - AVERAGE(AK$62:AK$63), "")</f>
        <v/>
      </c>
      <c r="AL50" s="6"/>
      <c r="AM50" s="6"/>
      <c r="AN50" s="6"/>
      <c r="AO50" s="6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1:66">
      <c r="A51" s="18">
        <v>50</v>
      </c>
      <c r="B51" s="36">
        <f>water_ON!B51 - water_OFF!B51 - AVERAGE(B$62:B$63)</f>
        <v>9.9999999999994316E-2</v>
      </c>
      <c r="C51" s="36">
        <f>water_ON!C51 - water_OFF!C51 - AVERAGE(C$62:C$63)</f>
        <v>0.5</v>
      </c>
      <c r="D51" s="36">
        <f>water_ON!D51 - water_OFF!D51 - AVERAGE(D$62:D$63)</f>
        <v>-0.15000000000003411</v>
      </c>
      <c r="E51" s="36">
        <f>water_ON!E51 - water_OFF!E51 - AVERAGE(E$62:E$63)</f>
        <v>4.9999999999982947E-2</v>
      </c>
      <c r="F51" s="36">
        <f>water_ON!F51 - water_OFF!F51 - AVERAGE(F$62:F$63)</f>
        <v>0.40000000000000568</v>
      </c>
      <c r="G51" s="36">
        <f>water_ON!G51 - water_OFF!G51 - AVERAGE(G$62:G$63)</f>
        <v>0.40000000000000568</v>
      </c>
      <c r="H51" s="36">
        <f>water_ON!H51 - water_OFF!H51 - AVERAGE(H$62:H$63)</f>
        <v>1</v>
      </c>
      <c r="I51" s="36">
        <f>water_ON!I51 - water_OFF!I51 - AVERAGE(I$62:I$63)</f>
        <v>4.9999999999954525E-2</v>
      </c>
      <c r="J51" s="36">
        <f>water_ON!J51 - water_OFF!J51 - AVERAGE(J$62:J$63)</f>
        <v>-2.8421709430404007E-14</v>
      </c>
      <c r="K51" s="36">
        <f>water_ON!K51 - water_OFF!K51 - AVERAGE(K$62:K$63)</f>
        <v>0</v>
      </c>
      <c r="L51" s="36">
        <f>water_ON!L51 - water_OFF!L51 - AVERAGE(L$62:L$63)</f>
        <v>0.15000000000000568</v>
      </c>
      <c r="M51" s="36">
        <f>water_ON!M51 - water_OFF!M51 - AVERAGE(M$62:M$63)</f>
        <v>0.10000000000002274</v>
      </c>
      <c r="N51" s="36">
        <f>water_ON!N51 - water_OFF!N51 - AVERAGE(N$62:N$63)</f>
        <v>0.15000000000000568</v>
      </c>
      <c r="O51" s="36">
        <f>water_ON!O51 - water_OFF!O51 - AVERAGE(O$62:O$63)</f>
        <v>0.39999999999997726</v>
      </c>
      <c r="P51" s="36">
        <f>water_ON!P51 - water_OFF!P51 - AVERAGE(P$62:P$63)</f>
        <v>0</v>
      </c>
      <c r="Q51" s="36">
        <f>water_ON!Q51 - water_OFF!Q51 - AVERAGE(Q$62:Q$63)</f>
        <v>0.85000000000002274</v>
      </c>
      <c r="R51" s="36">
        <f>water_ON!R51 - water_OFF!R51 - AVERAGE(R$62:R$63)</f>
        <v>0.45000000000001705</v>
      </c>
      <c r="S51" s="36">
        <f>water_ON!S51 - water_OFF!S51 - AVERAGE(S$62:S$63)</f>
        <v>2.4000000000000341</v>
      </c>
      <c r="T51" s="36">
        <f>water_ON!T51 - water_OFF!T51 - AVERAGE(T$62:T$63)</f>
        <v>0.80000000000001137</v>
      </c>
      <c r="U51" s="27"/>
      <c r="V51" s="6" t="str">
        <f>IF(water_OFF!V51, (water_ON!V51+500-water_ON!V$64) - (water_OFF!V51+500-water_OFF!V$64) - AVERAGE(V$62:V$63), "")</f>
        <v/>
      </c>
      <c r="W51" s="6" t="str">
        <f>IF(water_OFF!W51, (water_ON!W51+500-water_ON!W$64) - (water_OFF!W51+500-water_OFF!W$64) - AVERAGE(W$62:W$63), "")</f>
        <v/>
      </c>
      <c r="X51" s="6" t="str">
        <f>IF(water_OFF!X51, (water_ON!X51+500-water_ON!X$64) - (water_OFF!X51+500-water_OFF!X$64) - AVERAGE(X$62:X$63), "")</f>
        <v/>
      </c>
      <c r="Y51" s="6" t="str">
        <f>IF(water_OFF!Y51, (water_ON!Y51+500-water_ON!Y$64) - (water_OFF!Y51+500-water_OFF!Y$64) - AVERAGE(Y$62:Y$63), "")</f>
        <v/>
      </c>
      <c r="Z51" s="6" t="str">
        <f>IF(water_OFF!Z51, (water_ON!Z51+500-water_ON!Z$64) - (water_OFF!Z51+500-water_OFF!Z$64) - AVERAGE(Z$62:Z$63), "")</f>
        <v/>
      </c>
      <c r="AA51" s="6" t="str">
        <f>IF(water_OFF!AA51, (water_ON!AA51+500-water_ON!AA$64) - (water_OFF!AA51+500-water_OFF!AA$64) - AVERAGE(AA$62:AA$63), "")</f>
        <v/>
      </c>
      <c r="AB51" s="6" t="str">
        <f>IF(water_OFF!AB51, (water_ON!AB51+500-water_ON!AB$64) - (water_OFF!AB51+500-water_OFF!AB$64) - AVERAGE(AB$62:AB$63), "")</f>
        <v/>
      </c>
      <c r="AC51" s="6" t="str">
        <f>IF(water_OFF!AC51, (water_ON!AC51+500-water_ON!AC$64) - (water_OFF!AC51+500-water_OFF!AC$64) - AVERAGE(AC$62:AC$63), "")</f>
        <v/>
      </c>
      <c r="AD51" s="6" t="str">
        <f>IF(water_OFF!AD51, (water_ON!AD51+500-water_ON!AD$64) - (water_OFF!AD51+500-water_OFF!AD$64) - AVERAGE(AD$62:AD$63), "")</f>
        <v/>
      </c>
      <c r="AE51" s="6" t="str">
        <f>IF(water_OFF!AE51, (water_ON!AE51+500-water_ON!AE$64) - (water_OFF!AE51+500-water_OFF!AE$64) - AVERAGE(AE$62:AE$63), "")</f>
        <v/>
      </c>
      <c r="AF51" s="6" t="str">
        <f>IF(water_OFF!AF51, (water_ON!AF51+500-water_ON!AF$64) - (water_OFF!AF51+500-water_OFF!AF$64) - AVERAGE(AF$62:AF$63), "")</f>
        <v/>
      </c>
      <c r="AG51" s="6" t="str">
        <f>IF(water_OFF!AG51, (water_ON!AG51+500-water_ON!AG$64) - (water_OFF!AG51+500-water_OFF!AG$64) - AVERAGE(AG$62:AG$63), "")</f>
        <v/>
      </c>
      <c r="AH51" s="6" t="str">
        <f>IF(water_OFF!AH51, (water_ON!AH51+500-water_ON!AH$64) - (water_OFF!AH51+500-water_OFF!AH$64) - AVERAGE(AH$62:AH$63), "")</f>
        <v/>
      </c>
      <c r="AI51" s="6" t="str">
        <f>IF(water_OFF!AI51, (water_ON!AI51+500-water_ON!AI$64) - (water_OFF!AI51+500-water_OFF!AI$64) - AVERAGE(AI$62:AI$63), "")</f>
        <v/>
      </c>
      <c r="AJ51" s="6" t="str">
        <f>IF(water_OFF!AJ51, (water_ON!AJ51+500-water_ON!AJ$64) - (water_OFF!AJ51+500-water_OFF!AJ$64) - AVERAGE(AJ$62:AJ$63), "")</f>
        <v/>
      </c>
      <c r="AK51" s="27" t="str">
        <f>IF(water_OFF!AK51, (water_ON!AK51+500-water_ON!AK$64) - (water_OFF!AK51+500-water_OFF!AK$64) - AVERAGE(AK$62:AK$63), "")</f>
        <v/>
      </c>
      <c r="AL51" s="6"/>
      <c r="AM51" s="6"/>
      <c r="AN51" s="6"/>
      <c r="AO51" s="6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1:66">
      <c r="A52" s="18">
        <v>51</v>
      </c>
      <c r="B52" s="36">
        <f>water_ON!B52 - water_OFF!B52 - AVERAGE(B$62:B$63)</f>
        <v>-2.8421709430404007E-14</v>
      </c>
      <c r="C52" s="36">
        <f>water_ON!C52 - water_OFF!C52 - AVERAGE(C$62:C$63)</f>
        <v>9.9999999999965894E-2</v>
      </c>
      <c r="D52" s="36">
        <f>water_ON!D52 - water_OFF!D52 - AVERAGE(D$62:D$63)</f>
        <v>3.75</v>
      </c>
      <c r="E52" s="36">
        <f>water_ON!E52 - water_OFF!E52 - AVERAGE(E$62:E$63)</f>
        <v>0.15000000000000568</v>
      </c>
      <c r="F52" s="36">
        <f>water_ON!F52 - water_OFF!F52 - AVERAGE(F$62:F$63)</f>
        <v>-2.8421709430404007E-14</v>
      </c>
      <c r="G52" s="36">
        <f>water_ON!G52 - water_OFF!G52 - AVERAGE(G$62:G$63)</f>
        <v>0.40000000000000568</v>
      </c>
      <c r="H52" s="36">
        <f>water_ON!H52 - water_OFF!H52 - AVERAGE(H$62:H$63)</f>
        <v>0.59999999999996589</v>
      </c>
      <c r="I52" s="36">
        <f>water_ON!I52 - water_OFF!I52 - AVERAGE(I$62:I$63)</f>
        <v>0.25</v>
      </c>
      <c r="J52" s="36">
        <f>water_ON!J52 - water_OFF!J52 - AVERAGE(J$62:J$63)</f>
        <v>0.29999999999998295</v>
      </c>
      <c r="K52" s="36">
        <f>water_ON!K52 - water_OFF!K52 - AVERAGE(K$62:K$63)</f>
        <v>-9.9999999999965894E-2</v>
      </c>
      <c r="L52" s="36">
        <f>water_ON!L52 - water_OFF!L52 - AVERAGE(L$62:L$63)</f>
        <v>1.3499999999999943</v>
      </c>
      <c r="M52" s="36">
        <f>water_ON!M52 - water_OFF!M52 - AVERAGE(M$62:M$63)</f>
        <v>0.10000000000002274</v>
      </c>
      <c r="N52" s="36">
        <f>water_ON!N52 - water_OFF!N52 - AVERAGE(N$62:N$63)</f>
        <v>0.45000000000001705</v>
      </c>
      <c r="O52" s="36">
        <f>water_ON!O52 - water_OFF!O52 - AVERAGE(O$62:O$63)</f>
        <v>-0.10000000000002274</v>
      </c>
      <c r="P52" s="36">
        <f>water_ON!P52 - water_OFF!P52 - AVERAGE(P$62:P$63)</f>
        <v>0</v>
      </c>
      <c r="Q52" s="36">
        <f>water_ON!Q52 - water_OFF!Q52 - AVERAGE(Q$62:Q$63)</f>
        <v>-0.14999999999997726</v>
      </c>
      <c r="R52" s="36">
        <f>water_ON!R52 - water_OFF!R52 - AVERAGE(R$62:R$63)</f>
        <v>1.0500000000000398</v>
      </c>
      <c r="S52" s="36">
        <f>water_ON!S52 - water_OFF!S52 - AVERAGE(S$62:S$63)</f>
        <v>0.19999999999998863</v>
      </c>
      <c r="T52" s="36">
        <f>water_ON!T52 - water_OFF!T52 - AVERAGE(T$62:T$63)</f>
        <v>0.19999999999998863</v>
      </c>
      <c r="U52" s="27"/>
      <c r="V52" s="6" t="str">
        <f>IF(water_OFF!V52, (water_ON!V52+500-water_ON!V$64) - (water_OFF!V52+500-water_OFF!V$64) - AVERAGE(V$62:V$63), "")</f>
        <v/>
      </c>
      <c r="W52" s="6" t="str">
        <f>IF(water_OFF!W52, (water_ON!W52+500-water_ON!W$64) - (water_OFF!W52+500-water_OFF!W$64) - AVERAGE(W$62:W$63), "")</f>
        <v/>
      </c>
      <c r="X52" s="6" t="str">
        <f>IF(water_OFF!X52, (water_ON!X52+500-water_ON!X$64) - (water_OFF!X52+500-water_OFF!X$64) - AVERAGE(X$62:X$63), "")</f>
        <v/>
      </c>
      <c r="Y52" s="6" t="str">
        <f>IF(water_OFF!Y52, (water_ON!Y52+500-water_ON!Y$64) - (water_OFF!Y52+500-water_OFF!Y$64) - AVERAGE(Y$62:Y$63), "")</f>
        <v/>
      </c>
      <c r="Z52" s="6" t="str">
        <f>IF(water_OFF!Z52, (water_ON!Z52+500-water_ON!Z$64) - (water_OFF!Z52+500-water_OFF!Z$64) - AVERAGE(Z$62:Z$63), "")</f>
        <v/>
      </c>
      <c r="AA52" s="6" t="str">
        <f>IF(water_OFF!AA52, (water_ON!AA52+500-water_ON!AA$64) - (water_OFF!AA52+500-water_OFF!AA$64) - AVERAGE(AA$62:AA$63), "")</f>
        <v/>
      </c>
      <c r="AB52" s="6" t="str">
        <f>IF(water_OFF!AB52, (water_ON!AB52+500-water_ON!AB$64) - (water_OFF!AB52+500-water_OFF!AB$64) - AVERAGE(AB$62:AB$63), "")</f>
        <v/>
      </c>
      <c r="AC52" s="6" t="str">
        <f>IF(water_OFF!AC52, (water_ON!AC52+500-water_ON!AC$64) - (water_OFF!AC52+500-water_OFF!AC$64) - AVERAGE(AC$62:AC$63), "")</f>
        <v/>
      </c>
      <c r="AD52" s="6" t="str">
        <f>IF(water_OFF!AD52, (water_ON!AD52+500-water_ON!AD$64) - (water_OFF!AD52+500-water_OFF!AD$64) - AVERAGE(AD$62:AD$63), "")</f>
        <v/>
      </c>
      <c r="AE52" s="6" t="str">
        <f>IF(water_OFF!AE52, (water_ON!AE52+500-water_ON!AE$64) - (water_OFF!AE52+500-water_OFF!AE$64) - AVERAGE(AE$62:AE$63), "")</f>
        <v/>
      </c>
      <c r="AF52" s="6" t="str">
        <f>IF(water_OFF!AF52, (water_ON!AF52+500-water_ON!AF$64) - (water_OFF!AF52+500-water_OFF!AF$64) - AVERAGE(AF$62:AF$63), "")</f>
        <v/>
      </c>
      <c r="AG52" s="6" t="str">
        <f>IF(water_OFF!AG52, (water_ON!AG52+500-water_ON!AG$64) - (water_OFF!AG52+500-water_OFF!AG$64) - AVERAGE(AG$62:AG$63), "")</f>
        <v/>
      </c>
      <c r="AH52" s="6" t="str">
        <f>IF(water_OFF!AH52, (water_ON!AH52+500-water_ON!AH$64) - (water_OFF!AH52+500-water_OFF!AH$64) - AVERAGE(AH$62:AH$63), "")</f>
        <v/>
      </c>
      <c r="AI52" s="6" t="str">
        <f>IF(water_OFF!AI52, (water_ON!AI52+500-water_ON!AI$64) - (water_OFF!AI52+500-water_OFF!AI$64) - AVERAGE(AI$62:AI$63), "")</f>
        <v/>
      </c>
      <c r="AJ52" s="6" t="str">
        <f>IF(water_OFF!AJ52, (water_ON!AJ52+500-water_ON!AJ$64) - (water_OFF!AJ52+500-water_OFF!AJ$64) - AVERAGE(AJ$62:AJ$63), "")</f>
        <v/>
      </c>
      <c r="AK52" s="27" t="str">
        <f>IF(water_OFF!AK52, (water_ON!AK52+500-water_ON!AK$64) - (water_OFF!AK52+500-water_OFF!AK$64) - AVERAGE(AK$62:AK$63), "")</f>
        <v/>
      </c>
      <c r="AL52" s="6"/>
      <c r="AM52" s="46"/>
      <c r="AN52" s="6"/>
      <c r="AO52" s="6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 spans="1:66">
      <c r="A53" s="18">
        <v>52</v>
      </c>
      <c r="B53" s="36">
        <f>water_ON!B53 - water_OFF!B53 - AVERAGE(B$62:B$63)</f>
        <v>2.8421709430404007E-14</v>
      </c>
      <c r="C53" s="36">
        <f>water_ON!C53 - water_OFF!C53 - AVERAGE(C$62:C$63)</f>
        <v>0.19999999999998863</v>
      </c>
      <c r="D53" s="36">
        <f>water_ON!D53 - water_OFF!D53 - AVERAGE(D$62:D$63)</f>
        <v>0.15000000000003411</v>
      </c>
      <c r="E53" s="36">
        <f>water_ON!E53 - water_OFF!E53 - AVERAGE(E$62:E$63)</f>
        <v>0.15000000000000568</v>
      </c>
      <c r="F53" s="36">
        <f>water_ON!F53 - water_OFF!F53 - AVERAGE(F$62:F$63)</f>
        <v>-2.8421709430404007E-14</v>
      </c>
      <c r="G53" s="36">
        <f>water_ON!G53 - water_OFF!G53 - AVERAGE(G$62:G$63)</f>
        <v>9.9999999999994316E-2</v>
      </c>
      <c r="H53" s="36">
        <f>water_ON!H53 - water_OFF!H53 - AVERAGE(H$62:H$63)</f>
        <v>9.9999999999965894E-2</v>
      </c>
      <c r="I53" s="36">
        <f>water_ON!I53 - water_OFF!I53 - AVERAGE(I$62:I$63)</f>
        <v>-5.0000000000011369E-2</v>
      </c>
      <c r="J53" s="36">
        <f>water_ON!J53 - water_OFF!J53 - AVERAGE(J$62:J$63)</f>
        <v>-9.9999999999994316E-2</v>
      </c>
      <c r="K53" s="36">
        <f>water_ON!K53 - water_OFF!K53 - AVERAGE(K$62:K$63)</f>
        <v>0</v>
      </c>
      <c r="L53" s="36">
        <f>water_ON!L53 - water_OFF!L53 - AVERAGE(L$62:L$63)</f>
        <v>5.000000000003979E-2</v>
      </c>
      <c r="M53" s="36">
        <f>water_ON!M53 - water_OFF!M53 - AVERAGE(M$62:M$63)</f>
        <v>0.10000000000002274</v>
      </c>
      <c r="N53" s="36">
        <f>water_ON!N53 - water_OFF!N53 - AVERAGE(N$62:N$63)</f>
        <v>2.0500000000000398</v>
      </c>
      <c r="O53" s="36">
        <f>water_ON!O53 - water_OFF!O53 - AVERAGE(O$62:O$63)</f>
        <v>0</v>
      </c>
      <c r="P53" s="36">
        <f>water_ON!P53 - water_OFF!P53 - AVERAGE(P$62:P$63)</f>
        <v>0</v>
      </c>
      <c r="Q53" s="36">
        <f>water_ON!Q53 - water_OFF!Q53 - AVERAGE(Q$62:Q$63)</f>
        <v>-0.14999999999997726</v>
      </c>
      <c r="R53" s="36">
        <f>water_ON!R53 - water_OFF!R53 - AVERAGE(R$62:R$63)</f>
        <v>-4.9999999999982947E-2</v>
      </c>
      <c r="S53" s="36">
        <f>water_ON!S53 - water_OFF!S53 - AVERAGE(S$62:S$63)</f>
        <v>0.5</v>
      </c>
      <c r="T53" s="36">
        <f>water_ON!T53 - water_OFF!T53 - AVERAGE(T$62:T$63)</f>
        <v>0.10000000000002274</v>
      </c>
      <c r="U53" s="27"/>
      <c r="V53" s="6" t="str">
        <f>IF(water_OFF!V53, (water_ON!V53+500-water_ON!V$64) - (water_OFF!V53+500-water_OFF!V$64) - AVERAGE(V$62:V$63), "")</f>
        <v/>
      </c>
      <c r="W53" s="6" t="str">
        <f>IF(water_OFF!W53, (water_ON!W53+500-water_ON!W$64) - (water_OFF!W53+500-water_OFF!W$64) - AVERAGE(W$62:W$63), "")</f>
        <v/>
      </c>
      <c r="X53" s="6" t="str">
        <f>IF(water_OFF!X53, (water_ON!X53+500-water_ON!X$64) - (water_OFF!X53+500-water_OFF!X$64) - AVERAGE(X$62:X$63), "")</f>
        <v/>
      </c>
      <c r="Y53" s="6" t="str">
        <f>IF(water_OFF!Y53, (water_ON!Y53+500-water_ON!Y$64) - (water_OFF!Y53+500-water_OFF!Y$64) - AVERAGE(Y$62:Y$63), "")</f>
        <v/>
      </c>
      <c r="Z53" s="6" t="str">
        <f>IF(water_OFF!Z53, (water_ON!Z53+500-water_ON!Z$64) - (water_OFF!Z53+500-water_OFF!Z$64) - AVERAGE(Z$62:Z$63), "")</f>
        <v/>
      </c>
      <c r="AA53" s="6" t="str">
        <f>IF(water_OFF!AA53, (water_ON!AA53+500-water_ON!AA$64) - (water_OFF!AA53+500-water_OFF!AA$64) - AVERAGE(AA$62:AA$63), "")</f>
        <v/>
      </c>
      <c r="AB53" s="6" t="str">
        <f>IF(water_OFF!AB53, (water_ON!AB53+500-water_ON!AB$64) - (water_OFF!AB53+500-water_OFF!AB$64) - AVERAGE(AB$62:AB$63), "")</f>
        <v/>
      </c>
      <c r="AC53" s="6" t="str">
        <f>IF(water_OFF!AC53, (water_ON!AC53+500-water_ON!AC$64) - (water_OFF!AC53+500-water_OFF!AC$64) - AVERAGE(AC$62:AC$63), "")</f>
        <v/>
      </c>
      <c r="AD53" s="6" t="str">
        <f>IF(water_OFF!AD53, (water_ON!AD53+500-water_ON!AD$64) - (water_OFF!AD53+500-water_OFF!AD$64) - AVERAGE(AD$62:AD$63), "")</f>
        <v/>
      </c>
      <c r="AE53" s="6" t="str">
        <f>IF(water_OFF!AE53, (water_ON!AE53+500-water_ON!AE$64) - (water_OFF!AE53+500-water_OFF!AE$64) - AVERAGE(AE$62:AE$63), "")</f>
        <v/>
      </c>
      <c r="AF53" s="6" t="str">
        <f>IF(water_OFF!AF53, (water_ON!AF53+500-water_ON!AF$64) - (water_OFF!AF53+500-water_OFF!AF$64) - AVERAGE(AF$62:AF$63), "")</f>
        <v/>
      </c>
      <c r="AG53" s="6" t="str">
        <f>IF(water_OFF!AG53, (water_ON!AG53+500-water_ON!AG$64) - (water_OFF!AG53+500-water_OFF!AG$64) - AVERAGE(AG$62:AG$63), "")</f>
        <v/>
      </c>
      <c r="AH53" s="6" t="str">
        <f>IF(water_OFF!AH53, (water_ON!AH53+500-water_ON!AH$64) - (water_OFF!AH53+500-water_OFF!AH$64) - AVERAGE(AH$62:AH$63), "")</f>
        <v/>
      </c>
      <c r="AI53" s="6" t="str">
        <f>IF(water_OFF!AI53, (water_ON!AI53+500-water_ON!AI$64) - (water_OFF!AI53+500-water_OFF!AI$64) - AVERAGE(AI$62:AI$63), "")</f>
        <v/>
      </c>
      <c r="AJ53" s="6" t="str">
        <f>IF(water_OFF!AJ53, (water_ON!AJ53+500-water_ON!AJ$64) - (water_OFF!AJ53+500-water_OFF!AJ$64) - AVERAGE(AJ$62:AJ$63), "")</f>
        <v/>
      </c>
      <c r="AK53" s="27" t="str">
        <f>IF(water_OFF!AK53, (water_ON!AK53+500-water_ON!AK$64) - (water_OFF!AK53+500-water_OFF!AK$64) - AVERAGE(AK$62:AK$63), "")</f>
        <v/>
      </c>
      <c r="AL53" s="6"/>
      <c r="AM53" s="6"/>
      <c r="AN53" s="6"/>
      <c r="AO53" s="6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 spans="1:66">
      <c r="A54" s="18">
        <v>53</v>
      </c>
      <c r="B54" s="36">
        <f>water_ON!B54 - water_OFF!B54 - AVERAGE(B$62:B$63)</f>
        <v>0.10000000000005116</v>
      </c>
      <c r="C54" s="36">
        <f>water_ON!C54 - water_OFF!C54 - AVERAGE(C$62:C$63)</f>
        <v>0</v>
      </c>
      <c r="D54" s="36">
        <f>water_ON!D54 - water_OFF!D54 - AVERAGE(D$62:D$63)</f>
        <v>-5.0000000000011369E-2</v>
      </c>
      <c r="E54" s="36">
        <f>water_ON!E54 - water_OFF!E54 - AVERAGE(E$62:E$63)</f>
        <v>4.9999999999982947E-2</v>
      </c>
      <c r="F54" s="36">
        <f>water_ON!F54 - water_OFF!F54 - AVERAGE(F$62:F$63)</f>
        <v>2.8421709430404007E-14</v>
      </c>
      <c r="G54" s="36">
        <f>water_ON!G54 - water_OFF!G54 - AVERAGE(G$62:G$63)</f>
        <v>-2.8421709430404007E-14</v>
      </c>
      <c r="H54" s="36">
        <f>water_ON!H54 - water_OFF!H54 - AVERAGE(H$62:H$63)</f>
        <v>0.10000000000002274</v>
      </c>
      <c r="I54" s="36">
        <f>water_ON!I54 - water_OFF!I54 - AVERAGE(I$62:I$63)</f>
        <v>4.9999999999954525E-2</v>
      </c>
      <c r="J54" s="36">
        <f>water_ON!J54 - water_OFF!J54 - AVERAGE(J$62:J$63)</f>
        <v>-2.8421709430404007E-14</v>
      </c>
      <c r="K54" s="36">
        <f>water_ON!K54 - water_OFF!K54 - AVERAGE(K$62:K$63)</f>
        <v>0</v>
      </c>
      <c r="L54" s="36">
        <f>water_ON!L54 - water_OFF!L54 - AVERAGE(L$62:L$63)</f>
        <v>4.9999999999982947E-2</v>
      </c>
      <c r="M54" s="36">
        <f>water_ON!M54 - water_OFF!M54 - AVERAGE(M$62:M$63)</f>
        <v>0.10000000000002274</v>
      </c>
      <c r="N54" s="36">
        <f>water_ON!N54 - water_OFF!N54 - AVERAGE(N$62:N$63)</f>
        <v>0.25000000000002842</v>
      </c>
      <c r="O54" s="36">
        <f>water_ON!O54 - water_OFF!O54 - AVERAGE(O$62:O$63)</f>
        <v>-5.6843418860808015E-14</v>
      </c>
      <c r="P54" s="36">
        <f>water_ON!P54 - water_OFF!P54 - AVERAGE(P$62:P$63)</f>
        <v>-0.10000000000002274</v>
      </c>
      <c r="Q54" s="36">
        <f>water_ON!Q54 - water_OFF!Q54 - AVERAGE(Q$62:Q$63)</f>
        <v>-0.14999999999997726</v>
      </c>
      <c r="R54" s="36">
        <f>water_ON!R54 - water_OFF!R54 - AVERAGE(R$62:R$63)</f>
        <v>0.15000000000000568</v>
      </c>
      <c r="S54" s="36">
        <f>water_ON!S54 - water_OFF!S54 - AVERAGE(S$62:S$63)</f>
        <v>0</v>
      </c>
      <c r="T54" s="36">
        <f>water_ON!T54 - water_OFF!T54 - AVERAGE(T$62:T$63)</f>
        <v>0</v>
      </c>
      <c r="U54" s="27"/>
      <c r="V54" s="6" t="str">
        <f>IF(water_OFF!V54, (water_ON!V54+500-water_ON!V$64) - (water_OFF!V54+500-water_OFF!V$64) - AVERAGE(V$62:V$63), "")</f>
        <v/>
      </c>
      <c r="W54" s="6" t="str">
        <f>IF(water_OFF!W54, (water_ON!W54+500-water_ON!W$64) - (water_OFF!W54+500-water_OFF!W$64) - AVERAGE(W$62:W$63), "")</f>
        <v/>
      </c>
      <c r="X54" s="6" t="str">
        <f>IF(water_OFF!X54, (water_ON!X54+500-water_ON!X$64) - (water_OFF!X54+500-water_OFF!X$64) - AVERAGE(X$62:X$63), "")</f>
        <v/>
      </c>
      <c r="Y54" s="6" t="str">
        <f>IF(water_OFF!Y54, (water_ON!Y54+500-water_ON!Y$64) - (water_OFF!Y54+500-water_OFF!Y$64) - AVERAGE(Y$62:Y$63), "")</f>
        <v/>
      </c>
      <c r="Z54" s="6" t="str">
        <f>IF(water_OFF!Z54, (water_ON!Z54+500-water_ON!Z$64) - (water_OFF!Z54+500-water_OFF!Z$64) - AVERAGE(Z$62:Z$63), "")</f>
        <v/>
      </c>
      <c r="AA54" s="6" t="str">
        <f>IF(water_OFF!AA54, (water_ON!AA54+500-water_ON!AA$64) - (water_OFF!AA54+500-water_OFF!AA$64) - AVERAGE(AA$62:AA$63), "")</f>
        <v/>
      </c>
      <c r="AB54" s="6" t="str">
        <f>IF(water_OFF!AB54, (water_ON!AB54+500-water_ON!AB$64) - (water_OFF!AB54+500-water_OFF!AB$64) - AVERAGE(AB$62:AB$63), "")</f>
        <v/>
      </c>
      <c r="AC54" s="6" t="str">
        <f>IF(water_OFF!AC54, (water_ON!AC54+500-water_ON!AC$64) - (water_OFF!AC54+500-water_OFF!AC$64) - AVERAGE(AC$62:AC$63), "")</f>
        <v/>
      </c>
      <c r="AD54" s="6" t="str">
        <f>IF(water_OFF!AD54, (water_ON!AD54+500-water_ON!AD$64) - (water_OFF!AD54+500-water_OFF!AD$64) - AVERAGE(AD$62:AD$63), "")</f>
        <v/>
      </c>
      <c r="AE54" s="6" t="str">
        <f>IF(water_OFF!AE54, (water_ON!AE54+500-water_ON!AE$64) - (water_OFF!AE54+500-water_OFF!AE$64) - AVERAGE(AE$62:AE$63), "")</f>
        <v/>
      </c>
      <c r="AF54" s="6" t="str">
        <f>IF(water_OFF!AF54, (water_ON!AF54+500-water_ON!AF$64) - (water_OFF!AF54+500-water_OFF!AF$64) - AVERAGE(AF$62:AF$63), "")</f>
        <v/>
      </c>
      <c r="AG54" s="6" t="str">
        <f>IF(water_OFF!AG54, (water_ON!AG54+500-water_ON!AG$64) - (water_OFF!AG54+500-water_OFF!AG$64) - AVERAGE(AG$62:AG$63), "")</f>
        <v/>
      </c>
      <c r="AH54" s="6" t="str">
        <f>IF(water_OFF!AH54, (water_ON!AH54+500-water_ON!AH$64) - (water_OFF!AH54+500-water_OFF!AH$64) - AVERAGE(AH$62:AH$63), "")</f>
        <v/>
      </c>
      <c r="AI54" s="6" t="str">
        <f>IF(water_OFF!AI54, (water_ON!AI54+500-water_ON!AI$64) - (water_OFF!AI54+500-water_OFF!AI$64) - AVERAGE(AI$62:AI$63), "")</f>
        <v/>
      </c>
      <c r="AJ54" s="6" t="str">
        <f>IF(water_OFF!AJ54, (water_ON!AJ54+500-water_ON!AJ$64) - (water_OFF!AJ54+500-water_OFF!AJ$64) - AVERAGE(AJ$62:AJ$63), "")</f>
        <v/>
      </c>
      <c r="AK54" s="27" t="str">
        <f>IF(water_OFF!AK54, (water_ON!AK54+500-water_ON!AK$64) - (water_OFF!AK54+500-water_OFF!AK$64) - AVERAGE(AK$62:AK$63), "")</f>
        <v/>
      </c>
      <c r="AL54" s="6"/>
      <c r="AM54" s="6"/>
      <c r="AN54" s="6"/>
      <c r="AO54" s="6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1:66">
      <c r="A55" s="18">
        <v>54</v>
      </c>
      <c r="B55" s="36">
        <f>water_ON!B55 - water_OFF!B55 - AVERAGE(B$62:B$63)</f>
        <v>0.10000000000005116</v>
      </c>
      <c r="C55" s="36">
        <f>water_ON!C55 - water_OFF!C55 - AVERAGE(C$62:C$63)</f>
        <v>0.19999999999998863</v>
      </c>
      <c r="D55" s="36">
        <f>water_ON!D55 - water_OFF!D55 - AVERAGE(D$62:D$63)</f>
        <v>5.0000000000011369E-2</v>
      </c>
      <c r="E55" s="36">
        <f>water_ON!E55 - water_OFF!E55 - AVERAGE(E$62:E$63)</f>
        <v>4.9999999999982947E-2</v>
      </c>
      <c r="F55" s="36">
        <f>water_ON!F55 - water_OFF!F55 - AVERAGE(F$62:F$63)</f>
        <v>0.10000000000005116</v>
      </c>
      <c r="G55" s="36">
        <f>water_ON!G55 - water_OFF!G55 - AVERAGE(G$62:G$63)</f>
        <v>-2.8421709430404007E-14</v>
      </c>
      <c r="H55" s="36">
        <f>water_ON!H55 - water_OFF!H55 - AVERAGE(H$62:H$63)</f>
        <v>9.9999999999965894E-2</v>
      </c>
      <c r="I55" s="36">
        <f>water_ON!I55 - water_OFF!I55 - AVERAGE(I$62:I$63)</f>
        <v>5.0000000000011369E-2</v>
      </c>
      <c r="J55" s="36">
        <f>water_ON!J55 - water_OFF!J55 - AVERAGE(J$62:J$63)</f>
        <v>-2.8421709430404007E-14</v>
      </c>
      <c r="K55" s="36">
        <f>water_ON!K55 - water_OFF!K55 - AVERAGE(K$62:K$63)</f>
        <v>0</v>
      </c>
      <c r="L55" s="36">
        <f>water_ON!L55 - water_OFF!L55 - AVERAGE(L$62:L$63)</f>
        <v>-0.14999999999994884</v>
      </c>
      <c r="M55" s="36">
        <f>water_ON!M55 - water_OFF!M55 - AVERAGE(M$62:M$63)</f>
        <v>0.10000000000002274</v>
      </c>
      <c r="N55" s="36">
        <f>water_ON!N55 - water_OFF!N55 - AVERAGE(N$62:N$63)</f>
        <v>4.9999999999982947E-2</v>
      </c>
      <c r="O55" s="36">
        <f>water_ON!O55 - water_OFF!O55 - AVERAGE(O$62:O$63)</f>
        <v>-0.10000000000002274</v>
      </c>
      <c r="P55" s="36">
        <f>water_ON!P55 - water_OFF!P55 - AVERAGE(P$62:P$63)</f>
        <v>0</v>
      </c>
      <c r="Q55" s="36">
        <f>water_ON!Q55 - water_OFF!Q55 - AVERAGE(Q$62:Q$63)</f>
        <v>-0.14999999999997726</v>
      </c>
      <c r="R55" s="36">
        <f>water_ON!R55 - water_OFF!R55 - AVERAGE(R$62:R$63)</f>
        <v>5.000000000003979E-2</v>
      </c>
      <c r="S55" s="36">
        <f>water_ON!S55 - water_OFF!S55 - AVERAGE(S$62:S$63)</f>
        <v>0.19999999999998863</v>
      </c>
      <c r="T55" s="36">
        <f>water_ON!T55 - water_OFF!T55 - AVERAGE(T$62:T$63)</f>
        <v>0</v>
      </c>
      <c r="U55" s="27"/>
      <c r="V55" s="6" t="str">
        <f>IF(water_OFF!V55, (water_ON!V55+500-water_ON!V$64) - (water_OFF!V55+500-water_OFF!V$64) - AVERAGE(V$62:V$63), "")</f>
        <v/>
      </c>
      <c r="W55" s="6" t="str">
        <f>IF(water_OFF!W55, (water_ON!W55+500-water_ON!W$64) - (water_OFF!W55+500-water_OFF!W$64) - AVERAGE(W$62:W$63), "")</f>
        <v/>
      </c>
      <c r="X55" s="6" t="str">
        <f>IF(water_OFF!X55, (water_ON!X55+500-water_ON!X$64) - (water_OFF!X55+500-water_OFF!X$64) - AVERAGE(X$62:X$63), "")</f>
        <v/>
      </c>
      <c r="Y55" s="6" t="str">
        <f>IF(water_OFF!Y55, (water_ON!Y55+500-water_ON!Y$64) - (water_OFF!Y55+500-water_OFF!Y$64) - AVERAGE(Y$62:Y$63), "")</f>
        <v/>
      </c>
      <c r="Z55" s="6" t="str">
        <f>IF(water_OFF!Z55, (water_ON!Z55+500-water_ON!Z$64) - (water_OFF!Z55+500-water_OFF!Z$64) - AVERAGE(Z$62:Z$63), "")</f>
        <v/>
      </c>
      <c r="AA55" s="6" t="str">
        <f>IF(water_OFF!AA55, (water_ON!AA55+500-water_ON!AA$64) - (water_OFF!AA55+500-water_OFF!AA$64) - AVERAGE(AA$62:AA$63), "")</f>
        <v/>
      </c>
      <c r="AB55" s="6" t="str">
        <f>IF(water_OFF!AB55, (water_ON!AB55+500-water_ON!AB$64) - (water_OFF!AB55+500-water_OFF!AB$64) - AVERAGE(AB$62:AB$63), "")</f>
        <v/>
      </c>
      <c r="AC55" s="6" t="str">
        <f>IF(water_OFF!AC55, (water_ON!AC55+500-water_ON!AC$64) - (water_OFF!AC55+500-water_OFF!AC$64) - AVERAGE(AC$62:AC$63), "")</f>
        <v/>
      </c>
      <c r="AD55" s="6" t="str">
        <f>IF(water_OFF!AD55, (water_ON!AD55+500-water_ON!AD$64) - (water_OFF!AD55+500-water_OFF!AD$64) - AVERAGE(AD$62:AD$63), "")</f>
        <v/>
      </c>
      <c r="AE55" s="6" t="str">
        <f>IF(water_OFF!AE55, (water_ON!AE55+500-water_ON!AE$64) - (water_OFF!AE55+500-water_OFF!AE$64) - AVERAGE(AE$62:AE$63), "")</f>
        <v/>
      </c>
      <c r="AF55" s="6" t="str">
        <f>IF(water_OFF!AF55, (water_ON!AF55+500-water_ON!AF$64) - (water_OFF!AF55+500-water_OFF!AF$64) - AVERAGE(AF$62:AF$63), "")</f>
        <v/>
      </c>
      <c r="AG55" s="6" t="str">
        <f>IF(water_OFF!AG55, (water_ON!AG55+500-water_ON!AG$64) - (water_OFF!AG55+500-water_OFF!AG$64) - AVERAGE(AG$62:AG$63), "")</f>
        <v/>
      </c>
      <c r="AH55" s="6" t="str">
        <f>IF(water_OFF!AH55, (water_ON!AH55+500-water_ON!AH$64) - (water_OFF!AH55+500-water_OFF!AH$64) - AVERAGE(AH$62:AH$63), "")</f>
        <v/>
      </c>
      <c r="AI55" s="6" t="str">
        <f>IF(water_OFF!AI55, (water_ON!AI55+500-water_ON!AI$64) - (water_OFF!AI55+500-water_OFF!AI$64) - AVERAGE(AI$62:AI$63), "")</f>
        <v/>
      </c>
      <c r="AJ55" s="6" t="str">
        <f>IF(water_OFF!AJ55, (water_ON!AJ55+500-water_ON!AJ$64) - (water_OFF!AJ55+500-water_OFF!AJ$64) - AVERAGE(AJ$62:AJ$63), "")</f>
        <v/>
      </c>
      <c r="AK55" s="27" t="str">
        <f>IF(water_OFF!AK55, (water_ON!AK55+500-water_ON!AK$64) - (water_OFF!AK55+500-water_OFF!AK$64) - AVERAGE(AK$62:AK$63), "")</f>
        <v/>
      </c>
      <c r="AL55" s="6"/>
      <c r="AM55" s="6"/>
      <c r="AN55" s="6"/>
      <c r="AO55" s="6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1:66">
      <c r="A56" s="18">
        <v>55</v>
      </c>
      <c r="B56" s="36">
        <f>water_ON!B56 - water_OFF!B56 - AVERAGE(B$62:B$63)</f>
        <v>-2.8421709430404007E-14</v>
      </c>
      <c r="C56" s="36">
        <f>water_ON!C56 - water_OFF!C56 - AVERAGE(C$62:C$63)</f>
        <v>9.9999999999965894E-2</v>
      </c>
      <c r="D56" s="36">
        <f>water_ON!D56 - water_OFF!D56 - AVERAGE(D$62:D$63)</f>
        <v>5.0000000000011369E-2</v>
      </c>
      <c r="E56" s="36">
        <f>water_ON!E56 - water_OFF!E56 - AVERAGE(E$62:E$63)</f>
        <v>-5.000000000003979E-2</v>
      </c>
      <c r="F56" s="36">
        <f>water_ON!F56 - water_OFF!F56 - AVERAGE(F$62:F$63)</f>
        <v>-2.8421709430404007E-14</v>
      </c>
      <c r="G56" s="36">
        <f>water_ON!G56 - water_OFF!G56 - AVERAGE(G$62:G$63)</f>
        <v>-9.9999999999994316E-2</v>
      </c>
      <c r="H56" s="36">
        <f>water_ON!H56 - water_OFF!H56 - AVERAGE(H$62:H$63)</f>
        <v>9.9999999999965894E-2</v>
      </c>
      <c r="I56" s="36">
        <f>water_ON!I56 - water_OFF!I56 - AVERAGE(I$62:I$63)</f>
        <v>3.8500000000000227</v>
      </c>
      <c r="J56" s="36">
        <f>water_ON!J56 - water_OFF!J56 - AVERAGE(J$62:J$63)</f>
        <v>0.10000000000005116</v>
      </c>
      <c r="K56" s="36">
        <f>water_ON!K56 - water_OFF!K56 - AVERAGE(K$62:K$63)</f>
        <v>0</v>
      </c>
      <c r="L56" s="36">
        <f>water_ON!L56 - water_OFF!L56 - AVERAGE(L$62:L$63)</f>
        <v>-4.9999999999926104E-2</v>
      </c>
      <c r="M56" s="36">
        <f>water_ON!M56 - water_OFF!M56 - AVERAGE(M$62:M$63)</f>
        <v>2.4000000000000341</v>
      </c>
      <c r="N56" s="36">
        <f>water_ON!N56 - water_OFF!N56 - AVERAGE(N$62:N$63)</f>
        <v>0.55000000000003979</v>
      </c>
      <c r="O56" s="36">
        <f>water_ON!O56 - water_OFF!O56 - AVERAGE(O$62:O$63)</f>
        <v>0.19999999999998863</v>
      </c>
      <c r="P56" s="36">
        <f>water_ON!P56 - water_OFF!P56 - AVERAGE(P$62:P$63)</f>
        <v>0</v>
      </c>
      <c r="Q56" s="36">
        <f>water_ON!Q56 - water_OFF!Q56 - AVERAGE(Q$62:Q$63)</f>
        <v>0.95000000000004547</v>
      </c>
      <c r="R56" s="36">
        <f>water_ON!R56 - water_OFF!R56 - AVERAGE(R$62:R$63)</f>
        <v>1.3499999999999943</v>
      </c>
      <c r="S56" s="36">
        <f>water_ON!S56 - water_OFF!S56 - AVERAGE(S$62:S$63)</f>
        <v>0.89999999999997726</v>
      </c>
      <c r="T56" s="36">
        <f>water_ON!T56 - water_OFF!T56 - AVERAGE(T$62:T$63)</f>
        <v>0.29999999999995453</v>
      </c>
      <c r="U56" s="27"/>
      <c r="V56" s="6" t="str">
        <f>IF(water_OFF!V56, (water_ON!V56+500-water_ON!V$64) - (water_OFF!V56+500-water_OFF!V$64) - AVERAGE(V$62:V$63), "")</f>
        <v/>
      </c>
      <c r="W56" s="6" t="str">
        <f>IF(water_OFF!W56, (water_ON!W56+500-water_ON!W$64) - (water_OFF!W56+500-water_OFF!W$64) - AVERAGE(W$62:W$63), "")</f>
        <v/>
      </c>
      <c r="X56" s="6" t="str">
        <f>IF(water_OFF!X56, (water_ON!X56+500-water_ON!X$64) - (water_OFF!X56+500-water_OFF!X$64) - AVERAGE(X$62:X$63), "")</f>
        <v/>
      </c>
      <c r="Y56" s="6" t="str">
        <f>IF(water_OFF!Y56, (water_ON!Y56+500-water_ON!Y$64) - (water_OFF!Y56+500-water_OFF!Y$64) - AVERAGE(Y$62:Y$63), "")</f>
        <v/>
      </c>
      <c r="Z56" s="6" t="str">
        <f>IF(water_OFF!Z56, (water_ON!Z56+500-water_ON!Z$64) - (water_OFF!Z56+500-water_OFF!Z$64) - AVERAGE(Z$62:Z$63), "")</f>
        <v/>
      </c>
      <c r="AA56" s="6" t="str">
        <f>IF(water_OFF!AA56, (water_ON!AA56+500-water_ON!AA$64) - (water_OFF!AA56+500-water_OFF!AA$64) - AVERAGE(AA$62:AA$63), "")</f>
        <v/>
      </c>
      <c r="AB56" s="6" t="str">
        <f>IF(water_OFF!AB56, (water_ON!AB56+500-water_ON!AB$64) - (water_OFF!AB56+500-water_OFF!AB$64) - AVERAGE(AB$62:AB$63), "")</f>
        <v/>
      </c>
      <c r="AC56" s="6" t="str">
        <f>IF(water_OFF!AC56, (water_ON!AC56+500-water_ON!AC$64) - (water_OFF!AC56+500-water_OFF!AC$64) - AVERAGE(AC$62:AC$63), "")</f>
        <v/>
      </c>
      <c r="AD56" s="6" t="str">
        <f>IF(water_OFF!AD56, (water_ON!AD56+500-water_ON!AD$64) - (water_OFF!AD56+500-water_OFF!AD$64) - AVERAGE(AD$62:AD$63), "")</f>
        <v/>
      </c>
      <c r="AE56" s="6" t="str">
        <f>IF(water_OFF!AE56, (water_ON!AE56+500-water_ON!AE$64) - (water_OFF!AE56+500-water_OFF!AE$64) - AVERAGE(AE$62:AE$63), "")</f>
        <v/>
      </c>
      <c r="AF56" s="6" t="str">
        <f>IF(water_OFF!AF56, (water_ON!AF56+500-water_ON!AF$64) - (water_OFF!AF56+500-water_OFF!AF$64) - AVERAGE(AF$62:AF$63), "")</f>
        <v/>
      </c>
      <c r="AG56" s="6" t="str">
        <f>IF(water_OFF!AG56, (water_ON!AG56+500-water_ON!AG$64) - (water_OFF!AG56+500-water_OFF!AG$64) - AVERAGE(AG$62:AG$63), "")</f>
        <v/>
      </c>
      <c r="AH56" s="6" t="str">
        <f>IF(water_OFF!AH56, (water_ON!AH56+500-water_ON!AH$64) - (water_OFF!AH56+500-water_OFF!AH$64) - AVERAGE(AH$62:AH$63), "")</f>
        <v/>
      </c>
      <c r="AI56" s="6" t="str">
        <f>IF(water_OFF!AI56, (water_ON!AI56+500-water_ON!AI$64) - (water_OFF!AI56+500-water_OFF!AI$64) - AVERAGE(AI$62:AI$63), "")</f>
        <v/>
      </c>
      <c r="AJ56" s="6" t="str">
        <f>IF(water_OFF!AJ56, (water_ON!AJ56+500-water_ON!AJ$64) - (water_OFF!AJ56+500-water_OFF!AJ$64) - AVERAGE(AJ$62:AJ$63), "")</f>
        <v/>
      </c>
      <c r="AK56" s="27" t="str">
        <f>IF(water_OFF!AK56, (water_ON!AK56+500-water_ON!AK$64) - (water_OFF!AK56+500-water_OFF!AK$64) - AVERAGE(AK$62:AK$63), "")</f>
        <v/>
      </c>
      <c r="AL56" s="6"/>
      <c r="AM56" s="6"/>
      <c r="AN56" s="6"/>
      <c r="AO56" s="6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 spans="1:66">
      <c r="A57" s="18">
        <v>56</v>
      </c>
      <c r="B57" s="36">
        <f>water_ON!B57 - water_OFF!B57 - AVERAGE(B$62:B$63)</f>
        <v>9.9999999999994316E-2</v>
      </c>
      <c r="C57" s="36">
        <f>water_ON!C57 - water_OFF!C57 - AVERAGE(C$62:C$63)</f>
        <v>9.9999999999965894E-2</v>
      </c>
      <c r="D57" s="36">
        <f>water_ON!D57 - water_OFF!D57 - AVERAGE(D$62:D$63)</f>
        <v>-5.0000000000011369E-2</v>
      </c>
      <c r="E57" s="36">
        <f>water_ON!E57 - water_OFF!E57 - AVERAGE(E$62:E$63)</f>
        <v>4.9999999999982947E-2</v>
      </c>
      <c r="F57" s="36">
        <f>water_ON!F57 - water_OFF!F57 - AVERAGE(F$62:F$63)</f>
        <v>-2.8421709430404007E-14</v>
      </c>
      <c r="G57" s="36">
        <f>water_ON!G57 - water_OFF!G57 - AVERAGE(G$62:G$63)</f>
        <v>-9.9999999999994316E-2</v>
      </c>
      <c r="H57" s="36">
        <f>water_ON!H57 - water_OFF!H57 - AVERAGE(H$62:H$63)</f>
        <v>0</v>
      </c>
      <c r="I57" s="36">
        <f>water_ON!I57 - water_OFF!I57 - AVERAGE(I$62:I$63)</f>
        <v>-5.0000000000011369E-2</v>
      </c>
      <c r="J57" s="36">
        <f>water_ON!J57 - water_OFF!J57 - AVERAGE(J$62:J$63)</f>
        <v>-9.9999999999994316E-2</v>
      </c>
      <c r="K57" s="36">
        <f>water_ON!K57 - water_OFF!K57 - AVERAGE(K$62:K$63)</f>
        <v>0</v>
      </c>
      <c r="L57" s="36">
        <f>water_ON!L57 - water_OFF!L57 - AVERAGE(L$62:L$63)</f>
        <v>-0.14999999999994884</v>
      </c>
      <c r="M57" s="36">
        <f>water_ON!M57 - water_OFF!M57 - AVERAGE(M$62:M$63)</f>
        <v>0.10000000000002274</v>
      </c>
      <c r="N57" s="36">
        <f>water_ON!N57 - water_OFF!N57 - AVERAGE(N$62:N$63)</f>
        <v>4.9999999999982947E-2</v>
      </c>
      <c r="O57" s="36">
        <f>water_ON!O57 - water_OFF!O57 - AVERAGE(O$62:O$63)</f>
        <v>0</v>
      </c>
      <c r="P57" s="36">
        <f>water_ON!P57 - water_OFF!P57 - AVERAGE(P$62:P$63)</f>
        <v>-9.9999999999965894E-2</v>
      </c>
      <c r="Q57" s="36">
        <f>water_ON!Q57 - water_OFF!Q57 - AVERAGE(Q$62:Q$63)</f>
        <v>-4.9999999999954525E-2</v>
      </c>
      <c r="R57" s="36">
        <f>water_ON!R57 - water_OFF!R57 - AVERAGE(R$62:R$63)</f>
        <v>-4.9999999999982947E-2</v>
      </c>
      <c r="S57" s="36">
        <f>water_ON!S57 - water_OFF!S57 - AVERAGE(S$62:S$63)</f>
        <v>0</v>
      </c>
      <c r="T57" s="36">
        <f>water_ON!T57 - water_OFF!T57 - AVERAGE(T$62:T$63)</f>
        <v>0</v>
      </c>
      <c r="U57" s="27"/>
      <c r="V57" s="6" t="str">
        <f>IF(water_OFF!V57, (water_ON!V57+500-water_ON!V$64) - (water_OFF!V57+500-water_OFF!V$64) - AVERAGE(V$62:V$63), "")</f>
        <v/>
      </c>
      <c r="W57" s="6" t="str">
        <f>IF(water_OFF!W57, (water_ON!W57+500-water_ON!W$64) - (water_OFF!W57+500-water_OFF!W$64) - AVERAGE(W$62:W$63), "")</f>
        <v/>
      </c>
      <c r="X57" s="6" t="str">
        <f>IF(water_OFF!X57, (water_ON!X57+500-water_ON!X$64) - (water_OFF!X57+500-water_OFF!X$64) - AVERAGE(X$62:X$63), "")</f>
        <v/>
      </c>
      <c r="Y57" s="6" t="str">
        <f>IF(water_OFF!Y57, (water_ON!Y57+500-water_ON!Y$64) - (water_OFF!Y57+500-water_OFF!Y$64) - AVERAGE(Y$62:Y$63), "")</f>
        <v/>
      </c>
      <c r="Z57" s="6" t="str">
        <f>IF(water_OFF!Z57, (water_ON!Z57+500-water_ON!Z$64) - (water_OFF!Z57+500-water_OFF!Z$64) - AVERAGE(Z$62:Z$63), "")</f>
        <v/>
      </c>
      <c r="AA57" s="6" t="str">
        <f>IF(water_OFF!AA57, (water_ON!AA57+500-water_ON!AA$64) - (water_OFF!AA57+500-water_OFF!AA$64) - AVERAGE(AA$62:AA$63), "")</f>
        <v/>
      </c>
      <c r="AB57" s="6" t="str">
        <f>IF(water_OFF!AB57, (water_ON!AB57+500-water_ON!AB$64) - (water_OFF!AB57+500-water_OFF!AB$64) - AVERAGE(AB$62:AB$63), "")</f>
        <v/>
      </c>
      <c r="AC57" s="6" t="str">
        <f>IF(water_OFF!AC57, (water_ON!AC57+500-water_ON!AC$64) - (water_OFF!AC57+500-water_OFF!AC$64) - AVERAGE(AC$62:AC$63), "")</f>
        <v/>
      </c>
      <c r="AD57" s="6" t="str">
        <f>IF(water_OFF!AD57, (water_ON!AD57+500-water_ON!AD$64) - (water_OFF!AD57+500-water_OFF!AD$64) - AVERAGE(AD$62:AD$63), "")</f>
        <v/>
      </c>
      <c r="AE57" s="6" t="str">
        <f>IF(water_OFF!AE57, (water_ON!AE57+500-water_ON!AE$64) - (water_OFF!AE57+500-water_OFF!AE$64) - AVERAGE(AE$62:AE$63), "")</f>
        <v/>
      </c>
      <c r="AF57" s="6" t="str">
        <f>IF(water_OFF!AF57, (water_ON!AF57+500-water_ON!AF$64) - (water_OFF!AF57+500-water_OFF!AF$64) - AVERAGE(AF$62:AF$63), "")</f>
        <v/>
      </c>
      <c r="AG57" s="6" t="str">
        <f>IF(water_OFF!AG57, (water_ON!AG57+500-water_ON!AG$64) - (water_OFF!AG57+500-water_OFF!AG$64) - AVERAGE(AG$62:AG$63), "")</f>
        <v/>
      </c>
      <c r="AH57" s="6" t="str">
        <f>IF(water_OFF!AH57, (water_ON!AH57+500-water_ON!AH$64) - (water_OFF!AH57+500-water_OFF!AH$64) - AVERAGE(AH$62:AH$63), "")</f>
        <v/>
      </c>
      <c r="AI57" s="6" t="str">
        <f>IF(water_OFF!AI57, (water_ON!AI57+500-water_ON!AI$64) - (water_OFF!AI57+500-water_OFF!AI$64) - AVERAGE(AI$62:AI$63), "")</f>
        <v/>
      </c>
      <c r="AJ57" s="6" t="str">
        <f>IF(water_OFF!AJ57, (water_ON!AJ57+500-water_ON!AJ$64) - (water_OFF!AJ57+500-water_OFF!AJ$64) - AVERAGE(AJ$62:AJ$63), "")</f>
        <v/>
      </c>
      <c r="AK57" s="27" t="str">
        <f>IF(water_OFF!AK57, (water_ON!AK57+500-water_ON!AK$64) - (water_OFF!AK57+500-water_OFF!AK$64) - AVERAGE(AK$62:AK$63), "")</f>
        <v/>
      </c>
      <c r="AL57" s="6"/>
      <c r="AM57" s="6"/>
      <c r="AN57" s="6"/>
      <c r="AO57" s="6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 spans="1:66">
      <c r="A58" s="18">
        <v>57</v>
      </c>
      <c r="B58" s="36">
        <f>water_ON!B58 - water_OFF!B58 - AVERAGE(B$62:B$63)</f>
        <v>0.49999999999997158</v>
      </c>
      <c r="C58" s="36">
        <f>water_ON!C58 - water_OFF!C58 - AVERAGE(C$62:C$63)</f>
        <v>0</v>
      </c>
      <c r="D58" s="36">
        <f>water_ON!D58 - water_OFF!D58 - AVERAGE(D$62:D$63)</f>
        <v>-5.0000000000011369E-2</v>
      </c>
      <c r="E58" s="36">
        <f>water_ON!E58 - water_OFF!E58 - AVERAGE(E$62:E$63)</f>
        <v>4.9999999999982947E-2</v>
      </c>
      <c r="F58" s="36">
        <f>water_ON!F58 - water_OFF!F58 - AVERAGE(F$62:F$63)</f>
        <v>0.49999999999997158</v>
      </c>
      <c r="G58" s="36">
        <f>water_ON!G58 - water_OFF!G58 - AVERAGE(G$62:G$63)</f>
        <v>2.8421709430404007E-14</v>
      </c>
      <c r="H58" s="36">
        <f>water_ON!H58 - water_OFF!H58 - AVERAGE(H$62:H$63)</f>
        <v>0.5</v>
      </c>
      <c r="I58" s="36">
        <f>water_ON!I58 - water_OFF!I58 - AVERAGE(I$62:I$63)</f>
        <v>4.9999999999954525E-2</v>
      </c>
      <c r="J58" s="36">
        <f>water_ON!J58 - water_OFF!J58 - AVERAGE(J$62:J$63)</f>
        <v>0.40000000000000568</v>
      </c>
      <c r="K58" s="36">
        <f>water_ON!K58 - water_OFF!K58 - AVERAGE(K$62:K$63)</f>
        <v>0.10000000000002274</v>
      </c>
      <c r="L58" s="36">
        <f>water_ON!L58 - water_OFF!L58 - AVERAGE(L$62:L$63)</f>
        <v>1.2500000000000284</v>
      </c>
      <c r="M58" s="36">
        <f>water_ON!M58 - water_OFF!M58 - AVERAGE(M$62:M$63)</f>
        <v>0.10000000000002274</v>
      </c>
      <c r="N58" s="36">
        <f>water_ON!N58 - water_OFF!N58 - AVERAGE(N$62:N$63)</f>
        <v>0.95000000000001705</v>
      </c>
      <c r="O58" s="36">
        <f>water_ON!O58 - water_OFF!O58 - AVERAGE(O$62:O$63)</f>
        <v>9.9999999999965894E-2</v>
      </c>
      <c r="P58" s="36">
        <f>water_ON!P58 - water_OFF!P58 - AVERAGE(P$62:P$63)</f>
        <v>0</v>
      </c>
      <c r="Q58" s="36">
        <f>water_ON!Q58 - water_OFF!Q58 - AVERAGE(Q$62:Q$63)</f>
        <v>0.94999999999998863</v>
      </c>
      <c r="R58" s="36">
        <f>water_ON!R58 - water_OFF!R58 - AVERAGE(R$62:R$63)</f>
        <v>-4.9999999999982947E-2</v>
      </c>
      <c r="S58" s="36">
        <f>water_ON!S58 - water_OFF!S58 - AVERAGE(S$62:S$63)</f>
        <v>0.30000000000001137</v>
      </c>
      <c r="T58" s="36">
        <f>water_ON!T58 - water_OFF!T58 - AVERAGE(T$62:T$63)</f>
        <v>0.39999999999997726</v>
      </c>
      <c r="U58" s="27"/>
      <c r="V58" s="6" t="str">
        <f>IF(water_OFF!V58, (water_ON!V58+500-water_ON!V$64) - (water_OFF!V58+500-water_OFF!V$64) - AVERAGE(V$62:V$63), "")</f>
        <v/>
      </c>
      <c r="W58" s="6" t="str">
        <f>IF(water_OFF!W58, (water_ON!W58+500-water_ON!W$64) - (water_OFF!W58+500-water_OFF!W$64) - AVERAGE(W$62:W$63), "")</f>
        <v/>
      </c>
      <c r="X58" s="6" t="str">
        <f>IF(water_OFF!X58, (water_ON!X58+500-water_ON!X$64) - (water_OFF!X58+500-water_OFF!X$64) - AVERAGE(X$62:X$63), "")</f>
        <v/>
      </c>
      <c r="Y58" s="6" t="str">
        <f>IF(water_OFF!Y58, (water_ON!Y58+500-water_ON!Y$64) - (water_OFF!Y58+500-water_OFF!Y$64) - AVERAGE(Y$62:Y$63), "")</f>
        <v/>
      </c>
      <c r="Z58" s="6" t="str">
        <f>IF(water_OFF!Z58, (water_ON!Z58+500-water_ON!Z$64) - (water_OFF!Z58+500-water_OFF!Z$64) - AVERAGE(Z$62:Z$63), "")</f>
        <v/>
      </c>
      <c r="AA58" s="6" t="str">
        <f>IF(water_OFF!AA58, (water_ON!AA58+500-water_ON!AA$64) - (water_OFF!AA58+500-water_OFF!AA$64) - AVERAGE(AA$62:AA$63), "")</f>
        <v/>
      </c>
      <c r="AB58" s="6" t="str">
        <f>IF(water_OFF!AB58, (water_ON!AB58+500-water_ON!AB$64) - (water_OFF!AB58+500-water_OFF!AB$64) - AVERAGE(AB$62:AB$63), "")</f>
        <v/>
      </c>
      <c r="AC58" s="6" t="str">
        <f>IF(water_OFF!AC58, (water_ON!AC58+500-water_ON!AC$64) - (water_OFF!AC58+500-water_OFF!AC$64) - AVERAGE(AC$62:AC$63), "")</f>
        <v/>
      </c>
      <c r="AD58" s="6" t="str">
        <f>IF(water_OFF!AD58, (water_ON!AD58+500-water_ON!AD$64) - (water_OFF!AD58+500-water_OFF!AD$64) - AVERAGE(AD$62:AD$63), "")</f>
        <v/>
      </c>
      <c r="AE58" s="6" t="str">
        <f>IF(water_OFF!AE58, (water_ON!AE58+500-water_ON!AE$64) - (water_OFF!AE58+500-water_OFF!AE$64) - AVERAGE(AE$62:AE$63), "")</f>
        <v/>
      </c>
      <c r="AF58" s="6" t="str">
        <f>IF(water_OFF!AF58, (water_ON!AF58+500-water_ON!AF$64) - (water_OFF!AF58+500-water_OFF!AF$64) - AVERAGE(AF$62:AF$63), "")</f>
        <v/>
      </c>
      <c r="AG58" s="6" t="str">
        <f>IF(water_OFF!AG58, (water_ON!AG58+500-water_ON!AG$64) - (water_OFF!AG58+500-water_OFF!AG$64) - AVERAGE(AG$62:AG$63), "")</f>
        <v/>
      </c>
      <c r="AH58" s="6" t="str">
        <f>IF(water_OFF!AH58, (water_ON!AH58+500-water_ON!AH$64) - (water_OFF!AH58+500-water_OFF!AH$64) - AVERAGE(AH$62:AH$63), "")</f>
        <v/>
      </c>
      <c r="AI58" s="6" t="str">
        <f>IF(water_OFF!AI58, (water_ON!AI58+500-water_ON!AI$64) - (water_OFF!AI58+500-water_OFF!AI$64) - AVERAGE(AI$62:AI$63), "")</f>
        <v/>
      </c>
      <c r="AJ58" s="6" t="str">
        <f>IF(water_OFF!AJ58, (water_ON!AJ58+500-water_ON!AJ$64) - (water_OFF!AJ58+500-water_OFF!AJ$64) - AVERAGE(AJ$62:AJ$63), "")</f>
        <v/>
      </c>
      <c r="AK58" s="27" t="str">
        <f>IF(water_OFF!AK58, (water_ON!AK58+500-water_ON!AK$64) - (water_OFF!AK58+500-water_OFF!AK$64) - AVERAGE(AK$62:AK$63), "")</f>
        <v/>
      </c>
      <c r="AL58" s="6"/>
      <c r="AM58" s="6"/>
      <c r="AN58" s="6"/>
      <c r="AO58" s="6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</row>
    <row r="59" spans="1:66">
      <c r="A59" s="18">
        <v>58</v>
      </c>
      <c r="B59" s="36">
        <f>water_ON!B59 - water_OFF!B59 - AVERAGE(B$62:B$63)</f>
        <v>1.5999999999999943</v>
      </c>
      <c r="C59" s="36">
        <f>water_ON!C59 - water_OFF!C59 - AVERAGE(C$62:C$63)</f>
        <v>1.5</v>
      </c>
      <c r="D59" s="36">
        <f>water_ON!D59 - water_OFF!D59 - AVERAGE(D$62:D$63)</f>
        <v>2.9499999999999886</v>
      </c>
      <c r="E59" s="36">
        <f>water_ON!E59 - water_OFF!E59 - AVERAGE(E$62:E$63)</f>
        <v>0.24999999999997158</v>
      </c>
      <c r="F59" s="36">
        <f>water_ON!F59 - water_OFF!F59 - AVERAGE(F$62:F$63)</f>
        <v>2.7000000000000171</v>
      </c>
      <c r="G59" s="36">
        <f>water_ON!G59 - water_OFF!G59 - AVERAGE(G$62:G$63)</f>
        <v>2.7000000000000171</v>
      </c>
      <c r="H59" s="36">
        <f>water_ON!H59 - water_OFF!H59 - AVERAGE(H$62:H$63)</f>
        <v>1.6000000000000227</v>
      </c>
      <c r="I59" s="36">
        <f>water_ON!I59 - water_OFF!I59 - AVERAGE(I$62:I$63)</f>
        <v>1.5499999999999545</v>
      </c>
      <c r="J59" s="36">
        <f>water_ON!J59 - water_OFF!J59 - AVERAGE(J$62:J$63)</f>
        <v>1.5000000000000284</v>
      </c>
      <c r="K59" s="36">
        <f>water_ON!K59 - water_OFF!K59 - AVERAGE(K$62:K$63)</f>
        <v>3.4000000000000341</v>
      </c>
      <c r="L59" s="36">
        <f>water_ON!L59 - water_OFF!L59 - AVERAGE(L$62:L$63)</f>
        <v>3.5499999999999829</v>
      </c>
      <c r="M59" s="36">
        <f>water_ON!M59 - water_OFF!M59 - AVERAGE(M$62:M$63)</f>
        <v>0.80000000000006821</v>
      </c>
      <c r="N59" s="36">
        <f>water_ON!N59 - water_OFF!N59 - AVERAGE(N$62:N$63)</f>
        <v>3.2499999999999716</v>
      </c>
      <c r="O59" s="36">
        <f>water_ON!O59 - water_OFF!O59 - AVERAGE(O$62:O$63)</f>
        <v>1.1999999999999886</v>
      </c>
      <c r="P59" s="36">
        <f>water_ON!P59 - water_OFF!P59 - AVERAGE(P$62:P$63)</f>
        <v>1.1999999999999886</v>
      </c>
      <c r="Q59" s="36">
        <f>water_ON!Q59 - water_OFF!Q59 - AVERAGE(Q$62:Q$63)</f>
        <v>1.0500000000000682</v>
      </c>
      <c r="R59" s="36">
        <f>water_ON!R59 - water_OFF!R59 - AVERAGE(R$62:R$63)</f>
        <v>0.55000000000003979</v>
      </c>
      <c r="S59" s="36">
        <f>water_ON!S59 - water_OFF!S59 - AVERAGE(S$62:S$63)</f>
        <v>3.2000000000000455</v>
      </c>
      <c r="T59" s="36">
        <f>water_ON!T59 - water_OFF!T59 - AVERAGE(T$62:T$63)</f>
        <v>0.89999999999997726</v>
      </c>
      <c r="U59" s="27"/>
      <c r="V59" s="6" t="str">
        <f>IF(water_OFF!V59, (water_ON!V59+500-water_ON!V$64) - (water_OFF!V59+500-water_OFF!V$64) - AVERAGE(V$62:V$63), "")</f>
        <v/>
      </c>
      <c r="W59" s="6" t="str">
        <f>IF(water_OFF!W59, (water_ON!W59+500-water_ON!W$64) - (water_OFF!W59+500-water_OFF!W$64) - AVERAGE(W$62:W$63), "")</f>
        <v/>
      </c>
      <c r="X59" s="6" t="str">
        <f>IF(water_OFF!X59, (water_ON!X59+500-water_ON!X$64) - (water_OFF!X59+500-water_OFF!X$64) - AVERAGE(X$62:X$63), "")</f>
        <v/>
      </c>
      <c r="Y59" s="6" t="str">
        <f>IF(water_OFF!Y59, (water_ON!Y59+500-water_ON!Y$64) - (water_OFF!Y59+500-water_OFF!Y$64) - AVERAGE(Y$62:Y$63), "")</f>
        <v/>
      </c>
      <c r="Z59" s="6" t="str">
        <f>IF(water_OFF!Z59, (water_ON!Z59+500-water_ON!Z$64) - (water_OFF!Z59+500-water_OFF!Z$64) - AVERAGE(Z$62:Z$63), "")</f>
        <v/>
      </c>
      <c r="AA59" s="6" t="str">
        <f>IF(water_OFF!AA59, (water_ON!AA59+500-water_ON!AA$64) - (water_OFF!AA59+500-water_OFF!AA$64) - AVERAGE(AA$62:AA$63), "")</f>
        <v/>
      </c>
      <c r="AB59" s="6" t="str">
        <f>IF(water_OFF!AB59, (water_ON!AB59+500-water_ON!AB$64) - (water_OFF!AB59+500-water_OFF!AB$64) - AVERAGE(AB$62:AB$63), "")</f>
        <v/>
      </c>
      <c r="AC59" s="6" t="str">
        <f>IF(water_OFF!AC59, (water_ON!AC59+500-water_ON!AC$64) - (water_OFF!AC59+500-water_OFF!AC$64) - AVERAGE(AC$62:AC$63), "")</f>
        <v/>
      </c>
      <c r="AD59" s="6" t="str">
        <f>IF(water_OFF!AD59, (water_ON!AD59+500-water_ON!AD$64) - (water_OFF!AD59+500-water_OFF!AD$64) - AVERAGE(AD$62:AD$63), "")</f>
        <v/>
      </c>
      <c r="AE59" s="6" t="str">
        <f>IF(water_OFF!AE59, (water_ON!AE59+500-water_ON!AE$64) - (water_OFF!AE59+500-water_OFF!AE$64) - AVERAGE(AE$62:AE$63), "")</f>
        <v/>
      </c>
      <c r="AF59" s="6" t="str">
        <f>IF(water_OFF!AF59, (water_ON!AF59+500-water_ON!AF$64) - (water_OFF!AF59+500-water_OFF!AF$64) - AVERAGE(AF$62:AF$63), "")</f>
        <v/>
      </c>
      <c r="AG59" s="6" t="str">
        <f>IF(water_OFF!AG59, (water_ON!AG59+500-water_ON!AG$64) - (water_OFF!AG59+500-water_OFF!AG$64) - AVERAGE(AG$62:AG$63), "")</f>
        <v/>
      </c>
      <c r="AH59" s="6" t="str">
        <f>IF(water_OFF!AH59, (water_ON!AH59+500-water_ON!AH$64) - (water_OFF!AH59+500-water_OFF!AH$64) - AVERAGE(AH$62:AH$63), "")</f>
        <v/>
      </c>
      <c r="AI59" s="6" t="str">
        <f>IF(water_OFF!AI59, (water_ON!AI59+500-water_ON!AI$64) - (water_OFF!AI59+500-water_OFF!AI$64) - AVERAGE(AI$62:AI$63), "")</f>
        <v/>
      </c>
      <c r="AJ59" s="6" t="str">
        <f>IF(water_OFF!AJ59, (water_ON!AJ59+500-water_ON!AJ$64) - (water_OFF!AJ59+500-water_OFF!AJ$64) - AVERAGE(AJ$62:AJ$63), "")</f>
        <v/>
      </c>
      <c r="AK59" s="27" t="str">
        <f>IF(water_OFF!AK59, (water_ON!AK59+500-water_ON!AK$64) - (water_OFF!AK59+500-water_OFF!AK$64) - AVERAGE(AK$62:AK$63), "")</f>
        <v/>
      </c>
      <c r="AL59" s="6"/>
      <c r="AM59" s="6"/>
      <c r="AN59" s="46"/>
      <c r="AO59" s="6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</row>
    <row r="60" spans="1:66">
      <c r="A60" s="18">
        <v>59</v>
      </c>
      <c r="B60" s="36">
        <f>water_ON!B60 - water_OFF!B60 - AVERAGE(B$62:B$63)</f>
        <v>-2.8421709430404007E-14</v>
      </c>
      <c r="C60" s="36">
        <f>water_ON!C60 - water_OFF!C60 - AVERAGE(C$62:C$63)</f>
        <v>0</v>
      </c>
      <c r="D60" s="36">
        <f>water_ON!D60 - water_OFF!D60 - AVERAGE(D$62:D$63)</f>
        <v>-5.0000000000011369E-2</v>
      </c>
      <c r="E60" s="36">
        <f>water_ON!E60 - water_OFF!E60 - AVERAGE(E$62:E$63)</f>
        <v>-5.000000000003979E-2</v>
      </c>
      <c r="F60" s="36">
        <f>water_ON!F60 - water_OFF!F60 - AVERAGE(F$62:F$63)</f>
        <v>9.9999999999994316E-2</v>
      </c>
      <c r="G60" s="36">
        <f>water_ON!G60 - water_OFF!G60 - AVERAGE(G$62:G$63)</f>
        <v>0.20000000000001705</v>
      </c>
      <c r="H60" s="36">
        <f>water_ON!H60 - water_OFF!H60 - AVERAGE(H$62:H$63)</f>
        <v>0.10000000000002274</v>
      </c>
      <c r="I60" s="36">
        <f>water_ON!I60 - water_OFF!I60 - AVERAGE(I$62:I$63)</f>
        <v>-5.0000000000011369E-2</v>
      </c>
      <c r="J60" s="36">
        <f>water_ON!J60 - water_OFF!J60 - AVERAGE(J$62:J$63)</f>
        <v>2.8421709430404007E-14</v>
      </c>
      <c r="K60" s="36">
        <f>water_ON!K60 - water_OFF!K60 - AVERAGE(K$62:K$63)</f>
        <v>0.19999999999998863</v>
      </c>
      <c r="L60" s="36">
        <f>water_ON!L60 - water_OFF!L60 - AVERAGE(L$62:L$63)</f>
        <v>-0.15000000000000568</v>
      </c>
      <c r="M60" s="36">
        <f>water_ON!M60 - water_OFF!M60 - AVERAGE(M$62:M$63)</f>
        <v>0.10000000000002274</v>
      </c>
      <c r="N60" s="36">
        <f>water_ON!N60 - water_OFF!N60 - AVERAGE(N$62:N$63)</f>
        <v>5.000000000003979E-2</v>
      </c>
      <c r="O60" s="36">
        <f>water_ON!O60 - water_OFF!O60 - AVERAGE(O$62:O$63)</f>
        <v>-5.6843418860808015E-14</v>
      </c>
      <c r="P60" s="36">
        <f>water_ON!P60 - water_OFF!P60 - AVERAGE(P$62:P$63)</f>
        <v>0</v>
      </c>
      <c r="Q60" s="36">
        <f>water_ON!Q60 - water_OFF!Q60 - AVERAGE(Q$62:Q$63)</f>
        <v>-4.9999999999954525E-2</v>
      </c>
      <c r="R60" s="36">
        <f>water_ON!R60 - water_OFF!R60 - AVERAGE(R$62:R$63)</f>
        <v>-4.9999999999982947E-2</v>
      </c>
      <c r="S60" s="36">
        <f>water_ON!S60 - water_OFF!S60 - AVERAGE(S$62:S$63)</f>
        <v>9.9999999999965894E-2</v>
      </c>
      <c r="T60" s="36">
        <f>water_ON!T60 - water_OFF!T60 - AVERAGE(T$62:T$63)</f>
        <v>0</v>
      </c>
      <c r="U60" s="27"/>
      <c r="V60" s="6" t="str">
        <f>IF(water_OFF!V60, (water_ON!V60+500-water_ON!V$64) - (water_OFF!V60+500-water_OFF!V$64) - AVERAGE(V$62:V$63), "")</f>
        <v/>
      </c>
      <c r="W60" s="6" t="str">
        <f>IF(water_OFF!W60, (water_ON!W60+500-water_ON!W$64) - (water_OFF!W60+500-water_OFF!W$64) - AVERAGE(W$62:W$63), "")</f>
        <v/>
      </c>
      <c r="X60" s="6" t="str">
        <f>IF(water_OFF!X60, (water_ON!X60+500-water_ON!X$64) - (water_OFF!X60+500-water_OFF!X$64) - AVERAGE(X$62:X$63), "")</f>
        <v/>
      </c>
      <c r="Y60" s="6" t="str">
        <f>IF(water_OFF!Y60, (water_ON!Y60+500-water_ON!Y$64) - (water_OFF!Y60+500-water_OFF!Y$64) - AVERAGE(Y$62:Y$63), "")</f>
        <v/>
      </c>
      <c r="Z60" s="6" t="str">
        <f>IF(water_OFF!Z60, (water_ON!Z60+500-water_ON!Z$64) - (water_OFF!Z60+500-water_OFF!Z$64) - AVERAGE(Z$62:Z$63), "")</f>
        <v/>
      </c>
      <c r="AA60" s="6" t="str">
        <f>IF(water_OFF!AA60, (water_ON!AA60+500-water_ON!AA$64) - (water_OFF!AA60+500-water_OFF!AA$64) - AVERAGE(AA$62:AA$63), "")</f>
        <v/>
      </c>
      <c r="AB60" s="6" t="str">
        <f>IF(water_OFF!AB60, (water_ON!AB60+500-water_ON!AB$64) - (water_OFF!AB60+500-water_OFF!AB$64) - AVERAGE(AB$62:AB$63), "")</f>
        <v/>
      </c>
      <c r="AC60" s="6" t="str">
        <f>IF(water_OFF!AC60, (water_ON!AC60+500-water_ON!AC$64) - (water_OFF!AC60+500-water_OFF!AC$64) - AVERAGE(AC$62:AC$63), "")</f>
        <v/>
      </c>
      <c r="AD60" s="6" t="str">
        <f>IF(water_OFF!AD60, (water_ON!AD60+500-water_ON!AD$64) - (water_OFF!AD60+500-water_OFF!AD$64) - AVERAGE(AD$62:AD$63), "")</f>
        <v/>
      </c>
      <c r="AE60" s="6" t="str">
        <f>IF(water_OFF!AE60, (water_ON!AE60+500-water_ON!AE$64) - (water_OFF!AE60+500-water_OFF!AE$64) - AVERAGE(AE$62:AE$63), "")</f>
        <v/>
      </c>
      <c r="AF60" s="6" t="str">
        <f>IF(water_OFF!AF60, (water_ON!AF60+500-water_ON!AF$64) - (water_OFF!AF60+500-water_OFF!AF$64) - AVERAGE(AF$62:AF$63), "")</f>
        <v/>
      </c>
      <c r="AG60" s="6" t="str">
        <f>IF(water_OFF!AG60, (water_ON!AG60+500-water_ON!AG$64) - (water_OFF!AG60+500-water_OFF!AG$64) - AVERAGE(AG$62:AG$63), "")</f>
        <v/>
      </c>
      <c r="AH60" s="6" t="str">
        <f>IF(water_OFF!AH60, (water_ON!AH60+500-water_ON!AH$64) - (water_OFF!AH60+500-water_OFF!AH$64) - AVERAGE(AH$62:AH$63), "")</f>
        <v/>
      </c>
      <c r="AI60" s="6" t="str">
        <f>IF(water_OFF!AI60, (water_ON!AI60+500-water_ON!AI$64) - (water_OFF!AI60+500-water_OFF!AI$64) - AVERAGE(AI$62:AI$63), "")</f>
        <v/>
      </c>
      <c r="AJ60" s="6" t="str">
        <f>IF(water_OFF!AJ60, (water_ON!AJ60+500-water_ON!AJ$64) - (water_OFF!AJ60+500-water_OFF!AJ$64) - AVERAGE(AJ$62:AJ$63), "")</f>
        <v/>
      </c>
      <c r="AK60" s="27" t="str">
        <f>IF(water_OFF!AK60, (water_ON!AK60+500-water_ON!AK$64) - (water_OFF!AK60+500-water_OFF!AK$64) - AVERAGE(AK$62:AK$63), "")</f>
        <v/>
      </c>
      <c r="AL60" s="6"/>
      <c r="AM60" s="6"/>
      <c r="AN60" s="46"/>
      <c r="AO60" s="6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</row>
    <row r="61" spans="1:66" s="9" customFormat="1">
      <c r="A61" s="18">
        <v>60</v>
      </c>
      <c r="B61" s="36">
        <f>water_ON!B61 - water_OFF!B61 - AVERAGE(B$62:B$63)</f>
        <v>-2.8421709430404007E-14</v>
      </c>
      <c r="C61" s="36">
        <f>water_ON!C61 - water_OFF!C61 - AVERAGE(C$62:C$63)</f>
        <v>0.19999999999998863</v>
      </c>
      <c r="D61" s="36">
        <f>water_ON!D61 - water_OFF!D61 - AVERAGE(D$62:D$63)</f>
        <v>4.9999999999954525E-2</v>
      </c>
      <c r="E61" s="36">
        <f>water_ON!E61 - water_OFF!E61 - AVERAGE(E$62:E$63)</f>
        <v>4.9999999999982947E-2</v>
      </c>
      <c r="F61" s="36">
        <f>water_ON!F61 - water_OFF!F61 - AVERAGE(F$62:F$63)</f>
        <v>-2.8421709430404007E-14</v>
      </c>
      <c r="G61" s="36">
        <f>water_ON!G61 - water_OFF!G61 - AVERAGE(G$62:G$63)</f>
        <v>-2.8421709430404007E-14</v>
      </c>
      <c r="H61" s="36">
        <f>water_ON!H61 - water_OFF!H61 - AVERAGE(H$62:H$63)</f>
        <v>0</v>
      </c>
      <c r="I61" s="36">
        <f>water_ON!I61 - water_OFF!I61 - AVERAGE(I$62:I$63)</f>
        <v>-5.0000000000011369E-2</v>
      </c>
      <c r="J61" s="36">
        <f>water_ON!J61 - water_OFF!J61 - AVERAGE(J$62:J$63)</f>
        <v>-2.8421709430404007E-14</v>
      </c>
      <c r="K61" s="36">
        <f>water_ON!K61 - water_OFF!K61 - AVERAGE(K$62:K$63)</f>
        <v>-0.10000000000002274</v>
      </c>
      <c r="L61" s="36">
        <f>water_ON!L61 - water_OFF!L61 - AVERAGE(L$62:L$63)</f>
        <v>-0.15000000000000568</v>
      </c>
      <c r="M61" s="36">
        <f>water_ON!M61 - water_OFF!M61 - AVERAGE(M$62:M$63)</f>
        <v>0.10000000000002274</v>
      </c>
      <c r="N61" s="36">
        <f>water_ON!N61 - water_OFF!N61 - AVERAGE(N$62:N$63)</f>
        <v>0.15000000000000568</v>
      </c>
      <c r="O61" s="36">
        <f>water_ON!O61 - water_OFF!O61 - AVERAGE(O$62:O$63)</f>
        <v>-0.10000000000002274</v>
      </c>
      <c r="P61" s="36">
        <f>water_ON!P61 - water_OFF!P61 - AVERAGE(P$62:P$63)</f>
        <v>0</v>
      </c>
      <c r="Q61" s="36">
        <f>water_ON!Q61 - water_OFF!Q61 - AVERAGE(Q$62:Q$63)</f>
        <v>-0.14999999999997726</v>
      </c>
      <c r="R61" s="36">
        <f>water_ON!R61 - water_OFF!R61 - AVERAGE(R$62:R$63)</f>
        <v>-4.9999999999982947E-2</v>
      </c>
      <c r="S61" s="36">
        <f>water_ON!S61 - water_OFF!S61 - AVERAGE(S$62:S$63)</f>
        <v>0</v>
      </c>
      <c r="T61" s="36">
        <f>water_ON!T61 - water_OFF!T61 - AVERAGE(T$62:T$63)</f>
        <v>0</v>
      </c>
      <c r="U61" s="27"/>
      <c r="V61" s="6" t="str">
        <f>IF(water_OFF!V61, (water_ON!V61+500-water_ON!V$64) - (water_OFF!V61+500-water_OFF!V$64) - AVERAGE(V$62:V$63), "")</f>
        <v/>
      </c>
      <c r="W61" s="6" t="str">
        <f>IF(water_OFF!W61, (water_ON!W61+500-water_ON!W$64) - (water_OFF!W61+500-water_OFF!W$64) - AVERAGE(W$62:W$63), "")</f>
        <v/>
      </c>
      <c r="X61" s="6" t="str">
        <f>IF(water_OFF!X61, (water_ON!X61+500-water_ON!X$64) - (water_OFF!X61+500-water_OFF!X$64) - AVERAGE(X$62:X$63), "")</f>
        <v/>
      </c>
      <c r="Y61" s="6" t="str">
        <f>IF(water_OFF!Y61, (water_ON!Y61+500-water_ON!Y$64) - (water_OFF!Y61+500-water_OFF!Y$64) - AVERAGE(Y$62:Y$63), "")</f>
        <v/>
      </c>
      <c r="Z61" s="6" t="str">
        <f>IF(water_OFF!Z61, (water_ON!Z61+500-water_ON!Z$64) - (water_OFF!Z61+500-water_OFF!Z$64) - AVERAGE(Z$62:Z$63), "")</f>
        <v/>
      </c>
      <c r="AA61" s="6" t="str">
        <f>IF(water_OFF!AA61, (water_ON!AA61+500-water_ON!AA$64) - (water_OFF!AA61+500-water_OFF!AA$64) - AVERAGE(AA$62:AA$63), "")</f>
        <v/>
      </c>
      <c r="AB61" s="6" t="str">
        <f>IF(water_OFF!AB61, (water_ON!AB61+500-water_ON!AB$64) - (water_OFF!AB61+500-water_OFF!AB$64) - AVERAGE(AB$62:AB$63), "")</f>
        <v/>
      </c>
      <c r="AC61" s="6" t="str">
        <f>IF(water_OFF!AC61, (water_ON!AC61+500-water_ON!AC$64) - (water_OFF!AC61+500-water_OFF!AC$64) - AVERAGE(AC$62:AC$63), "")</f>
        <v/>
      </c>
      <c r="AD61" s="6" t="str">
        <f>IF(water_OFF!AD61, (water_ON!AD61+500-water_ON!AD$64) - (water_OFF!AD61+500-water_OFF!AD$64) - AVERAGE(AD$62:AD$63), "")</f>
        <v/>
      </c>
      <c r="AE61" s="6" t="str">
        <f>IF(water_OFF!AE61, (water_ON!AE61+500-water_ON!AE$64) - (water_OFF!AE61+500-water_OFF!AE$64) - AVERAGE(AE$62:AE$63), "")</f>
        <v/>
      </c>
      <c r="AF61" s="6" t="str">
        <f>IF(water_OFF!AF61, (water_ON!AF61+500-water_ON!AF$64) - (water_OFF!AF61+500-water_OFF!AF$64) - AVERAGE(AF$62:AF$63), "")</f>
        <v/>
      </c>
      <c r="AG61" s="6" t="str">
        <f>IF(water_OFF!AG61, (water_ON!AG61+500-water_ON!AG$64) - (water_OFF!AG61+500-water_OFF!AG$64) - AVERAGE(AG$62:AG$63), "")</f>
        <v/>
      </c>
      <c r="AH61" s="6" t="str">
        <f>IF(water_OFF!AH61, (water_ON!AH61+500-water_ON!AH$64) - (water_OFF!AH61+500-water_OFF!AH$64) - AVERAGE(AH$62:AH$63), "")</f>
        <v/>
      </c>
      <c r="AI61" s="6" t="str">
        <f>IF(water_OFF!AI61, (water_ON!AI61+500-water_ON!AI$64) - (water_OFF!AI61+500-water_OFF!AI$64) - AVERAGE(AI$62:AI$63), "")</f>
        <v/>
      </c>
      <c r="AJ61" s="6" t="str">
        <f>IF(water_OFF!AJ61, (water_ON!AJ61+500-water_ON!AJ$64) - (water_OFF!AJ61+500-water_OFF!AJ$64) - AVERAGE(AJ$62:AJ$63), "")</f>
        <v/>
      </c>
      <c r="AK61" s="27" t="str">
        <f>IF(water_OFF!AK61, (water_ON!AK61+500-water_ON!AK$64) - (water_OFF!AK61+500-water_OFF!AK$64) - AVERAGE(AK$62:AK$63), "")</f>
        <v/>
      </c>
      <c r="AL61" s="14"/>
      <c r="AM61" s="14"/>
      <c r="AN61" s="47"/>
      <c r="AO61" s="14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/>
    </row>
    <row r="62" spans="1:66" s="2" customFormat="1">
      <c r="A62" s="19" t="s">
        <v>75</v>
      </c>
      <c r="B62" s="84">
        <f>water_ON!B62 - water_OFF!B62</f>
        <v>0</v>
      </c>
      <c r="C62" s="84">
        <f>water_ON!C62 - water_OFF!C62</f>
        <v>0</v>
      </c>
      <c r="D62" s="84">
        <f>water_ON!D62 - water_OFF!D62</f>
        <v>0.10000000000002274</v>
      </c>
      <c r="E62" s="84">
        <f>water_ON!E62 - water_OFF!E62</f>
        <v>-9.9999999999965894E-2</v>
      </c>
      <c r="F62" s="84">
        <f>water_ON!F62 - water_OFF!F62</f>
        <v>0.10000000000002274</v>
      </c>
      <c r="G62" s="84">
        <f>water_ON!G62 - water_OFF!G62</f>
        <v>0</v>
      </c>
      <c r="H62" s="84">
        <f>water_ON!H62 - water_OFF!H62</f>
        <v>0</v>
      </c>
      <c r="I62" s="84">
        <f>water_ON!I62 - water_OFF!I62</f>
        <v>0.10000000000002274</v>
      </c>
      <c r="J62" s="84">
        <f>water_ON!J62 - water_OFF!J62</f>
        <v>9.9999999999965894E-2</v>
      </c>
      <c r="K62" s="84">
        <f>water_ON!K62 - water_OFF!K62</f>
        <v>0</v>
      </c>
      <c r="L62" s="84">
        <f>water_ON!L62 - water_OFF!L62</f>
        <v>0.19999999999998863</v>
      </c>
      <c r="M62" s="84">
        <f>water_ON!M62 - water_OFF!M62</f>
        <v>0</v>
      </c>
      <c r="N62" s="84">
        <f>water_ON!N62 - water_OFF!N62</f>
        <v>0</v>
      </c>
      <c r="O62" s="84">
        <f>water_ON!O62 - water_OFF!O62</f>
        <v>0.10000000000002274</v>
      </c>
      <c r="P62" s="84">
        <f>water_ON!P62 - water_OFF!P62</f>
        <v>0</v>
      </c>
      <c r="Q62" s="84">
        <f>water_ON!Q62 - water_OFF!Q62</f>
        <v>0.19999999999998863</v>
      </c>
      <c r="R62" s="84">
        <f>water_ON!R62 - water_OFF!R62</f>
        <v>0</v>
      </c>
      <c r="S62" s="84">
        <f>water_ON!S62 - water_OFF!S62</f>
        <v>0</v>
      </c>
      <c r="T62" s="84">
        <f>water_ON!T62 - water_OFF!T62</f>
        <v>0</v>
      </c>
      <c r="U62" s="49"/>
      <c r="V62" s="48" t="str">
        <f>IF(water_OFF!V62, (water_ON!V62+500-water_ON!V$64) - (water_OFF!V62+500-water_OFF!V$64), "")</f>
        <v/>
      </c>
      <c r="W62" s="48" t="str">
        <f>IF(water_OFF!W62, (water_ON!W62+500-water_ON!W$64) - (water_OFF!W62+500-water_OFF!W$64), "")</f>
        <v/>
      </c>
      <c r="X62" s="48" t="str">
        <f>IF(water_OFF!X62, (water_ON!X62+500-water_ON!X$64) - (water_OFF!X62+500-water_OFF!X$64), "")</f>
        <v/>
      </c>
      <c r="Y62" s="48" t="str">
        <f>IF(water_OFF!Y62, (water_ON!Y62+500-water_ON!Y$64) - (water_OFF!Y62+500-water_OFF!Y$64), "")</f>
        <v/>
      </c>
      <c r="Z62" s="48" t="str">
        <f>IF(water_OFF!Z62, (water_ON!Z62+500-water_ON!Z$64) - (water_OFF!Z62+500-water_OFF!Z$64), "")</f>
        <v/>
      </c>
      <c r="AA62" s="48" t="str">
        <f>IF(water_OFF!AA62, (water_ON!AA62+500-water_ON!AA$64) - (water_OFF!AA62+500-water_OFF!AA$64), "")</f>
        <v/>
      </c>
      <c r="AB62" s="48" t="str">
        <f>IF(water_OFF!AB62, (water_ON!AB62+500-water_ON!AB$64) - (water_OFF!AB62+500-water_OFF!AB$64), "")</f>
        <v/>
      </c>
      <c r="AC62" s="48" t="str">
        <f>IF(water_OFF!AC62, (water_ON!AC62+500-water_ON!AC$64) - (water_OFF!AC62+500-water_OFF!AC$64), "")</f>
        <v/>
      </c>
      <c r="AD62" s="48" t="str">
        <f>IF(water_OFF!AD62, (water_ON!AD62+500-water_ON!AD$64) - (water_OFF!AD62+500-water_OFF!AD$64), "")</f>
        <v/>
      </c>
      <c r="AE62" s="48" t="str">
        <f>IF(water_OFF!AE62, (water_ON!AE62+500-water_ON!AE$64) - (water_OFF!AE62+500-water_OFF!AE$64), "")</f>
        <v/>
      </c>
      <c r="AF62" s="48" t="str">
        <f>IF(water_OFF!AF62, (water_ON!AF62+500-water_ON!AF$64) - (water_OFF!AF62+500-water_OFF!AF$64), "")</f>
        <v/>
      </c>
      <c r="AG62" s="48" t="str">
        <f>IF(water_OFF!AG62, (water_ON!AG62+500-water_ON!AG$64) - (water_OFF!AG62+500-water_OFF!AG$64), "")</f>
        <v/>
      </c>
      <c r="AH62" s="48" t="str">
        <f>IF(water_OFF!AH62, (water_ON!AH62+500-water_ON!AH$64) - (water_OFF!AH62+500-water_OFF!AH$64), "")</f>
        <v/>
      </c>
      <c r="AI62" s="48" t="str">
        <f>IF(water_OFF!AI62, (water_ON!AI62+500-water_ON!AI$64) - (water_OFF!AI62+500-water_OFF!AI$64), "")</f>
        <v/>
      </c>
      <c r="AJ62" s="48" t="str">
        <f>IF(water_OFF!AJ62, (water_ON!AJ62+500-water_ON!AJ$64) - (water_OFF!AJ62+500-water_OFF!AJ$64), "")</f>
        <v/>
      </c>
      <c r="AK62" s="49" t="str">
        <f>IF(water_OFF!AK62, (water_ON!AK62+500-water_ON!AK$64) - (water_OFF!AK62+500-water_OFF!AK$64), "")</f>
        <v/>
      </c>
      <c r="AL62" s="6"/>
      <c r="AM62" s="6"/>
      <c r="AN62" s="6"/>
      <c r="AO62" s="6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13"/>
      <c r="BE62" s="13"/>
      <c r="BF62" s="13"/>
      <c r="BG62" s="13"/>
      <c r="BH62" s="13"/>
      <c r="BI62" s="13"/>
      <c r="BJ62" s="13"/>
      <c r="BK62" s="13"/>
      <c r="BL62" s="13"/>
      <c r="BM62" s="13"/>
    </row>
    <row r="63" spans="1:66" s="9" customFormat="1">
      <c r="A63" s="20" t="s">
        <v>76</v>
      </c>
      <c r="B63" s="84">
        <f>water_ON!B63 - water_OFF!B63</f>
        <v>0.19999999999998863</v>
      </c>
      <c r="C63" s="84">
        <f>water_ON!C63 - water_OFF!C63</f>
        <v>0</v>
      </c>
      <c r="D63" s="84">
        <f>water_ON!D63 - water_OFF!D63</f>
        <v>0</v>
      </c>
      <c r="E63" s="84">
        <f>water_ON!E63 - water_OFF!E63</f>
        <v>0</v>
      </c>
      <c r="F63" s="84">
        <f>water_ON!F63 - water_OFF!F63</f>
        <v>9.9999999999965894E-2</v>
      </c>
      <c r="G63" s="84">
        <f>water_ON!G63 - water_OFF!G63</f>
        <v>0.19999999999998863</v>
      </c>
      <c r="H63" s="84">
        <f>water_ON!H63 - water_OFF!H63</f>
        <v>0</v>
      </c>
      <c r="I63" s="84">
        <f>water_ON!I63 - water_OFF!I63</f>
        <v>0</v>
      </c>
      <c r="J63" s="84">
        <f>water_ON!J63 - water_OFF!J63</f>
        <v>0.10000000000002274</v>
      </c>
      <c r="K63" s="84">
        <f>water_ON!K63 - water_OFF!K63</f>
        <v>0</v>
      </c>
      <c r="L63" s="84">
        <f>water_ON!L63 - water_OFF!L63</f>
        <v>0.29999999999995453</v>
      </c>
      <c r="M63" s="84">
        <f>water_ON!M63 - water_OFF!M63</f>
        <v>-0.20000000000004547</v>
      </c>
      <c r="N63" s="84">
        <f>water_ON!N63 - water_OFF!N63</f>
        <v>9.9999999999965894E-2</v>
      </c>
      <c r="O63" s="84">
        <f>water_ON!O63 - water_OFF!O63</f>
        <v>0.10000000000002274</v>
      </c>
      <c r="P63" s="84">
        <f>water_ON!P63 - water_OFF!P63</f>
        <v>0</v>
      </c>
      <c r="Q63" s="84">
        <f>water_ON!Q63 - water_OFF!Q63</f>
        <v>9.9999999999965894E-2</v>
      </c>
      <c r="R63" s="84">
        <f>water_ON!R63 - water_OFF!R63</f>
        <v>9.9999999999965894E-2</v>
      </c>
      <c r="S63" s="84">
        <f>water_ON!S63 - water_OFF!S63</f>
        <v>0</v>
      </c>
      <c r="T63" s="84">
        <f>water_ON!T63 - water_OFF!T63</f>
        <v>0</v>
      </c>
      <c r="U63" s="28"/>
      <c r="V63" s="14" t="str">
        <f>IF(water_OFF!V63, (water_ON!V63+500-water_ON!V$64) - (water_OFF!V63+500-water_OFF!V$64), "")</f>
        <v/>
      </c>
      <c r="W63" s="14" t="str">
        <f>IF(water_OFF!W63, (water_ON!W63+500-water_ON!W$64) - (water_OFF!W63+500-water_OFF!W$64), "")</f>
        <v/>
      </c>
      <c r="X63" s="14" t="str">
        <f>IF(water_OFF!X63, (water_ON!X63+500-water_ON!X$64) - (water_OFF!X63+500-water_OFF!X$64), "")</f>
        <v/>
      </c>
      <c r="Y63" s="14" t="str">
        <f>IF(water_OFF!Y63, (water_ON!Y63+500-water_ON!Y$64) - (water_OFF!Y63+500-water_OFF!Y$64), "")</f>
        <v/>
      </c>
      <c r="Z63" s="14" t="str">
        <f>IF(water_OFF!Z63, (water_ON!Z63+500-water_ON!Z$64) - (water_OFF!Z63+500-water_OFF!Z$64), "")</f>
        <v/>
      </c>
      <c r="AA63" s="14" t="str">
        <f>IF(water_OFF!AA63, (water_ON!AA63+500-water_ON!AA$64) - (water_OFF!AA63+500-water_OFF!AA$64), "")</f>
        <v/>
      </c>
      <c r="AB63" s="14" t="str">
        <f>IF(water_OFF!AB63, (water_ON!AB63+500-water_ON!AB$64) - (water_OFF!AB63+500-water_OFF!AB$64), "")</f>
        <v/>
      </c>
      <c r="AC63" s="14" t="str">
        <f>IF(water_OFF!AC63, (water_ON!AC63+500-water_ON!AC$64) - (water_OFF!AC63+500-water_OFF!AC$64), "")</f>
        <v/>
      </c>
      <c r="AD63" s="14" t="str">
        <f>IF(water_OFF!AD63, (water_ON!AD63+500-water_ON!AD$64) - (water_OFF!AD63+500-water_OFF!AD$64), "")</f>
        <v/>
      </c>
      <c r="AE63" s="14" t="str">
        <f>IF(water_OFF!AE63, (water_ON!AE63+500-water_ON!AE$64) - (water_OFF!AE63+500-water_OFF!AE$64), "")</f>
        <v/>
      </c>
      <c r="AF63" s="14" t="str">
        <f>IF(water_OFF!AF63, (water_ON!AF63+500-water_ON!AF$64) - (water_OFF!AF63+500-water_OFF!AF$64), "")</f>
        <v/>
      </c>
      <c r="AG63" s="14" t="str">
        <f>IF(water_OFF!AG63, (water_ON!AG63+500-water_ON!AG$64) - (water_OFF!AG63+500-water_OFF!AG$64), "")</f>
        <v/>
      </c>
      <c r="AH63" s="14" t="str">
        <f>IF(water_OFF!AH63, (water_ON!AH63+500-water_ON!AH$64) - (water_OFF!AH63+500-water_OFF!AH$64), "")</f>
        <v/>
      </c>
      <c r="AI63" s="14" t="str">
        <f>IF(water_OFF!AI63, (water_ON!AI63+500-water_ON!AI$64) - (water_OFF!AI63+500-water_OFF!AI$64), "")</f>
        <v/>
      </c>
      <c r="AJ63" s="14" t="str">
        <f>IF(water_OFF!AJ63, (water_ON!AJ63+500-water_ON!AJ$64) - (water_OFF!AJ63+500-water_OFF!AJ$64), "")</f>
        <v/>
      </c>
      <c r="AK63" s="28" t="str">
        <f>IF(water_OFF!AK63, (water_ON!AK63+500-water_ON!AK$64) - (water_OFF!AK63+500-water_OFF!AK$64), "")</f>
        <v/>
      </c>
      <c r="AL63" s="14"/>
      <c r="AM63" s="14"/>
      <c r="AN63" s="14"/>
      <c r="AO63" s="14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</row>
    <row r="64" spans="1:66">
      <c r="B64" s="6"/>
      <c r="C64" s="6"/>
      <c r="D64" s="6"/>
      <c r="E64" s="6"/>
      <c r="F64" s="27"/>
      <c r="G64" s="6"/>
      <c r="H64" s="6"/>
      <c r="I64" s="6"/>
      <c r="J64" s="6"/>
      <c r="K64" s="27"/>
      <c r="L64" s="6"/>
      <c r="M64" s="6"/>
      <c r="N64" s="6"/>
      <c r="O64" s="6"/>
      <c r="P64" s="27"/>
      <c r="Q64" s="6"/>
      <c r="R64" s="6"/>
      <c r="S64" s="6"/>
      <c r="T64" s="6"/>
      <c r="U64" s="27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27"/>
      <c r="AL64" s="6"/>
      <c r="AM64" s="6"/>
      <c r="AN64" s="6"/>
      <c r="AO64" s="6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</row>
    <row r="65" spans="2:65">
      <c r="B65" s="6"/>
      <c r="C65" s="6"/>
      <c r="D65" s="6"/>
      <c r="E65" s="6"/>
      <c r="F65" s="27"/>
      <c r="G65" s="6"/>
      <c r="H65" s="6"/>
      <c r="I65" s="6"/>
      <c r="J65" s="6"/>
      <c r="K65" s="27"/>
      <c r="L65" s="6"/>
      <c r="M65" s="6"/>
      <c r="N65" s="6"/>
      <c r="O65" s="6"/>
      <c r="P65" s="27"/>
      <c r="Q65" s="6"/>
      <c r="R65" s="6"/>
      <c r="S65" s="6"/>
      <c r="T65" s="6"/>
      <c r="U65" s="27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27"/>
      <c r="AL65" s="6"/>
      <c r="AM65" s="6"/>
      <c r="AN65" s="6"/>
      <c r="AO65" s="6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</row>
    <row r="66" spans="2:65">
      <c r="B66" s="7"/>
      <c r="C66" s="7"/>
      <c r="D66" s="7"/>
      <c r="E66" s="7"/>
      <c r="F66" s="15"/>
      <c r="G66" s="7"/>
      <c r="H66" s="7"/>
      <c r="I66" s="7"/>
      <c r="J66" s="7"/>
      <c r="K66" s="15"/>
      <c r="L66" s="7"/>
      <c r="M66" s="7"/>
      <c r="N66" s="7"/>
      <c r="O66" s="7"/>
      <c r="P66" s="15"/>
      <c r="Q66" s="7"/>
      <c r="R66" s="7"/>
      <c r="S66" s="7"/>
      <c r="T66" s="7"/>
      <c r="U66" s="15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15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</row>
    <row r="67" spans="2:65">
      <c r="B67" s="7"/>
      <c r="C67" s="7"/>
      <c r="D67" s="7"/>
      <c r="E67" s="7"/>
      <c r="F67" s="15"/>
      <c r="G67" s="7"/>
      <c r="H67" s="7"/>
      <c r="I67" s="7"/>
      <c r="J67" s="7"/>
      <c r="K67" s="15"/>
      <c r="L67" s="7"/>
      <c r="M67" s="7"/>
      <c r="N67" s="7"/>
      <c r="O67" s="7"/>
      <c r="P67" s="15"/>
      <c r="Q67" s="7"/>
      <c r="R67" s="7"/>
      <c r="S67" s="7"/>
      <c r="T67" s="7"/>
      <c r="U67" s="15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15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</row>
    <row r="68" spans="2:65">
      <c r="B68" s="7"/>
      <c r="C68" s="7"/>
      <c r="D68" s="7"/>
      <c r="E68" s="7"/>
      <c r="F68" s="15"/>
      <c r="G68" s="7"/>
      <c r="H68" s="7"/>
      <c r="I68" s="7"/>
      <c r="J68" s="7"/>
      <c r="K68" s="15"/>
      <c r="L68" s="7"/>
      <c r="M68" s="7"/>
      <c r="N68" s="7"/>
      <c r="O68" s="7"/>
      <c r="P68" s="15"/>
      <c r="Q68" s="7"/>
      <c r="R68" s="7"/>
      <c r="S68" s="7"/>
      <c r="T68" s="7"/>
      <c r="U68" s="15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15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</row>
    <row r="69" spans="2:65">
      <c r="B69" s="7"/>
      <c r="C69" s="7"/>
      <c r="D69" s="7"/>
      <c r="E69" s="7"/>
      <c r="F69" s="15"/>
      <c r="G69" s="7"/>
      <c r="H69" s="7"/>
      <c r="I69" s="7"/>
      <c r="J69" s="7"/>
      <c r="K69" s="15"/>
      <c r="L69" s="7"/>
      <c r="M69" s="7"/>
      <c r="N69" s="7"/>
      <c r="O69" s="7"/>
      <c r="P69" s="15"/>
      <c r="Q69" s="7"/>
      <c r="R69" s="7"/>
      <c r="S69" s="7"/>
      <c r="T69" s="7"/>
      <c r="U69" s="15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15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</row>
    <row r="70" spans="2:65">
      <c r="B70" s="7"/>
      <c r="C70" s="7"/>
      <c r="D70" s="7"/>
      <c r="E70" s="7"/>
      <c r="F70" s="15"/>
      <c r="G70" s="7"/>
      <c r="H70" s="7"/>
      <c r="I70" s="7"/>
      <c r="J70" s="7"/>
      <c r="K70" s="15"/>
      <c r="L70" s="7"/>
      <c r="M70" s="7"/>
      <c r="N70" s="7"/>
      <c r="O70" s="7"/>
      <c r="P70" s="15"/>
      <c r="Q70" s="7"/>
      <c r="R70" s="7"/>
      <c r="S70" s="7"/>
      <c r="T70" s="7"/>
      <c r="U70" s="15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15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</row>
    <row r="71" spans="2:65">
      <c r="B71" s="7"/>
      <c r="C71" s="7"/>
      <c r="D71" s="7"/>
      <c r="E71" s="7"/>
      <c r="F71" s="15"/>
      <c r="G71" s="7"/>
      <c r="H71" s="7"/>
      <c r="I71" s="7"/>
      <c r="J71" s="7"/>
      <c r="K71" s="15"/>
      <c r="L71" s="7"/>
      <c r="M71" s="7"/>
      <c r="N71" s="7"/>
      <c r="O71" s="7"/>
      <c r="P71" s="15"/>
      <c r="Q71" s="7"/>
      <c r="R71" s="7"/>
      <c r="S71" s="7"/>
      <c r="T71" s="7"/>
      <c r="U71" s="15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15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</row>
    <row r="72" spans="2:65">
      <c r="B72" s="7"/>
      <c r="C72" s="7"/>
      <c r="D72" s="7"/>
      <c r="E72" s="7"/>
      <c r="F72" s="15"/>
      <c r="G72" s="7"/>
      <c r="H72" s="7"/>
      <c r="I72" s="7"/>
      <c r="J72" s="7"/>
      <c r="K72" s="15"/>
      <c r="L72" s="7"/>
      <c r="M72" s="7"/>
      <c r="N72" s="7"/>
      <c r="O72" s="7"/>
      <c r="P72" s="15"/>
      <c r="Q72" s="7"/>
      <c r="R72" s="7"/>
      <c r="S72" s="7"/>
      <c r="T72" s="7"/>
      <c r="U72" s="15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15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</row>
    <row r="73" spans="2:65">
      <c r="B73" s="7"/>
      <c r="C73" s="7"/>
      <c r="D73" s="7"/>
      <c r="E73" s="7"/>
      <c r="F73" s="15"/>
      <c r="G73" s="7"/>
      <c r="H73" s="7"/>
      <c r="I73" s="7"/>
      <c r="J73" s="7"/>
      <c r="K73" s="15"/>
      <c r="L73" s="7"/>
      <c r="M73" s="7"/>
      <c r="N73" s="7"/>
      <c r="O73" s="7"/>
      <c r="P73" s="15"/>
      <c r="Q73" s="7"/>
      <c r="R73" s="7"/>
      <c r="S73" s="7"/>
      <c r="T73" s="7"/>
      <c r="U73" s="15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15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</row>
    <row r="74" spans="2:65">
      <c r="B74" s="7"/>
      <c r="C74" s="7"/>
      <c r="D74" s="7"/>
      <c r="E74" s="7"/>
      <c r="F74" s="15"/>
      <c r="G74" s="7"/>
      <c r="H74" s="7"/>
      <c r="I74" s="7"/>
      <c r="J74" s="7"/>
      <c r="K74" s="15"/>
      <c r="L74" s="7"/>
      <c r="M74" s="7"/>
      <c r="N74" s="7"/>
      <c r="O74" s="7"/>
      <c r="P74" s="15"/>
      <c r="Q74" s="7"/>
      <c r="R74" s="7"/>
      <c r="S74" s="7"/>
      <c r="T74" s="7"/>
      <c r="U74" s="15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15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</row>
    <row r="75" spans="2:65">
      <c r="B75" s="7"/>
      <c r="C75" s="7"/>
      <c r="D75" s="7"/>
      <c r="E75" s="7"/>
      <c r="F75" s="15"/>
      <c r="G75" s="7"/>
      <c r="H75" s="7"/>
      <c r="I75" s="7"/>
      <c r="J75" s="7"/>
      <c r="K75" s="15"/>
      <c r="L75" s="7"/>
      <c r="M75" s="7"/>
      <c r="N75" s="7"/>
      <c r="O75" s="7"/>
      <c r="P75" s="15"/>
      <c r="Q75" s="7"/>
      <c r="R75" s="7"/>
      <c r="S75" s="7"/>
      <c r="T75" s="7"/>
      <c r="U75" s="15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15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</row>
    <row r="76" spans="2:65">
      <c r="B76" s="7"/>
      <c r="C76" s="7"/>
      <c r="D76" s="7"/>
      <c r="E76" s="7"/>
      <c r="F76" s="15"/>
      <c r="G76" s="7"/>
      <c r="H76" s="7"/>
      <c r="I76" s="7"/>
      <c r="J76" s="7"/>
      <c r="K76" s="15"/>
      <c r="L76" s="7"/>
      <c r="M76" s="7"/>
      <c r="N76" s="7"/>
      <c r="O76" s="7"/>
      <c r="P76" s="15"/>
      <c r="Q76" s="7"/>
      <c r="R76" s="7"/>
      <c r="S76" s="7"/>
      <c r="T76" s="7"/>
      <c r="U76" s="15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15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</row>
    <row r="77" spans="2:65">
      <c r="B77" s="7"/>
      <c r="C77" s="7"/>
      <c r="D77" s="7"/>
      <c r="E77" s="7"/>
      <c r="F77" s="15"/>
      <c r="G77" s="7"/>
      <c r="H77" s="7"/>
      <c r="I77" s="7"/>
      <c r="J77" s="7"/>
      <c r="K77" s="15"/>
      <c r="L77" s="7"/>
      <c r="M77" s="7"/>
      <c r="N77" s="7"/>
      <c r="O77" s="7"/>
      <c r="P77" s="15"/>
      <c r="Q77" s="7"/>
      <c r="R77" s="7"/>
      <c r="S77" s="7"/>
      <c r="T77" s="7"/>
      <c r="U77" s="15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15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 spans="2:65">
      <c r="B78" s="7"/>
      <c r="C78" s="7"/>
      <c r="D78" s="7"/>
      <c r="E78" s="7"/>
      <c r="F78" s="15"/>
      <c r="G78" s="7"/>
      <c r="H78" s="7"/>
      <c r="I78" s="7"/>
      <c r="J78" s="7"/>
      <c r="K78" s="15"/>
      <c r="L78" s="7"/>
      <c r="M78" s="7"/>
      <c r="N78" s="7"/>
      <c r="O78" s="7"/>
      <c r="P78" s="15"/>
      <c r="Q78" s="7"/>
      <c r="R78" s="7"/>
      <c r="S78" s="7"/>
      <c r="T78" s="7"/>
      <c r="U78" s="15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15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spans="2:65">
      <c r="B79" s="7"/>
      <c r="C79" s="7"/>
      <c r="D79" s="7"/>
      <c r="E79" s="7"/>
      <c r="F79" s="15"/>
      <c r="G79" s="7"/>
      <c r="H79" s="7"/>
      <c r="I79" s="7"/>
      <c r="J79" s="7"/>
      <c r="K79" s="15"/>
      <c r="L79" s="7"/>
      <c r="M79" s="7"/>
      <c r="N79" s="7"/>
      <c r="O79" s="7"/>
      <c r="P79" s="15"/>
      <c r="Q79" s="7"/>
      <c r="R79" s="7"/>
      <c r="S79" s="7"/>
      <c r="T79" s="7"/>
      <c r="U79" s="15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15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spans="2:65">
      <c r="B80" s="7"/>
      <c r="C80" s="7"/>
      <c r="D80" s="7"/>
      <c r="E80" s="7"/>
      <c r="F80" s="15"/>
      <c r="G80" s="7"/>
      <c r="H80" s="7"/>
      <c r="I80" s="7"/>
      <c r="J80" s="7"/>
      <c r="K80" s="15"/>
      <c r="L80" s="7"/>
      <c r="M80" s="7"/>
      <c r="N80" s="7"/>
      <c r="O80" s="7"/>
      <c r="P80" s="15"/>
      <c r="Q80" s="7"/>
      <c r="R80" s="7"/>
      <c r="S80" s="7"/>
      <c r="T80" s="7"/>
      <c r="U80" s="15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15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 spans="2:65">
      <c r="B81" s="7"/>
      <c r="C81" s="7"/>
      <c r="D81" s="7"/>
      <c r="E81" s="7"/>
      <c r="F81" s="15"/>
      <c r="G81" s="7"/>
      <c r="H81" s="7"/>
      <c r="I81" s="7"/>
      <c r="J81" s="7"/>
      <c r="K81" s="15"/>
      <c r="L81" s="7"/>
      <c r="M81" s="7"/>
      <c r="N81" s="7"/>
      <c r="O81" s="7"/>
      <c r="P81" s="15"/>
      <c r="Q81" s="7"/>
      <c r="R81" s="7"/>
      <c r="S81" s="7"/>
      <c r="T81" s="7"/>
      <c r="U81" s="15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15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</row>
    <row r="82" spans="2:65">
      <c r="B82" s="7"/>
      <c r="C82" s="7"/>
      <c r="D82" s="7"/>
      <c r="E82" s="7"/>
      <c r="F82" s="15"/>
      <c r="G82" s="7"/>
      <c r="H82" s="7"/>
      <c r="I82" s="7"/>
      <c r="J82" s="7"/>
      <c r="K82" s="15"/>
      <c r="L82" s="7"/>
      <c r="M82" s="7"/>
      <c r="N82" s="7"/>
      <c r="O82" s="7"/>
      <c r="P82" s="15"/>
      <c r="Q82" s="7"/>
      <c r="R82" s="7"/>
      <c r="S82" s="7"/>
      <c r="T82" s="7"/>
      <c r="U82" s="15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15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</row>
    <row r="83" spans="2:65">
      <c r="B83" s="7"/>
      <c r="C83" s="7"/>
      <c r="D83" s="7"/>
      <c r="E83" s="7"/>
      <c r="F83" s="15"/>
      <c r="G83" s="7"/>
      <c r="H83" s="7"/>
      <c r="I83" s="7"/>
      <c r="J83" s="7"/>
      <c r="K83" s="15"/>
      <c r="L83" s="7"/>
      <c r="M83" s="7"/>
      <c r="N83" s="7"/>
      <c r="O83" s="7"/>
      <c r="P83" s="15"/>
      <c r="Q83" s="7"/>
      <c r="R83" s="7"/>
      <c r="S83" s="7"/>
      <c r="T83" s="7"/>
      <c r="U83" s="15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15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</row>
    <row r="84" spans="2:65">
      <c r="B84" s="7"/>
      <c r="C84" s="7"/>
      <c r="D84" s="7"/>
      <c r="E84" s="7"/>
      <c r="F84" s="15"/>
      <c r="G84" s="7"/>
      <c r="H84" s="7"/>
      <c r="I84" s="7"/>
      <c r="J84" s="7"/>
      <c r="K84" s="15"/>
      <c r="L84" s="7"/>
      <c r="M84" s="7"/>
      <c r="N84" s="7"/>
      <c r="O84" s="7"/>
      <c r="P84" s="15"/>
      <c r="Q84" s="7"/>
      <c r="R84" s="7"/>
      <c r="S84" s="7"/>
      <c r="T84" s="7"/>
      <c r="U84" s="15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15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</row>
    <row r="85" spans="2:65">
      <c r="B85" s="7"/>
      <c r="C85" s="7"/>
      <c r="D85" s="7"/>
      <c r="E85" s="7"/>
      <c r="F85" s="15"/>
      <c r="G85" s="7"/>
      <c r="H85" s="7"/>
      <c r="I85" s="7"/>
      <c r="J85" s="7"/>
      <c r="K85" s="15"/>
      <c r="L85" s="7"/>
      <c r="M85" s="7"/>
      <c r="N85" s="7"/>
      <c r="O85" s="7"/>
      <c r="P85" s="15"/>
      <c r="Q85" s="7"/>
      <c r="R85" s="7"/>
      <c r="S85" s="7"/>
      <c r="T85" s="7"/>
      <c r="U85" s="15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15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</row>
    <row r="86" spans="2:65">
      <c r="B86" s="7"/>
      <c r="C86" s="7"/>
      <c r="D86" s="7"/>
      <c r="E86" s="7"/>
      <c r="F86" s="15"/>
      <c r="G86" s="7"/>
      <c r="H86" s="7"/>
      <c r="I86" s="7"/>
      <c r="J86" s="7"/>
      <c r="K86" s="15"/>
      <c r="L86" s="7"/>
      <c r="M86" s="7"/>
      <c r="N86" s="7"/>
      <c r="O86" s="7"/>
      <c r="P86" s="15"/>
      <c r="Q86" s="7"/>
      <c r="R86" s="7"/>
      <c r="S86" s="7"/>
      <c r="T86" s="7"/>
      <c r="U86" s="15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15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</row>
    <row r="87" spans="2:65">
      <c r="B87" s="7"/>
      <c r="C87" s="7"/>
      <c r="D87" s="7"/>
      <c r="E87" s="7"/>
      <c r="F87" s="15"/>
      <c r="G87" s="7"/>
      <c r="H87" s="7"/>
      <c r="I87" s="7"/>
      <c r="J87" s="7"/>
      <c r="K87" s="15"/>
      <c r="L87" s="7"/>
      <c r="M87" s="7"/>
      <c r="N87" s="7"/>
      <c r="O87" s="7"/>
      <c r="P87" s="15"/>
      <c r="Q87" s="7"/>
      <c r="R87" s="7"/>
      <c r="S87" s="7"/>
      <c r="T87" s="7"/>
      <c r="U87" s="15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15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</row>
    <row r="88" spans="2:65">
      <c r="B88" s="7"/>
      <c r="C88" s="7"/>
      <c r="D88" s="7"/>
      <c r="E88" s="7"/>
      <c r="F88" s="15"/>
      <c r="G88" s="7"/>
      <c r="H88" s="7"/>
      <c r="I88" s="7"/>
      <c r="J88" s="7"/>
      <c r="K88" s="15"/>
      <c r="L88" s="7"/>
      <c r="M88" s="7"/>
      <c r="N88" s="7"/>
      <c r="O88" s="7"/>
      <c r="P88" s="15"/>
      <c r="Q88" s="7"/>
      <c r="R88" s="7"/>
      <c r="S88" s="7"/>
      <c r="T88" s="7"/>
      <c r="U88" s="15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15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</row>
    <row r="89" spans="2:65">
      <c r="B89" s="7"/>
      <c r="C89" s="7"/>
      <c r="D89" s="7"/>
      <c r="E89" s="7"/>
      <c r="F89" s="15"/>
      <c r="G89" s="7"/>
      <c r="H89" s="7"/>
      <c r="I89" s="7"/>
      <c r="J89" s="7"/>
      <c r="K89" s="15"/>
      <c r="L89" s="7"/>
      <c r="M89" s="7"/>
      <c r="N89" s="7"/>
      <c r="O89" s="7"/>
      <c r="P89" s="15"/>
      <c r="Q89" s="7"/>
      <c r="R89" s="7"/>
      <c r="S89" s="7"/>
      <c r="T89" s="7"/>
      <c r="U89" s="15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15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</row>
    <row r="90" spans="2:65">
      <c r="B90" s="7"/>
      <c r="C90" s="7"/>
      <c r="D90" s="7"/>
      <c r="E90" s="7"/>
      <c r="F90" s="15"/>
      <c r="G90" s="7"/>
      <c r="H90" s="7"/>
      <c r="I90" s="7"/>
      <c r="J90" s="7"/>
      <c r="K90" s="15"/>
      <c r="L90" s="7"/>
      <c r="M90" s="7"/>
      <c r="N90" s="7"/>
      <c r="O90" s="7"/>
      <c r="P90" s="15"/>
      <c r="Q90" s="7"/>
      <c r="R90" s="7"/>
      <c r="S90" s="7"/>
      <c r="T90" s="7"/>
      <c r="U90" s="15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15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</row>
  </sheetData>
  <phoneticPr fontId="3" type="noConversion"/>
  <conditionalFormatting sqref="B2:AK61">
    <cfRule type="colorScale" priority="1">
      <colorScale>
        <cfvo type="num" val="-1"/>
        <cfvo type="num" val="0"/>
        <cfvo type="num" val="20"/>
        <color rgb="FFFF0000"/>
        <color rgb="FFFFEB84"/>
        <color rgb="FF00B050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FEA5-8681-4C5D-990D-C795F03A1AF8}">
  <dimension ref="A1:BP156"/>
  <sheetViews>
    <sheetView workbookViewId="0">
      <selection activeCell="X42" sqref="X42"/>
    </sheetView>
  </sheetViews>
  <sheetFormatPr defaultColWidth="7.453125" defaultRowHeight="14.5"/>
  <cols>
    <col min="1" max="1" width="7.453125" style="16"/>
    <col min="2" max="5" width="7.54296875" style="7" bestFit="1" customWidth="1"/>
    <col min="6" max="6" width="7.54296875" style="16" bestFit="1" customWidth="1"/>
    <col min="7" max="9" width="7.54296875" bestFit="1" customWidth="1"/>
    <col min="10" max="10" width="7.81640625" bestFit="1" customWidth="1"/>
    <col min="11" max="11" width="7.81640625" style="16" bestFit="1" customWidth="1"/>
    <col min="12" max="15" width="7.81640625" bestFit="1" customWidth="1"/>
    <col min="16" max="16" width="7.81640625" style="16" bestFit="1" customWidth="1"/>
    <col min="17" max="20" width="7.81640625" bestFit="1" customWidth="1"/>
  </cols>
  <sheetData>
    <row r="1" spans="1:20" s="3" customFormat="1">
      <c r="A1" s="3" t="s">
        <v>1</v>
      </c>
      <c r="B1" s="32">
        <v>45957</v>
      </c>
      <c r="C1" s="32">
        <v>45958</v>
      </c>
      <c r="D1" s="32">
        <v>45959</v>
      </c>
      <c r="E1" s="32">
        <v>45960</v>
      </c>
      <c r="F1" s="66">
        <v>45961</v>
      </c>
      <c r="G1" s="30">
        <v>45964</v>
      </c>
      <c r="H1" s="30">
        <v>45965</v>
      </c>
      <c r="I1" s="30">
        <v>45966</v>
      </c>
      <c r="J1" s="30">
        <v>45967</v>
      </c>
      <c r="K1" s="31">
        <v>45968</v>
      </c>
      <c r="L1" s="30">
        <v>45971</v>
      </c>
      <c r="M1" s="30">
        <v>45972</v>
      </c>
      <c r="N1" s="30">
        <v>45973</v>
      </c>
      <c r="O1" s="30">
        <v>45974</v>
      </c>
      <c r="P1" s="31">
        <v>45975</v>
      </c>
      <c r="Q1" s="30">
        <v>45978</v>
      </c>
      <c r="R1" s="30">
        <v>45979</v>
      </c>
      <c r="S1" s="30">
        <v>45980</v>
      </c>
      <c r="T1" s="30">
        <v>45981</v>
      </c>
    </row>
    <row r="2" spans="1:20" s="39" customFormat="1">
      <c r="A2" s="18">
        <v>1</v>
      </c>
      <c r="B2" s="39">
        <f>W_g!B2/(rat_weight!B2/1000)*0.1578</f>
        <v>0.93145833333334271</v>
      </c>
      <c r="C2" s="39">
        <f>W_g!C2/(rat_weight!C2/1000)*0.1578</f>
        <v>0</v>
      </c>
      <c r="D2" s="39">
        <f>W_g!D2/(rat_weight!D2/1000)*0.1578</f>
        <v>0.63010416666665425</v>
      </c>
      <c r="E2" s="39">
        <f>W_g!E2/(rat_weight!E2/1000)*0.1578</f>
        <v>2.7395833333323988E-2</v>
      </c>
      <c r="F2" s="39">
        <f>W_g!F2/(rat_weight!F2/1000)*0.1578</f>
        <v>-5.4791666666663554E-2</v>
      </c>
      <c r="G2" s="39">
        <f>W_g!G2/(rat_weight!G2/1000)*0.1578</f>
        <v>5.655913978497517E-2</v>
      </c>
      <c r="H2" s="39">
        <f>W_g!H2/(rat_weight!H2/1000)*0.1578</f>
        <v>0.11311827956988602</v>
      </c>
      <c r="I2" s="39">
        <f>W_g!I2/(rat_weight!I2/1000)*0.1578</f>
        <v>2.4037634408602147</v>
      </c>
      <c r="J2" s="39">
        <f>W_g!J2/(rat_weight!J2/1000)*0.1578</f>
        <v>2.2058064516129061</v>
      </c>
      <c r="K2" s="39">
        <f>W_g!K2/(rat_weight!K2/1000)*0.1578</f>
        <v>0.11311827956991818</v>
      </c>
      <c r="L2" s="39">
        <f>W_g!L2/(rat_weight!L2/1000)*0.1578</f>
        <v>0.41381118881120454</v>
      </c>
      <c r="M2" s="39">
        <f>W_g!M2/(rat_weight!M2/1000)*0.1578</f>
        <v>0.60692307692308956</v>
      </c>
      <c r="N2" s="39">
        <f>W_g!N2/(rat_weight!N2/1000)*0.1578</f>
        <v>0.57933566433568628</v>
      </c>
      <c r="O2" s="39">
        <f>W_g!O2/(rat_weight!O2/1000)*0.1578</f>
        <v>0.11034965034964409</v>
      </c>
      <c r="P2" s="39">
        <f>W_g!P2/(rat_weight!P2/1000)*0.1578</f>
        <v>0</v>
      </c>
      <c r="Q2" s="39">
        <f>W_g!Q2/(rat_weight!Q2/1000)*0.1578</f>
        <v>1.8355208333333459</v>
      </c>
      <c r="R2" s="39">
        <f>W_g!R2/(rat_weight!R2/1000)*0.1578</f>
        <v>2.7395833333323988E-2</v>
      </c>
      <c r="S2" s="39">
        <f>W_g!S2/(rat_weight!S2/1000)*0.1578</f>
        <v>0.32875000000001248</v>
      </c>
      <c r="T2" s="39">
        <f>W_g!T2/(rat_weight!T2/1000)*0.1578</f>
        <v>0.43833333333333963</v>
      </c>
    </row>
    <row r="3" spans="1:20" s="39" customFormat="1">
      <c r="A3" s="18">
        <v>2</v>
      </c>
      <c r="B3" s="39">
        <f>W_g!B3/(rat_weight!B3/1000)*0.1578</f>
        <v>2.4642559055592047E-14</v>
      </c>
      <c r="C3" s="39">
        <f>W_g!C3/(rat_weight!C3/1000)*0.1578</f>
        <v>8.6703296703316418E-2</v>
      </c>
      <c r="D3" s="39">
        <f>W_g!D3/(rat_weight!D3/1000)*0.1578</f>
        <v>-4.3351648351658209E-2</v>
      </c>
      <c r="E3" s="39">
        <f>W_g!E3/(rat_weight!E3/1000)*0.1578</f>
        <v>0.13005494505494999</v>
      </c>
      <c r="F3" s="39">
        <f>W_g!F3/(rat_weight!F3/1000)*0.1578</f>
        <v>-8.6703296703291771E-2</v>
      </c>
      <c r="G3" s="39">
        <f>W_g!G3/(rat_weight!G3/1000)*0.1578</f>
        <v>8.7666666666661688E-2</v>
      </c>
      <c r="H3" s="39">
        <f>W_g!H3/(rat_weight!H3/1000)*0.1578</f>
        <v>0.1753333333333732</v>
      </c>
      <c r="I3" s="39">
        <f>W_g!I3/(rat_weight!I3/1000)*0.1578</f>
        <v>4.38333333333433E-2</v>
      </c>
      <c r="J3" s="39">
        <f>W_g!J3/(rat_weight!J3/1000)*0.1578</f>
        <v>-8.7666666666661688E-2</v>
      </c>
      <c r="K3" s="39">
        <f>W_g!K3/(rat_weight!K3/1000)*0.1578</f>
        <v>8.7666666666636764E-2</v>
      </c>
      <c r="L3" s="39">
        <f>W_g!L3/(rat_weight!L3/1000)*0.1578</f>
        <v>-0.12657754010695665</v>
      </c>
      <c r="M3" s="39">
        <f>W_g!M3/(rat_weight!M3/1000)*0.1578</f>
        <v>8.4385026737987104E-2</v>
      </c>
      <c r="N3" s="39">
        <f>W_g!N3/(rat_weight!N3/1000)*0.1578</f>
        <v>0.21096256684494374</v>
      </c>
      <c r="O3" s="39">
        <f>W_g!O3/(rat_weight!O3/1000)*0.1578</f>
        <v>-8.4385026737987104E-2</v>
      </c>
      <c r="P3" s="39">
        <f>W_g!P3/(rat_weight!P3/1000)*0.1578</f>
        <v>0</v>
      </c>
      <c r="Q3" s="39">
        <f>W_g!Q3/(rat_weight!Q3/1000)*0.1578</f>
        <v>-0.1307734806629636</v>
      </c>
      <c r="R3" s="39">
        <f>W_g!R3/(rat_weight!R3/1000)*0.1578</f>
        <v>4.3591160221029164E-2</v>
      </c>
      <c r="S3" s="39">
        <f>W_g!S3/(rat_weight!S3/1000)*0.1578</f>
        <v>0</v>
      </c>
      <c r="T3" s="39">
        <f>W_g!T3/(rat_weight!T3/1000)*0.1578</f>
        <v>8.7182320441959227E-2</v>
      </c>
    </row>
    <row r="4" spans="1:20" s="39" customFormat="1">
      <c r="A4" s="18">
        <v>3</v>
      </c>
      <c r="B4" s="39">
        <f>W_g!B4/(rat_weight!B4/1000)*0.1578</f>
        <v>2.7020547945203945E-2</v>
      </c>
      <c r="C4" s="39">
        <f>W_g!C4/(rat_weight!C4/1000)*0.1578</f>
        <v>0</v>
      </c>
      <c r="D4" s="39">
        <f>W_g!D4/(rat_weight!D4/1000)*0.1578</f>
        <v>1.3510273972605812E-2</v>
      </c>
      <c r="E4" s="39">
        <f>W_g!E4/(rat_weight!E4/1000)*0.1578</f>
        <v>4.0530821917794398E-2</v>
      </c>
      <c r="F4" s="39">
        <f>W_g!F4/(rat_weight!F4/1000)*0.1578</f>
        <v>7.6797016234893024E-15</v>
      </c>
      <c r="G4" s="39">
        <f>W_g!G4/(rat_weight!G4/1000)*0.1578</f>
        <v>2.6745762711878091E-2</v>
      </c>
      <c r="H4" s="39">
        <f>W_g!H4/(rat_weight!H4/1000)*0.1578</f>
        <v>2.6745762711870489E-2</v>
      </c>
      <c r="I4" s="39">
        <f>W_g!I4/(rat_weight!I4/1000)*0.1578</f>
        <v>1.3372881355935244E-2</v>
      </c>
      <c r="J4" s="39">
        <f>W_g!J4/(rat_weight!J4/1000)*0.1578</f>
        <v>8.0237288135588655E-2</v>
      </c>
      <c r="K4" s="39">
        <f>W_g!K4/(rat_weight!K4/1000)*0.1578</f>
        <v>0</v>
      </c>
      <c r="L4" s="39">
        <f>W_g!L4/(rat_weight!L4/1000)*0.1578</f>
        <v>1.3216080402020568E-2</v>
      </c>
      <c r="M4" s="39">
        <f>W_g!M4/(rat_weight!M4/1000)*0.1578</f>
        <v>7.9296482412063302E-2</v>
      </c>
      <c r="N4" s="39">
        <f>W_g!N4/(rat_weight!N4/1000)*0.1578</f>
        <v>6.608040201005777E-2</v>
      </c>
      <c r="O4" s="39">
        <f>W_g!O4/(rat_weight!O4/1000)*0.1578</f>
        <v>-1.5024943879791465E-14</v>
      </c>
      <c r="P4" s="39">
        <f>W_g!P4/(rat_weight!P4/1000)*0.1578</f>
        <v>2.6432160804011083E-2</v>
      </c>
      <c r="Q4" s="39">
        <f>W_g!Q4/(rat_weight!Q4/1000)*0.1578</f>
        <v>-1.3282828282831304E-2</v>
      </c>
      <c r="R4" s="39">
        <f>W_g!R4/(rat_weight!R4/1000)*0.1578</f>
        <v>1.3282828282823752E-2</v>
      </c>
      <c r="S4" s="39">
        <f>W_g!S4/(rat_weight!S4/1000)*0.1578</f>
        <v>0</v>
      </c>
      <c r="T4" s="39">
        <f>W_g!T4/(rat_weight!T4/1000)*0.1578</f>
        <v>2.6565656565647505E-2</v>
      </c>
    </row>
    <row r="5" spans="1:20" s="39" customFormat="1">
      <c r="A5" s="18">
        <v>4</v>
      </c>
      <c r="B5" s="39">
        <f>W_g!B5/(rat_weight!B5/1000)*0.1578</f>
        <v>1.4192866291511875E-14</v>
      </c>
      <c r="C5" s="39">
        <f>W_g!C5/(rat_weight!C5/1000)*0.1578</f>
        <v>4.9936708860770847E-2</v>
      </c>
      <c r="D5" s="39">
        <f>W_g!D5/(rat_weight!D5/1000)*0.1578</f>
        <v>2.4968354430385423E-2</v>
      </c>
      <c r="E5" s="39">
        <f>W_g!E5/(rat_weight!E5/1000)*0.1578</f>
        <v>2.496835443037123E-2</v>
      </c>
      <c r="F5" s="39">
        <f>W_g!F5/(rat_weight!F5/1000)*0.1578</f>
        <v>1.4192866291511875E-14</v>
      </c>
      <c r="G5" s="39">
        <f>W_g!G5/(rat_weight!G5/1000)*0.1578</f>
        <v>5.0095238095235244E-2</v>
      </c>
      <c r="H5" s="39">
        <f>W_g!H5/(rat_weight!H5/1000)*0.1578</f>
        <v>0</v>
      </c>
      <c r="I5" s="39">
        <f>W_g!I5/(rat_weight!I5/1000)*0.1578</f>
        <v>2.5047619047624745E-2</v>
      </c>
      <c r="J5" s="39">
        <f>W_g!J5/(rat_weight!J5/1000)*0.1578</f>
        <v>0.20038095238095524</v>
      </c>
      <c r="K5" s="39">
        <f>W_g!K5/(rat_weight!K5/1000)*0.1578</f>
        <v>0</v>
      </c>
      <c r="L5" s="39">
        <f>W_g!L5/(rat_weight!L5/1000)*0.1578</f>
        <v>-7.5142857142831518E-2</v>
      </c>
      <c r="M5" s="39">
        <f>W_g!M5/(rat_weight!M5/1000)*0.1578</f>
        <v>0.10019047619047049</v>
      </c>
      <c r="N5" s="39">
        <f>W_g!N5/(rat_weight!N5/1000)*0.1578</f>
        <v>2.5047619047610506E-2</v>
      </c>
      <c r="O5" s="39">
        <f>W_g!O5/(rat_weight!O5/1000)*0.1578</f>
        <v>5.0095238095221012E-2</v>
      </c>
      <c r="P5" s="39">
        <f>W_g!P5/(rat_weight!P5/1000)*0.1578</f>
        <v>0</v>
      </c>
      <c r="Q5" s="39">
        <f>W_g!Q5/(rat_weight!Q5/1000)*0.1578</f>
        <v>-7.4200626959236404E-2</v>
      </c>
      <c r="R5" s="39">
        <f>W_g!R5/(rat_weight!R5/1000)*0.1578</f>
        <v>-2.4733542319740776E-2</v>
      </c>
      <c r="S5" s="39">
        <f>W_g!S5/(rat_weight!S5/1000)*0.1578</f>
        <v>4.9467084639509676E-2</v>
      </c>
      <c r="T5" s="39">
        <f>W_g!T5/(rat_weight!T5/1000)*0.1578</f>
        <v>0</v>
      </c>
    </row>
    <row r="6" spans="1:20" s="39" customFormat="1">
      <c r="A6" s="18">
        <v>5</v>
      </c>
      <c r="B6" s="39">
        <f>W_g!B6/(rat_weight!B6/1000)*0.1578</f>
        <v>1.4930505709624899</v>
      </c>
      <c r="C6" s="39">
        <f>W_g!C6/(rat_weight!C6/1000)*0.1578</f>
        <v>2.5742251223496878E-2</v>
      </c>
      <c r="D6" s="39">
        <f>W_g!D6/(rat_weight!D6/1000)*0.1578</f>
        <v>0.14158238172920357</v>
      </c>
      <c r="E6" s="39">
        <f>W_g!E6/(rat_weight!E6/1000)*0.1578</f>
        <v>1.2871125611741125E-2</v>
      </c>
      <c r="F6" s="39">
        <f>W_g!F6/(rat_weight!F6/1000)*0.1578</f>
        <v>-2.5742251223489564E-2</v>
      </c>
      <c r="G6" s="39">
        <f>W_g!G6/(rat_weight!G6/1000)*0.1578</f>
        <v>0.60887459807074096</v>
      </c>
      <c r="H6" s="39">
        <f>W_g!H6/(rat_weight!H6/1000)*0.1578</f>
        <v>1.2177491961414819</v>
      </c>
      <c r="I6" s="39">
        <f>W_g!I6/(rat_weight!I6/1000)*0.1578</f>
        <v>0.92599678456591061</v>
      </c>
      <c r="J6" s="39">
        <f>W_g!J6/(rat_weight!J6/1000)*0.1578</f>
        <v>-2.5369774919612707E-2</v>
      </c>
      <c r="K6" s="39">
        <f>W_g!K6/(rat_weight!K6/1000)*0.1578</f>
        <v>0.30443729903536693</v>
      </c>
      <c r="L6" s="39">
        <f>W_g!L6/(rat_weight!L6/1000)*0.1578</f>
        <v>0.31062992125984956</v>
      </c>
      <c r="M6" s="39">
        <f>W_g!M6/(rat_weight!M6/1000)*0.1578</f>
        <v>4.9700787401586101E-2</v>
      </c>
      <c r="N6" s="39">
        <f>W_g!N6/(rat_weight!N6/1000)*0.1578</f>
        <v>0.13667716535432647</v>
      </c>
      <c r="O6" s="39">
        <f>W_g!O6/(rat_weight!O6/1000)*0.1578</f>
        <v>0</v>
      </c>
      <c r="P6" s="39">
        <f>W_g!P6/(rat_weight!P6/1000)*0.1578</f>
        <v>0.29820472440944595</v>
      </c>
      <c r="Q6" s="39">
        <f>W_g!Q6/(rat_weight!Q6/1000)*0.1578</f>
        <v>3.6811819595653779E-2</v>
      </c>
      <c r="R6" s="39">
        <f>W_g!R6/(rat_weight!R6/1000)*0.1578</f>
        <v>1.2270606531891569E-2</v>
      </c>
      <c r="S6" s="39">
        <f>W_g!S6/(rat_weight!S6/1000)*0.1578</f>
        <v>2.4541213063755236E-2</v>
      </c>
      <c r="T6" s="39">
        <f>W_g!T6/(rat_weight!T6/1000)*0.1578</f>
        <v>2.4541213063755236E-2</v>
      </c>
    </row>
    <row r="7" spans="1:20" s="39" customFormat="1">
      <c r="A7" s="18">
        <v>6</v>
      </c>
      <c r="B7" s="39">
        <f>W_g!B7/(rat_weight!B7/1000)*0.1578</f>
        <v>9.9224463453932574E-15</v>
      </c>
      <c r="C7" s="39">
        <f>W_g!C7/(rat_weight!C7/1000)*0.1578</f>
        <v>3.4911504424786695E-2</v>
      </c>
      <c r="D7" s="39">
        <f>W_g!D7/(rat_weight!D7/1000)*0.1578</f>
        <v>5.2367256637160201E-2</v>
      </c>
      <c r="E7" s="39">
        <f>W_g!E7/(rat_weight!E7/1000)*0.1578</f>
        <v>5.2367256637170123E-2</v>
      </c>
      <c r="F7" s="39">
        <f>W_g!F7/(rat_weight!F7/1000)*0.1578</f>
        <v>6.9823008849563467E-2</v>
      </c>
      <c r="G7" s="39">
        <f>W_g!G7/(rat_weight!G7/1000)*0.1578</f>
        <v>9.8138856632773564E-15</v>
      </c>
      <c r="H7" s="39">
        <f>W_g!H7/(rat_weight!H7/1000)*0.1578</f>
        <v>3.4529540481408286E-2</v>
      </c>
      <c r="I7" s="39">
        <f>W_g!I7/(rat_weight!I7/1000)*0.1578</f>
        <v>1.7264770240684513E-2</v>
      </c>
      <c r="J7" s="39">
        <f>W_g!J7/(rat_weight!J7/1000)*0.1578</f>
        <v>9.8138856632773564E-15</v>
      </c>
      <c r="K7" s="39">
        <f>W_g!K7/(rat_weight!K7/1000)*0.1578</f>
        <v>0.69059080962800867</v>
      </c>
      <c r="L7" s="39">
        <f>W_g!L7/(rat_weight!L7/1000)*0.1578</f>
        <v>-1.6967741935478082E-2</v>
      </c>
      <c r="M7" s="39">
        <f>W_g!M7/(rat_weight!M7/1000)*0.1578</f>
        <v>0.16967741935483868</v>
      </c>
      <c r="N7" s="39">
        <f>W_g!N7/(rat_weight!N7/1000)*0.1578</f>
        <v>5.0903225806472829E-2</v>
      </c>
      <c r="O7" s="39">
        <f>W_g!O7/(rat_weight!O7/1000)*0.1578</f>
        <v>0.16967741935481942</v>
      </c>
      <c r="P7" s="39">
        <f>W_g!P7/(rat_weight!P7/1000)*0.1578</f>
        <v>0</v>
      </c>
      <c r="Q7" s="39">
        <f>W_g!Q7/(rat_weight!Q7/1000)*0.1578</f>
        <v>8.3936170212765948E-2</v>
      </c>
      <c r="R7" s="39">
        <f>W_g!R7/(rat_weight!R7/1000)*0.1578</f>
        <v>0.72185106382978914</v>
      </c>
      <c r="S7" s="39">
        <f>W_g!S7/(rat_weight!S7/1000)*0.1578</f>
        <v>3.3574468085094934E-2</v>
      </c>
      <c r="T7" s="39">
        <f>W_g!T7/(rat_weight!T7/1000)*0.1578</f>
        <v>0.1342978723404179</v>
      </c>
    </row>
    <row r="8" spans="1:20" s="39" customFormat="1">
      <c r="A8" s="18">
        <v>7</v>
      </c>
      <c r="B8" s="39">
        <f>W_g!B8/(rat_weight!B8/1000)*0.1578</f>
        <v>5.3491525423725768E-2</v>
      </c>
      <c r="C8" s="39">
        <f>W_g!C8/(rat_weight!C8/1000)*0.1578</f>
        <v>5.3491525423740978E-2</v>
      </c>
      <c r="D8" s="39">
        <f>W_g!D8/(rat_weight!D8/1000)*0.1578</f>
        <v>2.6745762711840083E-2</v>
      </c>
      <c r="E8" s="39">
        <f>W_g!E8/(rat_weight!E8/1000)*0.1578</f>
        <v>8.0237288135565854E-2</v>
      </c>
      <c r="F8" s="39">
        <f>W_g!F8/(rat_weight!F8/1000)*0.1578</f>
        <v>5.3491525423725768E-2</v>
      </c>
      <c r="G8" s="39">
        <f>W_g!G8/(rat_weight!G8/1000)*0.1578</f>
        <v>5.3673469387752047E-2</v>
      </c>
      <c r="H8" s="39">
        <f>W_g!H8/(rat_weight!H8/1000)*0.1578</f>
        <v>0.10734693877550409</v>
      </c>
      <c r="I8" s="39">
        <f>W_g!I8/(rat_weight!I8/1000)*0.1578</f>
        <v>8.0510204081620462E-2</v>
      </c>
      <c r="J8" s="39">
        <f>W_g!J8/(rat_weight!J8/1000)*0.1578</f>
        <v>1.52549175106046E-14</v>
      </c>
      <c r="K8" s="39">
        <f>W_g!K8/(rat_weight!K8/1000)*0.1578</f>
        <v>0.10734693877550409</v>
      </c>
      <c r="L8" s="39">
        <f>W_g!L8/(rat_weight!L8/1000)*0.1578</f>
        <v>-7.8118811881161473E-2</v>
      </c>
      <c r="M8" s="39">
        <f>W_g!M8/(rat_weight!M8/1000)*0.1578</f>
        <v>0.15623762376238215</v>
      </c>
      <c r="N8" s="39">
        <f>W_g!N8/(rat_weight!N8/1000)*0.1578</f>
        <v>7.811881188122069E-2</v>
      </c>
      <c r="O8" s="39">
        <f>W_g!O8/(rat_weight!O8/1000)*0.1578</f>
        <v>-2.9603602297806947E-14</v>
      </c>
      <c r="P8" s="39">
        <f>W_g!P8/(rat_weight!P8/1000)*0.1578</f>
        <v>5.2079207920803922E-2</v>
      </c>
      <c r="Q8" s="39">
        <f>W_g!Q8/(rat_weight!Q8/1000)*0.1578</f>
        <v>-2.5784313725466745E-2</v>
      </c>
      <c r="R8" s="39">
        <f>W_g!R8/(rat_weight!R8/1000)*0.1578</f>
        <v>-2.57843137254814E-2</v>
      </c>
      <c r="S8" s="39">
        <f>W_g!S8/(rat_weight!S8/1000)*0.1578</f>
        <v>5.1568627450992117E-2</v>
      </c>
      <c r="T8" s="39">
        <f>W_g!T8/(rat_weight!T8/1000)*0.1578</f>
        <v>0</v>
      </c>
    </row>
    <row r="9" spans="1:20" s="39" customFormat="1">
      <c r="A9" s="18">
        <v>8</v>
      </c>
      <c r="B9" s="39">
        <f>W_g!B9/(rat_weight!B9/1000)*0.1578</f>
        <v>2.8586956521737501E-2</v>
      </c>
      <c r="C9" s="39">
        <f>W_g!C9/(rat_weight!C9/1000)*0.1578</f>
        <v>2.8586956521729375E-2</v>
      </c>
      <c r="D9" s="39">
        <f>W_g!D9/(rat_weight!D9/1000)*0.1578</f>
        <v>4.2880434782602193E-2</v>
      </c>
      <c r="E9" s="39">
        <f>W_g!E9/(rat_weight!E9/1000)*0.1578</f>
        <v>7.1467391304339697E-2</v>
      </c>
      <c r="F9" s="39">
        <f>W_g!F9/(rat_weight!F9/1000)*0.1578</f>
        <v>8.1249017176046227E-15</v>
      </c>
      <c r="G9" s="39">
        <f>W_g!G9/(rat_weight!G9/1000)*0.1578</f>
        <v>-7.9803305126650387E-15</v>
      </c>
      <c r="H9" s="39">
        <f>W_g!H9/(rat_weight!H9/1000)*0.1578</f>
        <v>2.8078291814953003E-2</v>
      </c>
      <c r="I9" s="39">
        <f>W_g!I9/(rat_weight!I9/1000)*0.1578</f>
        <v>4.2117437722413539E-2</v>
      </c>
      <c r="J9" s="39">
        <f>W_g!J9/(rat_weight!J9/1000)*0.1578</f>
        <v>-2.8078291814945023E-2</v>
      </c>
      <c r="K9" s="39">
        <f>W_g!K9/(rat_weight!K9/1000)*0.1578</f>
        <v>5.6156583629890046E-2</v>
      </c>
      <c r="L9" s="39">
        <f>W_g!L9/(rat_weight!L9/1000)*0.1578</f>
        <v>-1.4039145907452559E-2</v>
      </c>
      <c r="M9" s="39">
        <f>W_g!M9/(rat_weight!M9/1000)*0.1578</f>
        <v>2.8078291814953003E-2</v>
      </c>
      <c r="N9" s="39">
        <f>W_g!N9/(rat_weight!N9/1000)*0.1578</f>
        <v>7.0195729537374518E-2</v>
      </c>
      <c r="O9" s="39">
        <f>W_g!O9/(rat_weight!O9/1000)*0.1578</f>
        <v>2.807829181493704E-2</v>
      </c>
      <c r="P9" s="39">
        <f>W_g!P9/(rat_weight!P9/1000)*0.1578</f>
        <v>2.807829181493704E-2</v>
      </c>
      <c r="Q9" s="39">
        <f>W_g!Q9/(rat_weight!Q9/1000)*0.1578</f>
        <v>-1.4014209591477433E-2</v>
      </c>
      <c r="R9" s="39">
        <f>W_g!R9/(rat_weight!R9/1000)*0.1578</f>
        <v>4.2042628774424329E-2</v>
      </c>
      <c r="S9" s="39">
        <f>W_g!S9/(rat_weight!S9/1000)*0.1578</f>
        <v>2.8028419182954865E-2</v>
      </c>
      <c r="T9" s="39">
        <f>W_g!T9/(rat_weight!T9/1000)*0.1578</f>
        <v>2.8028419182954865E-2</v>
      </c>
    </row>
    <row r="10" spans="1:20" s="39" customFormat="1">
      <c r="A10" s="18">
        <v>9</v>
      </c>
      <c r="B10" s="39">
        <f>W_g!B10/(rat_weight!B10/1000)*0.1578</f>
        <v>1.0275348837209239</v>
      </c>
      <c r="C10" s="39">
        <f>W_g!C10/(rat_weight!C10/1000)*0.1578</f>
        <v>0.51376744186047762</v>
      </c>
      <c r="D10" s="39">
        <f>W_g!D10/(rat_weight!D10/1000)*0.1578</f>
        <v>1.8532325581395181</v>
      </c>
      <c r="E10" s="39">
        <f>W_g!E10/(rat_weight!E10/1000)*0.1578</f>
        <v>9.1744186046501183E-2</v>
      </c>
      <c r="F10" s="39">
        <f>W_g!F10/(rat_weight!F10/1000)*0.1578</f>
        <v>0.36697674418605697</v>
      </c>
      <c r="G10" s="39">
        <f>W_g!G10/(rat_weight!G10/1000)*0.1578</f>
        <v>0.41709251101322176</v>
      </c>
      <c r="H10" s="39">
        <f>W_g!H10/(rat_weight!H10/1000)*0.1578</f>
        <v>1.8074008810572648</v>
      </c>
      <c r="I10" s="39">
        <f>W_g!I10/(rat_weight!I10/1000)*0.1578</f>
        <v>1.2686563876651904</v>
      </c>
      <c r="J10" s="39">
        <f>W_g!J10/(rat_weight!J10/1000)*0.1578</f>
        <v>0.45185022026431121</v>
      </c>
      <c r="K10" s="39">
        <f>W_g!K10/(rat_weight!K10/1000)*0.1578</f>
        <v>1.2860352422907646</v>
      </c>
      <c r="L10" s="39">
        <f>W_g!L10/(rat_weight!L10/1000)*0.1578</f>
        <v>2.4645168539325901</v>
      </c>
      <c r="M10" s="39">
        <f>W_g!M10/(rat_weight!M10/1000)*0.1578</f>
        <v>1.5602696629213602</v>
      </c>
      <c r="N10" s="39">
        <f>W_g!N10/(rat_weight!N10/1000)*0.1578</f>
        <v>1.8262247191011254</v>
      </c>
      <c r="O10" s="39">
        <f>W_g!O10/(rat_weight!O10/1000)*0.1578</f>
        <v>0.17730337078651687</v>
      </c>
      <c r="P10" s="39">
        <f>W_g!P10/(rat_weight!P10/1000)*0.1578</f>
        <v>1.2411235955056179</v>
      </c>
      <c r="Q10" s="39">
        <f>W_g!Q10/(rat_weight!Q10/1000)*0.1578</f>
        <v>2.0818403547671798</v>
      </c>
      <c r="R10" s="39">
        <f>W_g!R10/(rat_weight!R10/1000)*0.1578</f>
        <v>8.7472283813757171E-2</v>
      </c>
      <c r="S10" s="39">
        <f>W_g!S10/(rat_weight!S10/1000)*0.1578</f>
        <v>1.6444789356984437</v>
      </c>
      <c r="T10" s="39">
        <f>W_g!T10/(rat_weight!T10/1000)*0.1578</f>
        <v>1.2246119733924612</v>
      </c>
    </row>
    <row r="11" spans="1:20" s="39" customFormat="1">
      <c r="A11" s="18">
        <v>10</v>
      </c>
      <c r="B11" s="39">
        <f>W_g!B11/(rat_weight!B11/1000)*0.1578</f>
        <v>0.11054290718038687</v>
      </c>
      <c r="C11" s="39">
        <f>W_g!C11/(rat_weight!C11/1000)*0.1578</f>
        <v>0.27635726795096321</v>
      </c>
      <c r="D11" s="39">
        <f>W_g!D11/(rat_weight!D11/1000)*0.1578</f>
        <v>0.64943957968475408</v>
      </c>
      <c r="E11" s="39">
        <f>W_g!E11/(rat_weight!E11/1000)*0.1578</f>
        <v>0.3730823117337988</v>
      </c>
      <c r="F11" s="39">
        <f>W_g!F11/(rat_weight!F11/1000)*0.1578</f>
        <v>7.8545459686825784E-15</v>
      </c>
      <c r="G11" s="39">
        <f>W_g!G11/(rat_weight!G11/1000)*0.1578</f>
        <v>0.70616179001721024</v>
      </c>
      <c r="H11" s="39">
        <f>W_g!H11/(rat_weight!H11/1000)*0.1578</f>
        <v>0.2444406196213518</v>
      </c>
      <c r="I11" s="39">
        <f>W_g!I11/(rat_weight!I11/1000)*0.1578</f>
        <v>0.50246127366608373</v>
      </c>
      <c r="J11" s="39">
        <f>W_g!J11/(rat_weight!J11/1000)*0.1578</f>
        <v>0.13580034423407147</v>
      </c>
      <c r="K11" s="39">
        <f>W_g!K11/(rat_weight!K11/1000)*0.1578</f>
        <v>2.3357659208261525</v>
      </c>
      <c r="L11" s="39">
        <f>W_g!L11/(rat_weight!L11/1000)*0.1578</f>
        <v>0.14963793103447814</v>
      </c>
      <c r="M11" s="39">
        <f>W_g!M11/(rat_weight!M11/1000)*0.1578</f>
        <v>0.51693103448276789</v>
      </c>
      <c r="N11" s="39">
        <f>W_g!N11/(rat_weight!N11/1000)*0.1578</f>
        <v>1.1018793103448383</v>
      </c>
      <c r="O11" s="39">
        <f>W_g!O11/(rat_weight!O11/1000)*0.1578</f>
        <v>0.843413793103439</v>
      </c>
      <c r="P11" s="39">
        <f>W_g!P11/(rat_weight!P11/1000)*0.1578</f>
        <v>0.24486206896551108</v>
      </c>
      <c r="Q11" s="39">
        <f>W_g!Q11/(rat_weight!Q11/1000)*0.1578</f>
        <v>0.92586734693878769</v>
      </c>
      <c r="R11" s="39">
        <f>W_g!R11/(rat_weight!R11/1000)*0.1578</f>
        <v>0.52331632653061688</v>
      </c>
      <c r="S11" s="39">
        <f>W_g!S11/(rat_weight!S11/1000)*0.1578</f>
        <v>0.64408163265307028</v>
      </c>
      <c r="T11" s="39">
        <f>W_g!T11/(rat_weight!T11/1000)*0.1578</f>
        <v>0.56357142857143472</v>
      </c>
    </row>
    <row r="12" spans="1:20" s="39" customFormat="1">
      <c r="A12" s="18">
        <v>11</v>
      </c>
      <c r="B12" s="39">
        <f>W_g!B12/(rat_weight!B12/1000)*0.1578</f>
        <v>2.5196324427627823E-14</v>
      </c>
      <c r="C12" s="39">
        <f>W_g!C12/(rat_weight!C12/1000)*0.1578</f>
        <v>8.8651685393228194E-2</v>
      </c>
      <c r="D12" s="39">
        <f>W_g!D12/(rat_weight!D12/1000)*0.1578</f>
        <v>0.84219101123594498</v>
      </c>
      <c r="E12" s="39">
        <f>W_g!E12/(rat_weight!E12/1000)*0.1578</f>
        <v>0.13297752808984228</v>
      </c>
      <c r="F12" s="39">
        <f>W_g!F12/(rat_weight!F12/1000)*0.1578</f>
        <v>8.8651685393303786E-2</v>
      </c>
      <c r="G12" s="39">
        <f>W_g!G12/(rat_weight!G12/1000)*0.1578</f>
        <v>0.18137931034484306</v>
      </c>
      <c r="H12" s="39">
        <f>W_g!H12/(rat_weight!H12/1000)*0.1578</f>
        <v>0.45344827586206898</v>
      </c>
      <c r="I12" s="39">
        <f>W_g!I12/(rat_weight!I12/1000)*0.1578</f>
        <v>0.22672413793103449</v>
      </c>
      <c r="J12" s="39">
        <f>W_g!J12/(rat_weight!J12/1000)*0.1578</f>
        <v>-9.0689655172408637E-2</v>
      </c>
      <c r="K12" s="39">
        <f>W_g!K12/(rat_weight!K12/1000)*0.1578</f>
        <v>9.0689655172382866E-2</v>
      </c>
      <c r="L12" s="39">
        <f>W_g!L12/(rat_weight!L12/1000)*0.1578</f>
        <v>0.40346590909097535</v>
      </c>
      <c r="M12" s="39">
        <f>W_g!M12/(rat_weight!M12/1000)*0.1578</f>
        <v>8.9659090909111283E-2</v>
      </c>
      <c r="N12" s="39">
        <f>W_g!N12/(rat_weight!N12/1000)*0.1578</f>
        <v>0.22414772727275276</v>
      </c>
      <c r="O12" s="39">
        <f>W_g!O12/(rat_weight!O12/1000)*0.1578</f>
        <v>0</v>
      </c>
      <c r="P12" s="39">
        <f>W_g!P12/(rat_weight!P12/1000)*0.1578</f>
        <v>8.9659090909060324E-2</v>
      </c>
      <c r="Q12" s="39">
        <f>W_g!Q12/(rat_weight!Q12/1000)*0.1578</f>
        <v>0.67244318181823282</v>
      </c>
      <c r="R12" s="39">
        <f>W_g!R12/(rat_weight!R12/1000)*0.1578</f>
        <v>-4.4829545454530162E-2</v>
      </c>
      <c r="S12" s="39">
        <f>W_g!S12/(rat_weight!S12/1000)*0.1578</f>
        <v>0.44829545454545461</v>
      </c>
      <c r="T12" s="39">
        <f>W_g!T12/(rat_weight!T12/1000)*0.1578</f>
        <v>0.26897727272723199</v>
      </c>
    </row>
    <row r="13" spans="1:20" s="39" customFormat="1">
      <c r="A13" s="18">
        <v>12</v>
      </c>
      <c r="B13" s="39">
        <f>W_g!B13/(rat_weight!B13/1000)*0.1578</f>
        <v>1.3885280953924929E-14</v>
      </c>
      <c r="C13" s="39">
        <f>W_g!C13/(rat_weight!C13/1000)*0.1578</f>
        <v>0.24427244582043342</v>
      </c>
      <c r="D13" s="39">
        <f>W_g!D13/(rat_weight!D13/1000)*0.1578</f>
        <v>-2.4427244582048899E-2</v>
      </c>
      <c r="E13" s="39">
        <f>W_g!E13/(rat_weight!E13/1000)*0.1578</f>
        <v>3.2488235294117671</v>
      </c>
      <c r="F13" s="39">
        <f>W_g!F13/(rat_weight!F13/1000)*0.1578</f>
        <v>4.8854489164083907E-2</v>
      </c>
      <c r="G13" s="39">
        <f>W_g!G13/(rat_weight!G13/1000)*0.1578</f>
        <v>0.19849056603773868</v>
      </c>
      <c r="H13" s="39">
        <f>W_g!H13/(rat_weight!H13/1000)*0.1578</f>
        <v>0.99245283018867914</v>
      </c>
      <c r="I13" s="39">
        <f>W_g!I13/(rat_weight!I13/1000)*0.1578</f>
        <v>2.0593396226415264</v>
      </c>
      <c r="J13" s="39">
        <f>W_g!J13/(rat_weight!J13/1000)*0.1578</f>
        <v>1.4103602981502364E-14</v>
      </c>
      <c r="K13" s="39">
        <f>W_g!K13/(rat_weight!K13/1000)*0.1578</f>
        <v>0.5458490566037566</v>
      </c>
      <c r="L13" s="39">
        <f>W_g!L13/(rat_weight!L13/1000)*0.1578</f>
        <v>0.12366771159876014</v>
      </c>
      <c r="M13" s="39">
        <f>W_g!M13/(rat_weight!M13/1000)*0.1578</f>
        <v>1.0388087774294783</v>
      </c>
      <c r="N13" s="39">
        <f>W_g!N13/(rat_weight!N13/1000)*0.1578</f>
        <v>1.8550156739812051</v>
      </c>
      <c r="O13" s="39">
        <f>W_g!O13/(rat_weight!O13/1000)*0.1578</f>
        <v>9.8934169278991235E-2</v>
      </c>
      <c r="P13" s="39">
        <f>W_g!P13/(rat_weight!P13/1000)*0.1578</f>
        <v>4.9467084639481552E-2</v>
      </c>
      <c r="Q13" s="39">
        <f>W_g!Q13/(rat_weight!Q13/1000)*0.1578</f>
        <v>2.0827639751553071</v>
      </c>
      <c r="R13" s="39">
        <f>W_g!R13/(rat_weight!R13/1000)*0.1578</f>
        <v>0.95562111801243055</v>
      </c>
      <c r="S13" s="39">
        <f>W_g!S13/(rat_weight!S13/1000)*0.1578</f>
        <v>0.93111801242237691</v>
      </c>
      <c r="T13" s="39">
        <f>W_g!T13/(rat_weight!T13/1000)*0.1578</f>
        <v>0.68608695652175578</v>
      </c>
    </row>
    <row r="14" spans="1:20" s="39" customFormat="1">
      <c r="A14" s="18">
        <v>13</v>
      </c>
      <c r="B14" s="39">
        <f>W_g!B14/(rat_weight!B14/1000)*0.1578</f>
        <v>-1.4656685451365202E-14</v>
      </c>
      <c r="C14" s="39">
        <f>W_g!C14/(rat_weight!C14/1000)*0.1578</f>
        <v>0.3609803921568569</v>
      </c>
      <c r="D14" s="39">
        <f>W_g!D14/(rat_weight!D14/1000)*0.1578</f>
        <v>2.5784313725496059E-2</v>
      </c>
      <c r="E14" s="39">
        <f>W_g!E14/(rat_weight!E14/1000)*0.1578</f>
        <v>2.57843137254814E-2</v>
      </c>
      <c r="F14" s="39">
        <f>W_g!F14/(rat_weight!F14/1000)*0.1578</f>
        <v>0.10313725490196958</v>
      </c>
      <c r="G14" s="39">
        <f>W_g!G14/(rat_weight!G14/1000)*0.1578</f>
        <v>0.40987012987012111</v>
      </c>
      <c r="H14" s="39">
        <f>W_g!H14/(rat_weight!H14/1000)*0.1578</f>
        <v>0.92220779220776883</v>
      </c>
      <c r="I14" s="39">
        <f>W_g!I14/(rat_weight!I14/1000)*0.1578</f>
        <v>2.561688311688894E-2</v>
      </c>
      <c r="J14" s="39">
        <f>W_g!J14/(rat_weight!J14/1000)*0.1578</f>
        <v>5.1233766233763321E-2</v>
      </c>
      <c r="K14" s="39">
        <f>W_g!K14/(rat_weight!K14/1000)*0.1578</f>
        <v>5.1233766233777879E-2</v>
      </c>
      <c r="L14" s="39">
        <f>W_g!L14/(rat_weight!L14/1000)*0.1578</f>
        <v>0.48514563106796987</v>
      </c>
      <c r="M14" s="39">
        <f>W_g!M14/(rat_weight!M14/1000)*0.1578</f>
        <v>0.35747572815536299</v>
      </c>
      <c r="N14" s="39">
        <f>W_g!N14/(rat_weight!N14/1000)*0.1578</f>
        <v>0.22980582524272716</v>
      </c>
      <c r="O14" s="39">
        <f>W_g!O14/(rat_weight!O14/1000)*0.1578</f>
        <v>-2.9028775068723319E-14</v>
      </c>
      <c r="P14" s="39">
        <f>W_g!P14/(rat_weight!P14/1000)*0.1578</f>
        <v>0.25533980582524274</v>
      </c>
      <c r="Q14" s="39">
        <f>W_g!Q14/(rat_weight!Q14/1000)*0.1578</f>
        <v>2.4415309446254363</v>
      </c>
      <c r="R14" s="39">
        <f>W_g!R14/(rat_weight!R14/1000)*0.1578</f>
        <v>1.1051140065146607</v>
      </c>
      <c r="S14" s="39">
        <f>W_g!S14/(rat_weight!S14/1000)*0.1578</f>
        <v>2.6728338762214929</v>
      </c>
      <c r="T14" s="39">
        <f>W_g!T14/(rat_weight!T14/1000)*0.1578</f>
        <v>0.20560260586318049</v>
      </c>
    </row>
    <row r="15" spans="1:20" s="39" customFormat="1">
      <c r="A15" s="18">
        <v>14</v>
      </c>
      <c r="B15" s="39">
        <f>W_g!B15/(rat_weight!B15/1000)*0.1578</f>
        <v>8.0923076923072323E-2</v>
      </c>
      <c r="C15" s="39">
        <f>W_g!C15/(rat_weight!C15/1000)*0.1578</f>
        <v>8.0923076923095333E-2</v>
      </c>
      <c r="D15" s="39">
        <f>W_g!D15/(rat_weight!D15/1000)*0.1578</f>
        <v>0.68784615384612613</v>
      </c>
      <c r="E15" s="39">
        <f>W_g!E15/(rat_weight!E15/1000)*0.1578</f>
        <v>0.44507692307690921</v>
      </c>
      <c r="F15" s="39">
        <f>W_g!F15/(rat_weight!F15/1000)*0.1578</f>
        <v>8.0923076923072323E-2</v>
      </c>
      <c r="G15" s="39">
        <f>W_g!G15/(rat_weight!G15/1000)*0.1578</f>
        <v>0.5693814432989367</v>
      </c>
      <c r="H15" s="39">
        <f>W_g!H15/(rat_weight!H15/1000)*0.1578</f>
        <v>0.73206185567013071</v>
      </c>
      <c r="I15" s="39">
        <f>W_g!I15/(rat_weight!I15/1000)*0.1578</f>
        <v>0.2846907216494568</v>
      </c>
      <c r="J15" s="39">
        <f>W_g!J15/(rat_weight!J15/1000)*0.1578</f>
        <v>2.311827705215336E-14</v>
      </c>
      <c r="K15" s="39">
        <f>W_g!K15/(rat_weight!K15/1000)*0.1578</f>
        <v>8.1340206185539263E-2</v>
      </c>
      <c r="L15" s="39">
        <f>W_g!L15/(rat_weight!L15/1000)*0.1578</f>
        <v>-3.9848484848471255E-2</v>
      </c>
      <c r="M15" s="39">
        <f>W_g!M15/(rat_weight!M15/1000)*0.1578</f>
        <v>0.23909090909091812</v>
      </c>
      <c r="N15" s="39">
        <f>W_g!N15/(rat_weight!N15/1000)*0.1578</f>
        <v>0.83681818181821344</v>
      </c>
      <c r="O15" s="39">
        <f>W_g!O15/(rat_weight!O15/1000)*0.1578</f>
        <v>7.969696969694251E-2</v>
      </c>
      <c r="P15" s="39">
        <f>W_g!P15/(rat_weight!P15/1000)*0.1578</f>
        <v>0.15939393939393032</v>
      </c>
      <c r="Q15" s="39">
        <f>W_g!Q15/(rat_weight!Q15/1000)*0.1578</f>
        <v>-4.0050761421328906E-2</v>
      </c>
      <c r="R15" s="39">
        <f>W_g!R15/(rat_weight!R15/1000)*0.1578</f>
        <v>-4.005076142130614E-2</v>
      </c>
      <c r="S15" s="39">
        <f>W_g!S15/(rat_weight!S15/1000)*0.1578</f>
        <v>0.64081218274112584</v>
      </c>
      <c r="T15" s="39">
        <f>W_g!T15/(rat_weight!T15/1000)*0.1578</f>
        <v>0.64081218274112584</v>
      </c>
    </row>
    <row r="16" spans="1:20" s="39" customFormat="1">
      <c r="A16" s="18">
        <v>15</v>
      </c>
      <c r="B16" s="39">
        <f>W_g!B16/(rat_weight!B16/1000)*0.1578</f>
        <v>-6.9426404769624645E-15</v>
      </c>
      <c r="C16" s="39">
        <f>W_g!C16/(rat_weight!C16/1000)*0.1578</f>
        <v>9.7708978328167814E-2</v>
      </c>
      <c r="D16" s="39">
        <f>W_g!D16/(rat_weight!D16/1000)*0.1578</f>
        <v>0.2809133126934929</v>
      </c>
      <c r="E16" s="39">
        <f>W_g!E16/(rat_weight!E16/1000)*0.1578</f>
        <v>0.74503095975231781</v>
      </c>
      <c r="F16" s="39">
        <f>W_g!F16/(rat_weight!F16/1000)*0.1578</f>
        <v>0.48854489164087378</v>
      </c>
      <c r="G16" s="39">
        <f>W_g!G16/(rat_weight!G16/1000)*0.1578</f>
        <v>0.21715596330275364</v>
      </c>
      <c r="H16" s="39">
        <f>W_g!H16/(rat_weight!H16/1000)*0.1578</f>
        <v>4.8256880733955926E-2</v>
      </c>
      <c r="I16" s="39">
        <f>W_g!I16/(rat_weight!I16/1000)*0.1578</f>
        <v>0.39811926605504033</v>
      </c>
      <c r="J16" s="39">
        <f>W_g!J16/(rat_weight!J16/1000)*0.1578</f>
        <v>0.21715596330275364</v>
      </c>
      <c r="K16" s="39">
        <f>W_g!K16/(rat_weight!K16/1000)*0.1578</f>
        <v>2.4128440366964245E-2</v>
      </c>
      <c r="L16" s="39">
        <f>W_g!L16/(rat_weight!L16/1000)*0.1578</f>
        <v>-1.1776119402981056E-2</v>
      </c>
      <c r="M16" s="39">
        <f>W_g!M16/(rat_weight!M16/1000)*0.1578</f>
        <v>0.44749253731344085</v>
      </c>
      <c r="N16" s="39">
        <f>W_g!N16/(rat_weight!N16/1000)*0.1578</f>
        <v>5.8880597014932055E-2</v>
      </c>
      <c r="O16" s="39">
        <f>W_g!O16/(rat_weight!O16/1000)*0.1578</f>
        <v>2.3552238805962113E-2</v>
      </c>
      <c r="P16" s="39">
        <f>W_g!P16/(rat_weight!P16/1000)*0.1578</f>
        <v>2.3552238805975505E-2</v>
      </c>
      <c r="Q16" s="39">
        <f>W_g!Q16/(rat_weight!Q16/1000)*0.1578</f>
        <v>0.53310810810810805</v>
      </c>
      <c r="R16" s="39">
        <f>W_g!R16/(rat_weight!R16/1000)*0.1578</f>
        <v>3.5540540540555353E-2</v>
      </c>
      <c r="S16" s="39">
        <f>W_g!S16/(rat_weight!S16/1000)*0.1578</f>
        <v>0.73450450450450988</v>
      </c>
      <c r="T16" s="39">
        <f>W_g!T16/(rat_weight!T16/1000)*0.1578</f>
        <v>2.3693693693699079E-2</v>
      </c>
    </row>
    <row r="17" spans="1:20" s="39" customFormat="1">
      <c r="A17" s="18">
        <v>16</v>
      </c>
      <c r="B17" s="39">
        <f>W_g!B17/(rat_weight!B17/1000)*0.1578</f>
        <v>9.0604964608439442E-15</v>
      </c>
      <c r="C17" s="39">
        <f>W_g!C17/(rat_weight!C17/1000)*0.1578</f>
        <v>0.4463030303030231</v>
      </c>
      <c r="D17" s="39">
        <f>W_g!D17/(rat_weight!D17/1000)*0.1578</f>
        <v>2.0880606060606097</v>
      </c>
      <c r="E17" s="39">
        <f>W_g!E17/(rat_weight!E17/1000)*0.1578</f>
        <v>0.68539393939392312</v>
      </c>
      <c r="F17" s="39">
        <f>W_g!F17/(rat_weight!F17/1000)*0.1578</f>
        <v>0.73321212121213386</v>
      </c>
      <c r="G17" s="39">
        <f>W_g!G17/(rat_weight!G17/1000)*0.1578</f>
        <v>0.21744094488189505</v>
      </c>
      <c r="H17" s="39">
        <f>W_g!H17/(rat_weight!H17/1000)*0.1578</f>
        <v>0.15531496062992126</v>
      </c>
      <c r="I17" s="39">
        <f>W_g!I17/(rat_weight!I17/1000)*0.1578</f>
        <v>0.1708464566929169</v>
      </c>
      <c r="J17" s="39">
        <f>W_g!J17/(rat_weight!J17/1000)*0.1578</f>
        <v>0.12425196850393877</v>
      </c>
      <c r="K17" s="39">
        <f>W_g!K17/(rat_weight!K17/1000)*0.1578</f>
        <v>9.3188976377938632E-2</v>
      </c>
      <c r="L17" s="39">
        <f>W_g!L17/(rat_weight!L17/1000)*0.1578</f>
        <v>-1.553149606298683E-2</v>
      </c>
      <c r="M17" s="39">
        <f>W_g!M17/(rat_weight!M17/1000)*0.1578</f>
        <v>1.11826771653544</v>
      </c>
      <c r="N17" s="39">
        <f>W_g!N17/(rat_weight!N17/1000)*0.1578</f>
        <v>0.79210629921261078</v>
      </c>
      <c r="O17" s="39">
        <f>W_g!O17/(rat_weight!O17/1000)*0.1578</f>
        <v>6.2125984251964965E-2</v>
      </c>
      <c r="P17" s="39">
        <f>W_g!P17/(rat_weight!P17/1000)*0.1578</f>
        <v>0</v>
      </c>
      <c r="Q17" s="39">
        <f>W_g!Q17/(rat_weight!Q17/1000)*0.1578</f>
        <v>0.69481409001956951</v>
      </c>
      <c r="R17" s="39">
        <f>W_g!R17/(rat_weight!R17/1000)*0.1578</f>
        <v>7.7201565557738716E-2</v>
      </c>
      <c r="S17" s="39">
        <f>W_g!S17/(rat_weight!S17/1000)*0.1578</f>
        <v>0.30880626223091973</v>
      </c>
      <c r="T17" s="39">
        <f>W_g!T17/(rat_weight!T17/1000)*0.1578</f>
        <v>0.21616438356164031</v>
      </c>
    </row>
    <row r="18" spans="1:20" s="39" customFormat="1">
      <c r="A18" s="18">
        <v>17</v>
      </c>
      <c r="B18" s="39">
        <f>W_g!B18/(rat_weight!B18/1000)*0.1578</f>
        <v>2.922222222222056E-2</v>
      </c>
      <c r="C18" s="39">
        <f>W_g!C18/(rat_weight!C18/1000)*0.1578</f>
        <v>5.8444444444457726E-2</v>
      </c>
      <c r="D18" s="39">
        <f>W_g!D18/(rat_weight!D18/1000)*0.1578</f>
        <v>1.4611111111114431E-2</v>
      </c>
      <c r="E18" s="39">
        <f>W_g!E18/(rat_weight!E18/1000)*0.1578</f>
        <v>7.3055555555547241E-2</v>
      </c>
      <c r="F18" s="39">
        <f>W_g!F18/(rat_weight!F18/1000)*0.1578</f>
        <v>2.922222222222056E-2</v>
      </c>
      <c r="G18" s="39">
        <f>W_g!G18/(rat_weight!G18/1000)*0.1578</f>
        <v>2.8901098901113684E-2</v>
      </c>
      <c r="H18" s="39">
        <f>W_g!H18/(rat_weight!H18/1000)*0.1578</f>
        <v>5.7802197802194512E-2</v>
      </c>
      <c r="I18" s="39">
        <f>W_g!I18/(rat_weight!I18/1000)*0.1578</f>
        <v>4.3351648351641778E-2</v>
      </c>
      <c r="J18" s="39">
        <f>W_g!J18/(rat_weight!J18/1000)*0.1578</f>
        <v>8.2141863518640146E-15</v>
      </c>
      <c r="K18" s="39">
        <f>W_g!K18/(rat_weight!K18/1000)*0.1578</f>
        <v>0</v>
      </c>
      <c r="L18" s="39">
        <f>W_g!L18/(rat_weight!L18/1000)*0.1578</f>
        <v>-1.4319419237744661E-2</v>
      </c>
      <c r="M18" s="39">
        <f>W_g!M18/(rat_weight!M18/1000)*0.1578</f>
        <v>8.5916515426500528E-2</v>
      </c>
      <c r="N18" s="39">
        <f>W_g!N18/(rat_weight!N18/1000)*0.1578</f>
        <v>4.2958257713250264E-2</v>
      </c>
      <c r="O18" s="39">
        <f>W_g!O18/(rat_weight!O18/1000)*0.1578</f>
        <v>-2.86388384755056E-2</v>
      </c>
      <c r="P18" s="39">
        <f>W_g!P18/(rat_weight!P18/1000)*0.1578</f>
        <v>0</v>
      </c>
      <c r="Q18" s="39">
        <f>W_g!Q18/(rat_weight!Q18/1000)*0.1578</f>
        <v>-1.4139784946223697E-2</v>
      </c>
      <c r="R18" s="39">
        <f>W_g!R18/(rat_weight!R18/1000)*0.1578</f>
        <v>1.4139784946231734E-2</v>
      </c>
      <c r="S18" s="39">
        <f>W_g!S18/(rat_weight!S18/1000)*0.1578</f>
        <v>8.483870967740649E-2</v>
      </c>
      <c r="T18" s="39">
        <f>W_g!T18/(rat_weight!T18/1000)*0.1578</f>
        <v>2.8279569892479546E-2</v>
      </c>
    </row>
    <row r="19" spans="1:20" s="39" customFormat="1">
      <c r="A19" s="18">
        <v>18</v>
      </c>
      <c r="B19" s="39">
        <f>W_g!B19/(rat_weight!B19/1000)*0.1578</f>
        <v>-1.4801801148903474E-14</v>
      </c>
      <c r="C19" s="39">
        <f>W_g!C19/(rat_weight!C19/1000)*0.1578</f>
        <v>0.10415841584157823</v>
      </c>
      <c r="D19" s="39">
        <f>W_g!D19/(rat_weight!D19/1000)*0.1578</f>
        <v>2.6039603960401961E-2</v>
      </c>
      <c r="E19" s="39">
        <f>W_g!E19/(rat_weight!E19/1000)*0.1578</f>
        <v>2.6039603960387157E-2</v>
      </c>
      <c r="F19" s="39">
        <f>W_g!F19/(rat_weight!F19/1000)*0.1578</f>
        <v>0.10415841584156343</v>
      </c>
      <c r="G19" s="39">
        <f>W_g!G19/(rat_weight!G19/1000)*0.1578</f>
        <v>5.2251655629136105E-2</v>
      </c>
      <c r="H19" s="39">
        <f>W_g!H19/(rat_weight!H19/1000)*0.1578</f>
        <v>0.20900662251654442</v>
      </c>
      <c r="I19" s="39">
        <f>W_g!I19/(rat_weight!I19/1000)*0.1578</f>
        <v>7.837748344369673E-2</v>
      </c>
      <c r="J19" s="39">
        <f>W_g!J19/(rat_weight!J19/1000)*0.1578</f>
        <v>0.10450331125828705</v>
      </c>
      <c r="K19" s="39">
        <f>W_g!K19/(rat_weight!K19/1000)*0.1578</f>
        <v>0.10450331125830191</v>
      </c>
      <c r="L19" s="39">
        <f>W_g!L19/(rat_weight!L19/1000)*0.1578</f>
        <v>2.612582781459033E-2</v>
      </c>
      <c r="M19" s="39">
        <f>W_g!M19/(rat_weight!M19/1000)*0.1578</f>
        <v>0.10450331125827221</v>
      </c>
      <c r="N19" s="39">
        <f>W_g!N19/(rat_weight!N19/1000)*0.1578</f>
        <v>0.13062913907286253</v>
      </c>
      <c r="O19" s="39">
        <f>W_g!O19/(rat_weight!O19/1000)*0.1578</f>
        <v>5.2251655629121249E-2</v>
      </c>
      <c r="P19" s="39">
        <f>W_g!P19/(rat_weight!P19/1000)*0.1578</f>
        <v>5.2251655629150955E-2</v>
      </c>
      <c r="Q19" s="39">
        <f>W_g!Q19/(rat_weight!Q19/1000)*0.1578</f>
        <v>-2.561688311685982E-2</v>
      </c>
      <c r="R19" s="39">
        <f>W_g!R19/(rat_weight!R19/1000)*0.1578</f>
        <v>7.6850649350652264E-2</v>
      </c>
      <c r="S19" s="39">
        <f>W_g!S19/(rat_weight!S19/1000)*0.1578</f>
        <v>5.1233766233748756E-2</v>
      </c>
      <c r="T19" s="39">
        <f>W_g!T19/(rat_weight!T19/1000)*0.1578</f>
        <v>0</v>
      </c>
    </row>
    <row r="20" spans="1:20" s="39" customFormat="1">
      <c r="A20" s="18">
        <v>19</v>
      </c>
      <c r="B20" s="39">
        <f>W_g!B20/(rat_weight!B20/1000)*0.1578</f>
        <v>0.43935034802784845</v>
      </c>
      <c r="C20" s="39">
        <f>W_g!C20/(rat_weight!C20/1000)*0.1578</f>
        <v>3.6612529002307694E-2</v>
      </c>
      <c r="D20" s="39">
        <f>W_g!D20/(rat_weight!D20/1000)*0.1578</f>
        <v>0.89700696055684037</v>
      </c>
      <c r="E20" s="39">
        <f>W_g!E20/(rat_weight!E20/1000)*0.1578</f>
        <v>1.8306264501153847E-2</v>
      </c>
      <c r="F20" s="39">
        <f>W_g!F20/(rat_weight!F20/1000)*0.1578</f>
        <v>3.6612529002318102E-2</v>
      </c>
      <c r="G20" s="39">
        <f>W_g!G20/(rat_weight!G20/1000)*0.1578</f>
        <v>7.6048192771090831E-2</v>
      </c>
      <c r="H20" s="39">
        <f>W_g!H20/(rat_weight!H20/1000)*0.1578</f>
        <v>0.57036144578313253</v>
      </c>
      <c r="I20" s="39">
        <f>W_g!I20/(rat_weight!I20/1000)*0.1578</f>
        <v>0.28518072289156626</v>
      </c>
      <c r="J20" s="39">
        <f>W_g!J20/(rat_weight!J20/1000)*0.1578</f>
        <v>7.6048192771090831E-2</v>
      </c>
      <c r="K20" s="39">
        <f>W_g!K20/(rat_weight!K20/1000)*0.1578</f>
        <v>7.604819277108002E-2</v>
      </c>
      <c r="L20" s="39">
        <f>W_g!L20/(rat_weight!L20/1000)*0.1578</f>
        <v>9.3262411347528343E-2</v>
      </c>
      <c r="M20" s="39">
        <f>W_g!M20/(rat_weight!M20/1000)*0.1578</f>
        <v>1.6041134751773092</v>
      </c>
      <c r="N20" s="39">
        <f>W_g!N20/(rat_weight!N20/1000)*0.1578</f>
        <v>9.3262411347528343E-2</v>
      </c>
      <c r="O20" s="39">
        <f>W_g!O20/(rat_weight!O20/1000)*0.1578</f>
        <v>0.33574468085105535</v>
      </c>
      <c r="P20" s="39">
        <f>W_g!P20/(rat_weight!P20/1000)*0.1578</f>
        <v>1.1564539007092283</v>
      </c>
      <c r="Q20" s="39">
        <f>W_g!Q20/(rat_weight!Q20/1000)*0.1578</f>
        <v>0.90628378378378782</v>
      </c>
      <c r="R20" s="39">
        <f>W_g!R20/(rat_weight!R20/1000)*0.1578</f>
        <v>-1.7770270270264208E-2</v>
      </c>
      <c r="S20" s="39">
        <f>W_g!S20/(rat_weight!S20/1000)*0.1578</f>
        <v>0.42648648648648241</v>
      </c>
      <c r="T20" s="39">
        <f>W_g!T20/(rat_weight!T20/1000)*0.1578</f>
        <v>2.1324324324324326</v>
      </c>
    </row>
    <row r="21" spans="1:20" s="39" customFormat="1">
      <c r="A21" s="18">
        <v>20</v>
      </c>
      <c r="B21" s="39">
        <f>W_g!B21/(rat_weight!B21/1000)*0.1578</f>
        <v>0.38420869565217547</v>
      </c>
      <c r="C21" s="39">
        <f>W_g!C21/(rat_weight!C21/1000)*0.1578</f>
        <v>0.16466086956522366</v>
      </c>
      <c r="D21" s="39">
        <f>W_g!D21/(rat_weight!D21/1000)*0.1578</f>
        <v>9.6052173913034125E-2</v>
      </c>
      <c r="E21" s="39">
        <f>W_g!E21/(rat_weight!E21/1000)*0.1578</f>
        <v>4.1165217391305915E-2</v>
      </c>
      <c r="F21" s="39">
        <f>W_g!F21/(rat_weight!F21/1000)*0.1578</f>
        <v>8.2330434782604017E-2</v>
      </c>
      <c r="G21" s="39">
        <f>W_g!G21/(rat_weight!G21/1000)*0.1578</f>
        <v>0.16129471890972413</v>
      </c>
      <c r="H21" s="39">
        <f>W_g!H21/(rat_weight!H21/1000)*0.1578</f>
        <v>0.40323679727427603</v>
      </c>
      <c r="I21" s="39">
        <f>W_g!I21/(rat_weight!I21/1000)*0.1578</f>
        <v>0.12097103918227975</v>
      </c>
      <c r="J21" s="39">
        <f>W_g!J21/(rat_weight!J21/1000)*0.1578</f>
        <v>-2.6882453151616872E-2</v>
      </c>
      <c r="K21" s="39">
        <f>W_g!K21/(rat_weight!K21/1000)*0.1578</f>
        <v>0</v>
      </c>
      <c r="L21" s="39">
        <f>W_g!L21/(rat_weight!L21/1000)*0.1578</f>
        <v>0.14537688442212107</v>
      </c>
      <c r="M21" s="39">
        <f>W_g!M21/(rat_weight!M21/1000)*0.1578</f>
        <v>5.2864321608037196E-2</v>
      </c>
      <c r="N21" s="39">
        <f>W_g!N21/(rat_weight!N21/1000)*0.1578</f>
        <v>0.19824120603015827</v>
      </c>
      <c r="O21" s="39">
        <f>W_g!O21/(rat_weight!O21/1000)*0.1578</f>
        <v>0.55507537688441311</v>
      </c>
      <c r="P21" s="39">
        <f>W_g!P21/(rat_weight!P21/1000)*0.1578</f>
        <v>0</v>
      </c>
      <c r="Q21" s="39">
        <f>W_g!Q21/(rat_weight!Q21/1000)*0.1578</f>
        <v>-1.301980198020098E-2</v>
      </c>
      <c r="R21" s="39">
        <f>W_g!R21/(rat_weight!R21/1000)*0.1578</f>
        <v>3.9059405940595537E-2</v>
      </c>
      <c r="S21" s="39">
        <f>W_g!S21/(rat_weight!S21/1000)*0.1578</f>
        <v>0.10415841584157823</v>
      </c>
      <c r="T21" s="39">
        <f>W_g!T21/(rat_weight!T21/1000)*0.1578</f>
        <v>5.2079207920789114E-2</v>
      </c>
    </row>
    <row r="22" spans="1:20" s="39" customFormat="1">
      <c r="A22" s="18">
        <v>21</v>
      </c>
      <c r="B22" s="39">
        <f>W_g!B22/(rat_weight!B22/1000)*0.1578</f>
        <v>2.398366710223397E-14</v>
      </c>
      <c r="C22" s="39">
        <f>W_g!C22/(rat_weight!C22/1000)*0.1578</f>
        <v>8.4385026737987104E-2</v>
      </c>
      <c r="D22" s="39">
        <f>W_g!D22/(rat_weight!D22/1000)*0.1578</f>
        <v>-4.2192513368993552E-2</v>
      </c>
      <c r="E22" s="39">
        <f>W_g!E22/(rat_weight!E22/1000)*0.1578</f>
        <v>4.2192513368969564E-2</v>
      </c>
      <c r="F22" s="39">
        <f>W_g!F22/(rat_weight!F22/1000)*0.1578</f>
        <v>-8.4385026737963123E-2</v>
      </c>
      <c r="G22" s="39">
        <f>W_g!G22/(rat_weight!G22/1000)*0.1578</f>
        <v>8.6229508196716417E-2</v>
      </c>
      <c r="H22" s="39">
        <f>W_g!H22/(rat_weight!H22/1000)*0.1578</f>
        <v>0.17245901639348185</v>
      </c>
      <c r="I22" s="39">
        <f>W_g!I22/(rat_weight!I22/1000)*0.1578</f>
        <v>-4.3114754098370463E-2</v>
      </c>
      <c r="J22" s="39">
        <f>W_g!J22/(rat_weight!J22/1000)*0.1578</f>
        <v>-8.6229508196716417E-2</v>
      </c>
      <c r="K22" s="39">
        <f>W_g!K22/(rat_weight!K22/1000)*0.1578</f>
        <v>8.6229508196691909E-2</v>
      </c>
      <c r="L22" s="39">
        <f>W_g!L22/(rat_weight!L22/1000)*0.1578</f>
        <v>-0.12457894736842576</v>
      </c>
      <c r="M22" s="39">
        <f>W_g!M22/(rat_weight!M22/1000)*0.1578</f>
        <v>8.3052631578966252E-2</v>
      </c>
      <c r="N22" s="39">
        <f>W_g!N22/(rat_weight!N22/1000)*0.1578</f>
        <v>0.3737368421052773</v>
      </c>
      <c r="O22" s="39">
        <f>W_g!O22/(rat_weight!O22/1000)*0.1578</f>
        <v>-8.3052631578966252E-2</v>
      </c>
      <c r="P22" s="39">
        <f>W_g!P22/(rat_weight!P22/1000)*0.1578</f>
        <v>8.3052631578966252E-2</v>
      </c>
      <c r="Q22" s="39">
        <f>W_g!Q22/(rat_weight!Q22/1000)*0.1578</f>
        <v>-0.12657754010693267</v>
      </c>
      <c r="R22" s="39">
        <f>W_g!R22/(rat_weight!R22/1000)*0.1578</f>
        <v>-4.2192513368969564E-2</v>
      </c>
      <c r="S22" s="39">
        <f>W_g!S22/(rat_weight!S22/1000)*0.1578</f>
        <v>0.16877005347597421</v>
      </c>
      <c r="T22" s="39">
        <f>W_g!T22/(rat_weight!T22/1000)*0.1578</f>
        <v>8.4385026737939128E-2</v>
      </c>
    </row>
    <row r="23" spans="1:20" s="39" customFormat="1">
      <c r="A23" s="18">
        <v>22</v>
      </c>
      <c r="B23" s="39">
        <f>W_g!B23/(rat_weight!B23/1000)*0.1578</f>
        <v>-1.4753111013545239E-14</v>
      </c>
      <c r="C23" s="39">
        <f>W_g!C23/(rat_weight!C23/1000)*0.1578</f>
        <v>5.1907894736853907E-2</v>
      </c>
      <c r="D23" s="39">
        <f>W_g!D23/(rat_weight!D23/1000)*0.1578</f>
        <v>2.5953947368426954E-2</v>
      </c>
      <c r="E23" s="39">
        <f>W_g!E23/(rat_weight!E23/1000)*0.1578</f>
        <v>2.5953947368412202E-2</v>
      </c>
      <c r="F23" s="39">
        <f>W_g!F23/(rat_weight!F23/1000)*0.1578</f>
        <v>1.4753111013545239E-14</v>
      </c>
      <c r="G23" s="39">
        <f>W_g!G23/(rat_weight!G23/1000)*0.1578</f>
        <v>5.1737704918029849E-2</v>
      </c>
      <c r="H23" s="39">
        <f>W_g!H23/(rat_weight!H23/1000)*0.1578</f>
        <v>5.1737704918044553E-2</v>
      </c>
      <c r="I23" s="39">
        <f>W_g!I23/(rat_weight!I23/1000)*0.1578</f>
        <v>-2.5868852459022276E-2</v>
      </c>
      <c r="J23" s="39">
        <f>W_g!J23/(rat_weight!J23/1000)*0.1578</f>
        <v>-5.1737704918029849E-2</v>
      </c>
      <c r="K23" s="39">
        <f>W_g!K23/(rat_weight!K23/1000)*0.1578</f>
        <v>0</v>
      </c>
      <c r="L23" s="39">
        <f>W_g!L23/(rat_weight!L23/1000)*0.1578</f>
        <v>-2.6039603960387157E-2</v>
      </c>
      <c r="M23" s="39">
        <f>W_g!M23/(rat_weight!M23/1000)*0.1578</f>
        <v>0.10415841584160784</v>
      </c>
      <c r="N23" s="39">
        <f>W_g!N23/(rat_weight!N23/1000)*0.1578</f>
        <v>0.13019801980196538</v>
      </c>
      <c r="O23" s="39">
        <f>W_g!O23/(rat_weight!O23/1000)*0.1578</f>
        <v>0</v>
      </c>
      <c r="P23" s="39">
        <f>W_g!P23/(rat_weight!P23/1000)*0.1578</f>
        <v>5.2079207920774313E-2</v>
      </c>
      <c r="Q23" s="39">
        <f>W_g!Q23/(rat_weight!Q23/1000)*0.1578</f>
        <v>-7.6109324758830907E-2</v>
      </c>
      <c r="R23" s="39">
        <f>W_g!R23/(rat_weight!R23/1000)*0.1578</f>
        <v>2.5369774919605494E-2</v>
      </c>
      <c r="S23" s="39">
        <f>W_g!S23/(rat_weight!S23/1000)*0.1578</f>
        <v>0</v>
      </c>
      <c r="T23" s="39">
        <f>W_g!T23/(rat_weight!T23/1000)*0.1578</f>
        <v>5.0739549839210987E-2</v>
      </c>
    </row>
    <row r="24" spans="1:20" s="39" customFormat="1">
      <c r="A24" s="18">
        <v>23</v>
      </c>
      <c r="B24" s="39">
        <f>W_g!B24/(rat_weight!B24/1000)*0.1578</f>
        <v>5.4041095890407891E-2</v>
      </c>
      <c r="C24" s="39">
        <f>W_g!C24/(rat_weight!C24/1000)*0.1578</f>
        <v>5.4041095890392535E-2</v>
      </c>
      <c r="D24" s="39">
        <f>W_g!D24/(rat_weight!D24/1000)*0.1578</f>
        <v>0.45934931506847476</v>
      </c>
      <c r="E24" s="39">
        <f>W_g!E24/(rat_weight!E24/1000)*0.1578</f>
        <v>8.1061643835619507E-2</v>
      </c>
      <c r="F24" s="39">
        <f>W_g!F24/(rat_weight!F24/1000)*0.1578</f>
        <v>0.21616438356164691</v>
      </c>
      <c r="G24" s="39">
        <f>W_g!G24/(rat_weight!G24/1000)*0.1578</f>
        <v>5.460207612459541E-2</v>
      </c>
      <c r="H24" s="39">
        <f>W_g!H24/(rat_weight!H24/1000)*0.1578</f>
        <v>0.27301038062283739</v>
      </c>
      <c r="I24" s="39">
        <f>W_g!I24/(rat_weight!I24/1000)*0.1578</f>
        <v>2.7301038062289944E-2</v>
      </c>
      <c r="J24" s="39">
        <f>W_g!J24/(rat_weight!J24/1000)*0.1578</f>
        <v>-5.4602076124564379E-2</v>
      </c>
      <c r="K24" s="39">
        <f>W_g!K24/(rat_weight!K24/1000)*0.1578</f>
        <v>0</v>
      </c>
      <c r="L24" s="39">
        <f>W_g!L24/(rat_weight!L24/1000)*0.1578</f>
        <v>-2.6745762711855286E-2</v>
      </c>
      <c r="M24" s="39">
        <f>W_g!M24/(rat_weight!M24/1000)*0.1578</f>
        <v>5.3491525423740978E-2</v>
      </c>
      <c r="N24" s="39">
        <f>W_g!N24/(rat_weight!N24/1000)*0.1578</f>
        <v>0.13372881355933725</v>
      </c>
      <c r="O24" s="39">
        <f>W_g!O24/(rat_weight!O24/1000)*0.1578</f>
        <v>5.3491525423710572E-2</v>
      </c>
      <c r="P24" s="39">
        <f>W_g!P24/(rat_weight!P24/1000)*0.1578</f>
        <v>-5.3491525423710572E-2</v>
      </c>
      <c r="Q24" s="39">
        <f>W_g!Q24/(rat_weight!Q24/1000)*0.1578</f>
        <v>-2.6125827814575477E-2</v>
      </c>
      <c r="R24" s="39">
        <f>W_g!R24/(rat_weight!R24/1000)*0.1578</f>
        <v>-2.6125827814560625E-2</v>
      </c>
      <c r="S24" s="39">
        <f>W_g!S24/(rat_weight!S24/1000)*0.1578</f>
        <v>0</v>
      </c>
      <c r="T24" s="39">
        <f>W_g!T24/(rat_weight!T24/1000)*0.1578</f>
        <v>5.2251655629121249E-2</v>
      </c>
    </row>
    <row r="25" spans="1:20" s="39" customFormat="1">
      <c r="A25" s="18">
        <v>24</v>
      </c>
      <c r="B25" s="39">
        <f>W_g!B25/(rat_weight!B25/1000)*0.1578</f>
        <v>7.8408142449611049E-15</v>
      </c>
      <c r="C25" s="39">
        <f>W_g!C25/(rat_weight!C25/1000)*0.1578</f>
        <v>2.758741258740318E-2</v>
      </c>
      <c r="D25" s="39">
        <f>W_g!D25/(rat_weight!D25/1000)*0.1578</f>
        <v>1.3793706293693749E-2</v>
      </c>
      <c r="E25" s="39">
        <f>W_g!E25/(rat_weight!E25/1000)*0.1578</f>
        <v>4.1381118881120449E-2</v>
      </c>
      <c r="F25" s="39">
        <f>W_g!F25/(rat_weight!F25/1000)*0.1578</f>
        <v>7.8408142449611049E-15</v>
      </c>
      <c r="G25" s="39">
        <f>W_g!G25/(rat_weight!G25/1000)*0.1578</f>
        <v>7.732665082961643E-15</v>
      </c>
      <c r="H25" s="39">
        <f>W_g!H25/(rat_weight!H25/1000)*0.1578</f>
        <v>2.7206896551730322E-2</v>
      </c>
      <c r="I25" s="39">
        <f>W_g!I25/(rat_weight!I25/1000)*0.1578</f>
        <v>1.3603448275849696E-2</v>
      </c>
      <c r="J25" s="39">
        <f>W_g!J25/(rat_weight!J25/1000)*0.1578</f>
        <v>5.4413793103452922E-2</v>
      </c>
      <c r="K25" s="39">
        <f>W_g!K25/(rat_weight!K25/1000)*0.1578</f>
        <v>2.7206896551714859E-2</v>
      </c>
      <c r="L25" s="39">
        <f>W_g!L25/(rat_weight!L25/1000)*0.1578</f>
        <v>-1.3580034423403288E-2</v>
      </c>
      <c r="M25" s="39">
        <f>W_g!M25/(rat_weight!M25/1000)*0.1578</f>
        <v>8.1480206540450587E-2</v>
      </c>
      <c r="N25" s="39">
        <f>W_g!N25/(rat_weight!N25/1000)*0.1578</f>
        <v>6.7900172117047311E-2</v>
      </c>
      <c r="O25" s="39">
        <f>W_g!O25/(rat_weight!O25/1000)*0.1578</f>
        <v>-1.5438711697479353E-14</v>
      </c>
      <c r="P25" s="39">
        <f>W_g!P25/(rat_weight!P25/1000)*0.1578</f>
        <v>0</v>
      </c>
      <c r="Q25" s="39">
        <f>W_g!Q25/(rat_weight!Q25/1000)*0.1578</f>
        <v>-1.3372881355920041E-2</v>
      </c>
      <c r="R25" s="39">
        <f>W_g!R25/(rat_weight!R25/1000)*0.1578</f>
        <v>1.3372881355942846E-2</v>
      </c>
      <c r="S25" s="39">
        <f>W_g!S25/(rat_weight!S25/1000)*0.1578</f>
        <v>2.6745762711870489E-2</v>
      </c>
      <c r="T25" s="39">
        <f>W_g!T25/(rat_weight!T25/1000)*0.1578</f>
        <v>2.6745762711870489E-2</v>
      </c>
    </row>
    <row r="26" spans="1:20" s="39" customFormat="1">
      <c r="A26" s="18">
        <v>25</v>
      </c>
      <c r="B26" s="39">
        <f>W_g!B26/(rat_weight!B26/1000)*0.1578</f>
        <v>-7.8821542146181942E-15</v>
      </c>
      <c r="C26" s="39">
        <f>W_g!C26/(rat_weight!C26/1000)*0.1578</f>
        <v>2.7732864674874496E-2</v>
      </c>
      <c r="D26" s="39">
        <f>W_g!D26/(rat_weight!D26/1000)*0.1578</f>
        <v>-4.1599297012295984E-2</v>
      </c>
      <c r="E26" s="39">
        <f>W_g!E26/(rat_weight!E26/1000)*0.1578</f>
        <v>4.1599297012303867E-2</v>
      </c>
      <c r="F26" s="39">
        <f>W_g!F26/(rat_weight!F26/1000)*0.1578</f>
        <v>2.7732864674882382E-2</v>
      </c>
      <c r="G26" s="39">
        <f>W_g!G26/(rat_weight!G26/1000)*0.1578</f>
        <v>2.7929203539821423E-2</v>
      </c>
      <c r="H26" s="39">
        <f>W_g!H26/(rat_weight!H26/1000)*0.1578</f>
        <v>2.7929203539829361E-2</v>
      </c>
      <c r="I26" s="39">
        <f>W_g!I26/(rat_weight!I26/1000)*0.1578</f>
        <v>4.1893805309728166E-2</v>
      </c>
      <c r="J26" s="39">
        <f>W_g!J26/(rat_weight!J26/1000)*0.1578</f>
        <v>-7.9379570763146066E-15</v>
      </c>
      <c r="K26" s="39">
        <f>W_g!K26/(rat_weight!K26/1000)*0.1578</f>
        <v>2.7929203539813485E-2</v>
      </c>
      <c r="L26" s="39">
        <f>W_g!L26/(rat_weight!L26/1000)*0.1578</f>
        <v>-4.2042628774424329E-2</v>
      </c>
      <c r="M26" s="39">
        <f>W_g!M26/(rat_weight!M26/1000)*0.1578</f>
        <v>8.4085257548848658E-2</v>
      </c>
      <c r="N26" s="39">
        <f>W_g!N26/(rat_weight!N26/1000)*0.1578</f>
        <v>4.2042628774424329E-2</v>
      </c>
      <c r="O26" s="39">
        <f>W_g!O26/(rat_weight!O26/1000)*0.1578</f>
        <v>0.1121136767317876</v>
      </c>
      <c r="P26" s="39">
        <f>W_g!P26/(rat_weight!P26/1000)*0.1578</f>
        <v>-2.8028419182954865E-2</v>
      </c>
      <c r="Q26" s="39">
        <f>W_g!Q26/(rat_weight!Q26/1000)*0.1578</f>
        <v>-4.1453590192638202E-2</v>
      </c>
      <c r="R26" s="39">
        <f>W_g!R26/(rat_weight!R26/1000)*0.1578</f>
        <v>1.3817863397559159E-2</v>
      </c>
      <c r="S26" s="39">
        <f>W_g!S26/(rat_weight!S26/1000)*0.1578</f>
        <v>2.7635726795102608E-2</v>
      </c>
      <c r="T26" s="39">
        <f>W_g!T26/(rat_weight!T26/1000)*0.1578</f>
        <v>2.7635726795086895E-2</v>
      </c>
    </row>
    <row r="27" spans="1:20" s="39" customFormat="1">
      <c r="A27" s="18">
        <v>26</v>
      </c>
      <c r="B27" s="39">
        <f>W_g!B27/(rat_weight!B27/1000)*0.1578</f>
        <v>1.4608943804943818E-14</v>
      </c>
      <c r="C27" s="39">
        <f>W_g!C27/(rat_weight!C27/1000)*0.1578</f>
        <v>5.1400651465809737E-2</v>
      </c>
      <c r="D27" s="39">
        <f>W_g!D27/(rat_weight!D27/1000)*0.1578</f>
        <v>0.1285016286644951</v>
      </c>
      <c r="E27" s="39">
        <f>W_g!E27/(rat_weight!E27/1000)*0.1578</f>
        <v>2.5700325732890255E-2</v>
      </c>
      <c r="F27" s="39">
        <f>W_g!F27/(rat_weight!F27/1000)*0.1578</f>
        <v>-1.4608943804943818E-14</v>
      </c>
      <c r="G27" s="39">
        <f>W_g!G27/(rat_weight!G27/1000)*0.1578</f>
        <v>5.2079207920789114E-2</v>
      </c>
      <c r="H27" s="39">
        <f>W_g!H27/(rat_weight!H27/1000)*0.1578</f>
        <v>5.2079207920803922E-2</v>
      </c>
      <c r="I27" s="39">
        <f>W_g!I27/(rat_weight!I27/1000)*0.1578</f>
        <v>2.6039603960372356E-2</v>
      </c>
      <c r="J27" s="39">
        <f>W_g!J27/(rat_weight!J27/1000)*0.1578</f>
        <v>5.2079207920789114E-2</v>
      </c>
      <c r="K27" s="39">
        <f>W_g!K27/(rat_weight!K27/1000)*0.1578</f>
        <v>2.5898990099009973</v>
      </c>
      <c r="L27" s="39">
        <f>W_g!L27/(rat_weight!L27/1000)*0.1578</f>
        <v>-2.6212624584708667E-2</v>
      </c>
      <c r="M27" s="39">
        <f>W_g!M27/(rat_weight!M27/1000)*0.1578</f>
        <v>5.2425249169447137E-2</v>
      </c>
      <c r="N27" s="39">
        <f>W_g!N27/(rat_weight!N27/1000)*0.1578</f>
        <v>7.8637873754155804E-2</v>
      </c>
      <c r="O27" s="39">
        <f>W_g!O27/(rat_weight!O27/1000)*0.1578</f>
        <v>0</v>
      </c>
      <c r="P27" s="39">
        <f>W_g!P27/(rat_weight!P27/1000)*0.1578</f>
        <v>5.2425249169447137E-2</v>
      </c>
      <c r="Q27" s="39">
        <f>W_g!Q27/(rat_weight!Q27/1000)*0.1578</f>
        <v>-2.5868852459022276E-2</v>
      </c>
      <c r="R27" s="39">
        <f>W_g!R27/(rat_weight!R27/1000)*0.1578</f>
        <v>2.5868852459007569E-2</v>
      </c>
      <c r="S27" s="39">
        <f>W_g!S27/(rat_weight!S27/1000)*0.1578</f>
        <v>0.1034754098360597</v>
      </c>
      <c r="T27" s="39">
        <f>W_g!T27/(rat_weight!T27/1000)*0.1578</f>
        <v>0</v>
      </c>
    </row>
    <row r="28" spans="1:20" s="39" customFormat="1">
      <c r="A28" s="18">
        <v>27</v>
      </c>
      <c r="B28" s="39">
        <f>W_g!B28/(rat_weight!B28/1000)*0.1578</f>
        <v>5.0739549839225413E-2</v>
      </c>
      <c r="C28" s="39">
        <f>W_g!C28/(rat_weight!C28/1000)*0.1578</f>
        <v>5.0739549839239832E-2</v>
      </c>
      <c r="D28" s="39">
        <f>W_g!D28/(rat_weight!D28/1000)*0.1578</f>
        <v>7.6109324758830907E-2</v>
      </c>
      <c r="E28" s="39">
        <f>W_g!E28/(rat_weight!E28/1000)*0.1578</f>
        <v>7.6109324758845326E-2</v>
      </c>
      <c r="F28" s="39">
        <f>W_g!F28/(rat_weight!F28/1000)*0.1578</f>
        <v>1.4421047421600489E-14</v>
      </c>
      <c r="G28" s="39">
        <f>W_g!G28/(rat_weight!G28/1000)*0.1578</f>
        <v>-5.0903225806448717E-2</v>
      </c>
      <c r="H28" s="39">
        <f>W_g!H28/(rat_weight!H28/1000)*0.1578</f>
        <v>5.0903225806463184E-2</v>
      </c>
      <c r="I28" s="39">
        <f>W_g!I28/(rat_weight!I28/1000)*0.1578</f>
        <v>7.6354838709694783E-2</v>
      </c>
      <c r="J28" s="39">
        <f>W_g!J28/(rat_weight!J28/1000)*0.1578</f>
        <v>1.4467566929412104E-14</v>
      </c>
      <c r="K28" s="39">
        <f>W_g!K28/(rat_weight!K28/1000)*0.1578</f>
        <v>5.0903225806463184E-2</v>
      </c>
      <c r="L28" s="39">
        <f>W_g!L28/(rat_weight!L28/1000)*0.1578</f>
        <v>-7.4200626959222346E-2</v>
      </c>
      <c r="M28" s="39">
        <f>W_g!M28/(rat_weight!M28/1000)*0.1578</f>
        <v>4.9467084639509676E-2</v>
      </c>
      <c r="N28" s="39">
        <f>W_g!N28/(rat_weight!N28/1000)*0.1578</f>
        <v>0.12366771159873202</v>
      </c>
      <c r="O28" s="39">
        <f>W_g!O28/(rat_weight!O28/1000)*0.1578</f>
        <v>-4.9467084639509676E-2</v>
      </c>
      <c r="P28" s="39">
        <f>W_g!P28/(rat_weight!P28/1000)*0.1578</f>
        <v>-4.9467084639509676E-2</v>
      </c>
      <c r="Q28" s="39">
        <f>W_g!Q28/(rat_weight!Q28/1000)*0.1578</f>
        <v>0.94972222222224434</v>
      </c>
      <c r="R28" s="39">
        <f>W_g!R28/(rat_weight!R28/1000)*0.1578</f>
        <v>-2.4351851851843544E-2</v>
      </c>
      <c r="S28" s="39">
        <f>W_g!S28/(rat_weight!S28/1000)*0.1578</f>
        <v>0.82796296296295735</v>
      </c>
      <c r="T28" s="39">
        <f>W_g!T28/(rat_weight!T28/1000)*0.1578</f>
        <v>0</v>
      </c>
    </row>
    <row r="29" spans="1:20" s="39" customFormat="1">
      <c r="A29" s="18">
        <v>28</v>
      </c>
      <c r="B29" s="39">
        <f>W_g!B29/(rat_weight!B29/1000)*0.1578</f>
        <v>2.4778705790705813E-14</v>
      </c>
      <c r="C29" s="39">
        <f>W_g!C29/(rat_weight!C29/1000)*0.1578</f>
        <v>8.7182320442008771E-2</v>
      </c>
      <c r="D29" s="39">
        <f>W_g!D29/(rat_weight!D29/1000)*0.1578</f>
        <v>4.3591160221004385E-2</v>
      </c>
      <c r="E29" s="39">
        <f>W_g!E29/(rat_weight!E29/1000)*0.1578</f>
        <v>-4.3591160221029164E-2</v>
      </c>
      <c r="F29" s="39">
        <f>W_g!F29/(rat_weight!F29/1000)*0.1578</f>
        <v>-8.7182320441983999E-2</v>
      </c>
      <c r="G29" s="39">
        <f>W_g!G29/(rat_weight!G29/1000)*0.1578</f>
        <v>2.533867654303815E-14</v>
      </c>
      <c r="H29" s="39">
        <f>W_g!H29/(rat_weight!H29/1000)*0.1578</f>
        <v>0.17830508474575257</v>
      </c>
      <c r="I29" s="39">
        <f>W_g!I29/(rat_weight!I29/1000)*0.1578</f>
        <v>4.4576271186450814E-2</v>
      </c>
      <c r="J29" s="39">
        <f>W_g!J29/(rat_weight!J29/1000)*0.1578</f>
        <v>-8.9152542372876287E-2</v>
      </c>
      <c r="K29" s="39">
        <f>W_g!K29/(rat_weight!K29/1000)*0.1578</f>
        <v>8.9152542372901628E-2</v>
      </c>
      <c r="L29" s="39">
        <f>W_g!L29/(rat_weight!L29/1000)*0.1578</f>
        <v>-0.13150000000000497</v>
      </c>
      <c r="M29" s="39">
        <f>W_g!M29/(rat_weight!M29/1000)*0.1578</f>
        <v>0.1753333333333732</v>
      </c>
      <c r="N29" s="39">
        <f>W_g!N29/(rat_weight!N29/1000)*0.1578</f>
        <v>0.30683333333337814</v>
      </c>
      <c r="O29" s="39">
        <f>W_g!O29/(rat_weight!O29/1000)*0.1578</f>
        <v>8.7666666666636764E-2</v>
      </c>
      <c r="P29" s="39">
        <f>W_g!P29/(rat_weight!P29/1000)*0.1578</f>
        <v>0</v>
      </c>
      <c r="Q29" s="39">
        <f>W_g!Q29/(rat_weight!Q29/1000)*0.1578</f>
        <v>-0.12934426229506235</v>
      </c>
      <c r="R29" s="39">
        <f>W_g!R29/(rat_weight!R29/1000)*0.1578</f>
        <v>4.3114754098345955E-2</v>
      </c>
      <c r="S29" s="39">
        <f>W_g!S29/(rat_weight!S29/1000)*0.1578</f>
        <v>0.25868852459017372</v>
      </c>
      <c r="T29" s="39">
        <f>W_g!T29/(rat_weight!T29/1000)*0.1578</f>
        <v>8.6229508196740925E-2</v>
      </c>
    </row>
    <row r="30" spans="1:20" s="39" customFormat="1">
      <c r="A30" s="18">
        <v>29</v>
      </c>
      <c r="B30" s="39">
        <f>W_g!B30/(rat_weight!B30/1000)*0.1578</f>
        <v>0.21145728643215631</v>
      </c>
      <c r="C30" s="39">
        <f>W_g!C30/(rat_weight!C30/1000)*0.1578</f>
        <v>0.29075376884421211</v>
      </c>
      <c r="D30" s="39">
        <f>W_g!D30/(rat_weight!D30/1000)*0.1578</f>
        <v>0.30396984924622517</v>
      </c>
      <c r="E30" s="39">
        <f>W_g!E30/(rat_weight!E30/1000)*0.1578</f>
        <v>0.17180904522611715</v>
      </c>
      <c r="F30" s="39">
        <f>W_g!F30/(rat_weight!F30/1000)*0.1578</f>
        <v>0.13216080402009298</v>
      </c>
      <c r="G30" s="39">
        <f>W_g!G30/(rat_weight!G30/1000)*0.1578</f>
        <v>0.59596059113300048</v>
      </c>
      <c r="H30" s="39">
        <f>W_g!H30/(rat_weight!H30/1000)*0.1578</f>
        <v>7.7733990147786189E-2</v>
      </c>
      <c r="I30" s="39">
        <f>W_g!I30/(rat_weight!I30/1000)*0.1578</f>
        <v>0.34980295566501585</v>
      </c>
      <c r="J30" s="39">
        <f>W_g!J30/(rat_weight!J30/1000)*0.1578</f>
        <v>-7.3644429361539446E-15</v>
      </c>
      <c r="K30" s="39">
        <f>W_g!K30/(rat_weight!K30/1000)*0.1578</f>
        <v>0.36275862068964926</v>
      </c>
      <c r="L30" s="39">
        <f>W_g!L30/(rat_weight!L30/1000)*0.1578</f>
        <v>-1.2850162866445127E-2</v>
      </c>
      <c r="M30" s="39">
        <f>W_g!M30/(rat_weight!M30/1000)*0.1578</f>
        <v>0.15420195439739998</v>
      </c>
      <c r="N30" s="39">
        <f>W_g!N30/(rat_weight!N30/1000)*0.1578</f>
        <v>0.14135179153094024</v>
      </c>
      <c r="O30" s="39">
        <f>W_g!O30/(rat_weight!O30/1000)*0.1578</f>
        <v>5.1400651465795123E-2</v>
      </c>
      <c r="P30" s="39">
        <f>W_g!P30/(rat_weight!P30/1000)*0.1578</f>
        <v>0.33410423452767557</v>
      </c>
      <c r="Q30" s="39">
        <f>W_g!Q30/(rat_weight!Q30/1000)*0.1578</f>
        <v>0.44397106109324758</v>
      </c>
      <c r="R30" s="39">
        <f>W_g!R30/(rat_weight!R30/1000)*0.1578</f>
        <v>1.2684887459802747E-2</v>
      </c>
      <c r="S30" s="39">
        <f>W_g!S30/(rat_weight!S30/1000)*0.1578</f>
        <v>0.15221864951769065</v>
      </c>
      <c r="T30" s="39">
        <f>W_g!T30/(rat_weight!T30/1000)*0.1578</f>
        <v>0.43128617363343758</v>
      </c>
    </row>
    <row r="31" spans="1:20" s="39" customFormat="1">
      <c r="A31" s="18">
        <v>30</v>
      </c>
      <c r="B31" s="39">
        <f>W_g!B31/(rat_weight!B31/1000)*0.1578</f>
        <v>8.6942148760313281E-2</v>
      </c>
      <c r="C31" s="39">
        <f>W_g!C31/(rat_weight!C31/1000)*0.1578</f>
        <v>0.17388429752065127</v>
      </c>
      <c r="D31" s="39">
        <f>W_g!D31/(rat_weight!D31/1000)*0.1578</f>
        <v>0.41297520661156534</v>
      </c>
      <c r="E31" s="39">
        <f>W_g!E31/(rat_weight!E31/1000)*0.1578</f>
        <v>0.15214876033055133</v>
      </c>
      <c r="F31" s="39">
        <f>W_g!F31/(rat_weight!F31/1000)*0.1578</f>
        <v>0.78247933884296783</v>
      </c>
      <c r="G31" s="39">
        <f>W_g!G31/(rat_weight!G31/1000)*0.1578</f>
        <v>0.49831578947366767</v>
      </c>
      <c r="H31" s="39">
        <f>W_g!H31/(rat_weight!H31/1000)*0.1578</f>
        <v>8.3052631578942646E-2</v>
      </c>
      <c r="I31" s="39">
        <f>W_g!I31/(rat_weight!I31/1000)*0.1578</f>
        <v>0.18686842105262685</v>
      </c>
      <c r="J31" s="39">
        <f>W_g!J31/(rat_weight!J31/1000)*0.1578</f>
        <v>1.180248881083619E-14</v>
      </c>
      <c r="K31" s="39">
        <f>W_g!K31/(rat_weight!K31/1000)*0.1578</f>
        <v>4.152631578945952E-2</v>
      </c>
      <c r="L31" s="39">
        <f>W_g!L31/(rat_weight!L31/1000)*0.1578</f>
        <v>-1.967581047378638E-2</v>
      </c>
      <c r="M31" s="39">
        <f>W_g!M31/(rat_weight!M31/1000)*0.1578</f>
        <v>0.27546134663341199</v>
      </c>
      <c r="N31" s="39">
        <f>W_g!N31/(rat_weight!N31/1000)*0.1578</f>
        <v>0.2557855361596032</v>
      </c>
      <c r="O31" s="39">
        <f>W_g!O31/(rat_weight!O31/1000)*0.1578</f>
        <v>0.27546134663341199</v>
      </c>
      <c r="P31" s="39">
        <f>W_g!P31/(rat_weight!P31/1000)*0.1578</f>
        <v>7.8703241895279732E-2</v>
      </c>
      <c r="Q31" s="39">
        <f>W_g!Q31/(rat_weight!Q31/1000)*0.1578</f>
        <v>0.60542079207923449</v>
      </c>
      <c r="R31" s="39">
        <f>W_g!R31/(rat_weight!R31/1000)*0.1578</f>
        <v>0.41012376237623088</v>
      </c>
      <c r="S31" s="39">
        <f>W_g!S31/(rat_weight!S31/1000)*0.1578</f>
        <v>7.8118811881183678E-2</v>
      </c>
      <c r="T31" s="39">
        <f>W_g!T31/(rat_weight!T31/1000)*0.1578</f>
        <v>0.97648514851485135</v>
      </c>
    </row>
    <row r="32" spans="1:20" s="39" customFormat="1">
      <c r="A32" s="18">
        <v>31</v>
      </c>
      <c r="B32" s="39">
        <f>W_g!B32/(rat_weight!B32/1000)*0.1578</f>
        <v>0.18785714285713218</v>
      </c>
      <c r="C32" s="39">
        <f>W_g!C32/(rat_weight!C32/1000)*0.1578</f>
        <v>0.33814285714284859</v>
      </c>
      <c r="D32" s="39">
        <f>W_g!D32/(rat_weight!D32/1000)*0.1578</f>
        <v>0.58235714285712581</v>
      </c>
      <c r="E32" s="39">
        <f>W_g!E32/(rat_weight!E32/1000)*0.1578</f>
        <v>5.6357142857123635E-2</v>
      </c>
      <c r="F32" s="39">
        <f>W_g!F32/(rat_weight!F32/1000)*0.1578</f>
        <v>0.4132857142857122</v>
      </c>
      <c r="G32" s="39">
        <f>W_g!G32/(rat_weight!G32/1000)*0.1578</f>
        <v>0.18652482269504606</v>
      </c>
      <c r="H32" s="39">
        <f>W_g!H32/(rat_weight!H32/1000)*0.1578</f>
        <v>1.2683687943262327</v>
      </c>
      <c r="I32" s="39">
        <f>W_g!I32/(rat_weight!I32/1000)*0.1578</f>
        <v>1.175106382978736</v>
      </c>
      <c r="J32" s="39">
        <f>W_g!J32/(rat_weight!J32/1000)*0.1578</f>
        <v>-3.7304964539004976E-2</v>
      </c>
      <c r="K32" s="39">
        <f>W_g!K32/(rat_weight!K32/1000)*0.1578</f>
        <v>1.2310638297872383</v>
      </c>
      <c r="L32" s="39">
        <f>W_g!L32/(rat_weight!L32/1000)*0.1578</f>
        <v>1.0460898876404554</v>
      </c>
      <c r="M32" s="39">
        <f>W_g!M32/(rat_weight!M32/1000)*0.1578</f>
        <v>0.24822471910113972</v>
      </c>
      <c r="N32" s="39">
        <f>W_g!N32/(rat_weight!N32/1000)*0.1578</f>
        <v>0.51417977528090486</v>
      </c>
      <c r="O32" s="39">
        <f>W_g!O32/(rat_weight!O32/1000)*0.1578</f>
        <v>3.5460674157291275E-2</v>
      </c>
      <c r="P32" s="39">
        <f>W_g!P32/(rat_weight!P32/1000)*0.1578</f>
        <v>0.10638202247191414</v>
      </c>
      <c r="Q32" s="39">
        <f>W_g!Q32/(rat_weight!Q32/1000)*0.1578</f>
        <v>0.15780000000001593</v>
      </c>
      <c r="R32" s="39">
        <f>W_g!R32/(rat_weight!R32/1000)*0.1578</f>
        <v>0.33313333333333928</v>
      </c>
      <c r="S32" s="39">
        <f>W_g!S32/(rat_weight!S32/1000)*0.1578</f>
        <v>0.35066666666666668</v>
      </c>
      <c r="T32" s="39">
        <f>W_g!T32/(rat_weight!T32/1000)*0.1578</f>
        <v>0</v>
      </c>
    </row>
    <row r="33" spans="1:20" s="39" customFormat="1">
      <c r="A33" s="18">
        <v>32</v>
      </c>
      <c r="B33" s="39">
        <f>W_g!B33/(rat_weight!B33/1000)*0.1578</f>
        <v>0.12794594594595685</v>
      </c>
      <c r="C33" s="39">
        <f>W_g!C33/(rat_weight!C33/1000)*0.1578</f>
        <v>2.1324324324329173E-2</v>
      </c>
      <c r="D33" s="39">
        <f>W_g!D33/(rat_weight!D33/1000)*0.1578</f>
        <v>0.30920270270270028</v>
      </c>
      <c r="E33" s="39">
        <f>W_g!E33/(rat_weight!E33/1000)*0.1578</f>
        <v>5.3310810810804743E-2</v>
      </c>
      <c r="F33" s="39">
        <f>W_g!F33/(rat_weight!F33/1000)*0.1578</f>
        <v>2.1324324324335234E-2</v>
      </c>
      <c r="G33" s="39">
        <f>W_g!G33/(rat_weight!G33/1000)*0.1578</f>
        <v>2.1124497991966671E-2</v>
      </c>
      <c r="H33" s="39">
        <f>W_g!H33/(rat_weight!H33/1000)*0.1578</f>
        <v>0.27461847389558475</v>
      </c>
      <c r="I33" s="39">
        <f>W_g!I33/(rat_weight!I33/1000)*0.1578</f>
        <v>1.0562248995986338E-2</v>
      </c>
      <c r="J33" s="39">
        <f>W_g!J33/(rat_weight!J33/1000)*0.1578</f>
        <v>2.1124497991966671E-2</v>
      </c>
      <c r="K33" s="39">
        <f>W_g!K33/(rat_weight!K33/1000)*0.1578</f>
        <v>0.69710843373494213</v>
      </c>
      <c r="L33" s="39">
        <f>W_g!L33/(rat_weight!L33/1000)*0.1578</f>
        <v>0.597250996015947</v>
      </c>
      <c r="M33" s="39">
        <f>W_g!M33/(rat_weight!M33/1000)*0.1578</f>
        <v>6.2868525896416727E-2</v>
      </c>
      <c r="N33" s="39">
        <f>W_g!N33/(rat_weight!N33/1000)*0.1578</f>
        <v>0.42960159362550632</v>
      </c>
      <c r="O33" s="39">
        <f>W_g!O33/(rat_weight!O33/1000)*0.1578</f>
        <v>0.25147410358565497</v>
      </c>
      <c r="P33" s="39">
        <f>W_g!P33/(rat_weight!P33/1000)*0.1578</f>
        <v>0.56581673306773861</v>
      </c>
      <c r="Q33" s="39">
        <f>W_g!Q33/(rat_weight!Q33/1000)*0.1578</f>
        <v>0.86053876478318703</v>
      </c>
      <c r="R33" s="39">
        <f>W_g!R33/(rat_weight!R33/1000)*0.1578</f>
        <v>1.1301051248357461</v>
      </c>
      <c r="S33" s="39">
        <f>W_g!S33/(rat_weight!S33/1000)*0.1578</f>
        <v>0.91237844940867985</v>
      </c>
      <c r="T33" s="39">
        <f>W_g!T33/(rat_weight!T33/1000)*0.1578</f>
        <v>0.72575558475689883</v>
      </c>
    </row>
    <row r="34" spans="1:20" s="39" customFormat="1">
      <c r="A34" s="18">
        <v>33</v>
      </c>
      <c r="B34" s="39">
        <f>W_g!B34/(rat_weight!B34/1000)*0.1578</f>
        <v>0.10213592233010579</v>
      </c>
      <c r="C34" s="39">
        <f>W_g!C34/(rat_weight!C34/1000)*0.1578</f>
        <v>5.1067961165031123E-2</v>
      </c>
      <c r="D34" s="39">
        <f>W_g!D34/(rat_weight!D34/1000)*0.1578</f>
        <v>2.5533980582530078E-2</v>
      </c>
      <c r="E34" s="39">
        <f>W_g!E34/(rat_weight!E34/1000)*0.1578</f>
        <v>7.6601941747575716E-2</v>
      </c>
      <c r="F34" s="39">
        <f>W_g!F34/(rat_weight!F34/1000)*0.1578</f>
        <v>5.1067961165045639E-2</v>
      </c>
      <c r="G34" s="39">
        <f>W_g!G34/(rat_weight!G34/1000)*0.1578</f>
        <v>0.10381578947369306</v>
      </c>
      <c r="H34" s="39">
        <f>W_g!H34/(rat_weight!H34/1000)*0.1578</f>
        <v>0.1557236842105027</v>
      </c>
      <c r="I34" s="39">
        <f>W_g!I34/(rat_weight!I34/1000)*0.1578</f>
        <v>2.5953947368426954E-2</v>
      </c>
      <c r="J34" s="39">
        <f>W_g!J34/(rat_weight!J34/1000)*0.1578</f>
        <v>0.10381578947369306</v>
      </c>
      <c r="K34" s="39">
        <f>W_g!K34/(rat_weight!K34/1000)*0.1578</f>
        <v>5.1907894736824403E-2</v>
      </c>
      <c r="L34" s="39">
        <f>W_g!L34/(rat_weight!L34/1000)*0.1578</f>
        <v>2.5616883116903504E-2</v>
      </c>
      <c r="M34" s="39">
        <f>W_g!M34/(rat_weight!M34/1000)*0.1578</f>
        <v>0.15370129870130453</v>
      </c>
      <c r="N34" s="39">
        <f>W_g!N34/(rat_weight!N34/1000)*0.1578</f>
        <v>0.12808441558443015</v>
      </c>
      <c r="O34" s="39">
        <f>W_g!O34/(rat_weight!O34/1000)*0.1578</f>
        <v>5.1233766233748756E-2</v>
      </c>
      <c r="P34" s="39">
        <f>W_g!P34/(rat_weight!P34/1000)*0.1578</f>
        <v>5.1233766233777879E-2</v>
      </c>
      <c r="Q34" s="39">
        <f>W_g!Q34/(rat_weight!Q34/1000)*0.1578</f>
        <v>7.6850649350666822E-2</v>
      </c>
      <c r="R34" s="39">
        <f>W_g!R34/(rat_weight!R34/1000)*0.1578</f>
        <v>7.6850649350652264E-2</v>
      </c>
      <c r="S34" s="39">
        <f>W_g!S34/(rat_weight!S34/1000)*0.1578</f>
        <v>0.10246753246752664</v>
      </c>
      <c r="T34" s="39">
        <f>W_g!T34/(rat_weight!T34/1000)*0.1578</f>
        <v>5.1233766233748756E-2</v>
      </c>
    </row>
    <row r="35" spans="1:20" s="39" customFormat="1">
      <c r="A35" s="18">
        <v>34</v>
      </c>
      <c r="B35" s="39">
        <f>W_g!B35/(rat_weight!B35/1000)*0.1578</f>
        <v>0.34118918918919394</v>
      </c>
      <c r="C35" s="39">
        <f>W_g!C35/(rat_weight!C35/1000)*0.1578</f>
        <v>2.8432432432438894E-2</v>
      </c>
      <c r="D35" s="39">
        <f>W_g!D35/(rat_weight!D35/1000)*0.1578</f>
        <v>0.18481081081082049</v>
      </c>
      <c r="E35" s="39">
        <f>W_g!E35/(rat_weight!E35/1000)*0.1578</f>
        <v>0.35540540540539728</v>
      </c>
      <c r="F35" s="39">
        <f>W_g!F35/(rat_weight!F35/1000)*0.1578</f>
        <v>2.8432432432446975E-2</v>
      </c>
      <c r="G35" s="39">
        <f>W_g!G35/(rat_weight!G35/1000)*0.1578</f>
        <v>0.28279569892473916</v>
      </c>
      <c r="H35" s="39">
        <f>W_g!H35/(rat_weight!H35/1000)*0.1578</f>
        <v>0.6504301075268849</v>
      </c>
      <c r="I35" s="39">
        <f>W_g!I35/(rat_weight!I35/1000)*0.1578</f>
        <v>0.15553763440858925</v>
      </c>
      <c r="J35" s="39">
        <f>W_g!J35/(rat_weight!J35/1000)*0.1578</f>
        <v>8.0375371830067242E-15</v>
      </c>
      <c r="K35" s="39">
        <f>W_g!K35/(rat_weight!K35/1000)*0.1578</f>
        <v>0.45247311827957626</v>
      </c>
      <c r="L35" s="39">
        <f>W_g!L35/(rat_weight!L35/1000)*0.1578</f>
        <v>-1.3964601769906743E-2</v>
      </c>
      <c r="M35" s="39">
        <f>W_g!M35/(rat_weight!M35/1000)*0.1578</f>
        <v>5.5858407079658723E-2</v>
      </c>
      <c r="N35" s="39">
        <f>W_g!N35/(rat_weight!N35/1000)*0.1578</f>
        <v>0.46083185840709717</v>
      </c>
      <c r="O35" s="39">
        <f>W_g!O35/(rat_weight!O35/1000)*0.1578</f>
        <v>-1.5875914152629213E-14</v>
      </c>
      <c r="P35" s="39">
        <f>W_g!P35/(rat_weight!P35/1000)*0.1578</f>
        <v>0</v>
      </c>
      <c r="Q35" s="39">
        <f>W_g!Q35/(rat_weight!Q35/1000)*0.1578</f>
        <v>0.26439153439153124</v>
      </c>
      <c r="R35" s="39">
        <f>W_g!R35/(rat_weight!R35/1000)*0.1578</f>
        <v>0.40354497354497831</v>
      </c>
      <c r="S35" s="39">
        <f>W_g!S35/(rat_weight!S35/1000)*0.1578</f>
        <v>0.89058201058200748</v>
      </c>
      <c r="T35" s="39">
        <f>W_g!T35/(rat_weight!T35/1000)*0.1578</f>
        <v>0.30613756613755666</v>
      </c>
    </row>
    <row r="36" spans="1:20" s="39" customFormat="1">
      <c r="A36" s="18">
        <v>35</v>
      </c>
      <c r="B36" s="39">
        <f>W_g!B36/(rat_weight!B36/1000)*0.1578</f>
        <v>0.76767567567568051</v>
      </c>
      <c r="C36" s="39">
        <f>W_g!C36/(rat_weight!C36/1000)*0.1578</f>
        <v>8.5297297297316693E-2</v>
      </c>
      <c r="D36" s="39">
        <f>W_g!D36/(rat_weight!D36/1000)*0.1578</f>
        <v>4.2648648648658347E-2</v>
      </c>
      <c r="E36" s="39">
        <f>W_g!E36/(rat_weight!E36/1000)*0.1578</f>
        <v>0.29854054054053569</v>
      </c>
      <c r="F36" s="39">
        <f>W_g!F36/(rat_weight!F36/1000)*0.1578</f>
        <v>8.5297297297292449E-2</v>
      </c>
      <c r="G36" s="39">
        <f>W_g!G36/(rat_weight!G36/1000)*0.1578</f>
        <v>-2.4642559055592047E-14</v>
      </c>
      <c r="H36" s="39">
        <f>W_g!H36/(rat_weight!H36/1000)*0.1578</f>
        <v>0.9537362637362834</v>
      </c>
      <c r="I36" s="39">
        <f>W_g!I36/(rat_weight!I36/1000)*0.1578</f>
        <v>0.39016483516482531</v>
      </c>
      <c r="J36" s="39">
        <f>W_g!J36/(rat_weight!J36/1000)*0.1578</f>
        <v>2.4642559055592047E-14</v>
      </c>
      <c r="K36" s="39">
        <f>W_g!K36/(rat_weight!K36/1000)*0.1578</f>
        <v>0.34681318681321638</v>
      </c>
      <c r="L36" s="39">
        <f>W_g!L36/(rat_weight!L36/1000)*0.1578</f>
        <v>-4.2192513368969564E-2</v>
      </c>
      <c r="M36" s="39">
        <f>W_g!M36/(rat_weight!M36/1000)*0.1578</f>
        <v>0.25315508021391331</v>
      </c>
      <c r="N36" s="39">
        <f>W_g!N36/(rat_weight!N36/1000)*0.1578</f>
        <v>0.46411764705885711</v>
      </c>
      <c r="O36" s="39">
        <f>W_g!O36/(rat_weight!O36/1000)*0.1578</f>
        <v>0</v>
      </c>
      <c r="P36" s="39">
        <f>W_g!P36/(rat_weight!P36/1000)*0.1578</f>
        <v>0</v>
      </c>
      <c r="Q36" s="39">
        <f>W_g!Q36/(rat_weight!Q36/1000)*0.1578</f>
        <v>-0.13005494505492535</v>
      </c>
      <c r="R36" s="39">
        <f>W_g!R36/(rat_weight!R36/1000)*0.1578</f>
        <v>4.3351648351633569E-2</v>
      </c>
      <c r="S36" s="39">
        <f>W_g!S36/(rat_weight!S36/1000)*0.1578</f>
        <v>8.6703296703267138E-2</v>
      </c>
      <c r="T36" s="39">
        <f>W_g!T36/(rat_weight!T36/1000)*0.1578</f>
        <v>0</v>
      </c>
    </row>
    <row r="37" spans="1:20" s="39" customFormat="1">
      <c r="A37" s="18">
        <v>36</v>
      </c>
      <c r="B37" s="39">
        <f>W_g!B37/(rat_weight!B37/1000)*0.1578</f>
        <v>1.4656685451365202E-14</v>
      </c>
      <c r="C37" s="39">
        <f>W_g!C37/(rat_weight!C37/1000)*0.1578</f>
        <v>0.10313725490195491</v>
      </c>
      <c r="D37" s="39">
        <f>W_g!D37/(rat_weight!D37/1000)*0.1578</f>
        <v>-2.5784313725496059E-2</v>
      </c>
      <c r="E37" s="39">
        <f>W_g!E37/(rat_weight!E37/1000)*0.1578</f>
        <v>7.7352941176444201E-2</v>
      </c>
      <c r="F37" s="39">
        <f>W_g!F37/(rat_weight!F37/1000)*0.1578</f>
        <v>5.1568627450977456E-2</v>
      </c>
      <c r="G37" s="39">
        <f>W_g!G37/(rat_weight!G37/1000)*0.1578</f>
        <v>0.16047457627117731</v>
      </c>
      <c r="H37" s="39">
        <f>W_g!H37/(rat_weight!H37/1000)*0.1578</f>
        <v>0.10698305084748196</v>
      </c>
      <c r="I37" s="39">
        <f>W_g!I37/(rat_weight!I37/1000)*0.1578</f>
        <v>8.023728813558105E-2</v>
      </c>
      <c r="J37" s="39">
        <f>W_g!J37/(rat_weight!J37/1000)*0.1578</f>
        <v>5.3491525423756181E-2</v>
      </c>
      <c r="K37" s="39">
        <f>W_g!K37/(rat_weight!K37/1000)*0.1578</f>
        <v>5.3491525423740978E-2</v>
      </c>
      <c r="L37" s="39">
        <f>W_g!L37/(rat_weight!L37/1000)*0.1578</f>
        <v>-2.6655405405366012E-2</v>
      </c>
      <c r="M37" s="39">
        <f>W_g!M37/(rat_weight!M37/1000)*0.1578</f>
        <v>5.331081081082293E-2</v>
      </c>
      <c r="N37" s="39">
        <f>W_g!N37/(rat_weight!N37/1000)*0.1578</f>
        <v>0.18658783783786514</v>
      </c>
      <c r="O37" s="39">
        <f>W_g!O37/(rat_weight!O37/1000)*0.1578</f>
        <v>-3.0303687487282113E-14</v>
      </c>
      <c r="P37" s="39">
        <f>W_g!P37/(rat_weight!P37/1000)*0.1578</f>
        <v>0</v>
      </c>
      <c r="Q37" s="39">
        <f>W_g!Q37/(rat_weight!Q37/1000)*0.1578</f>
        <v>-2.5953947368397446E-2</v>
      </c>
      <c r="R37" s="39">
        <f>W_g!R37/(rat_weight!R37/1000)*0.1578</f>
        <v>2.5953947368441709E-2</v>
      </c>
      <c r="S37" s="39">
        <f>W_g!S37/(rat_weight!S37/1000)*0.1578</f>
        <v>0.10381578947370781</v>
      </c>
      <c r="T37" s="39">
        <f>W_g!T37/(rat_weight!T37/1000)*0.1578</f>
        <v>0</v>
      </c>
    </row>
    <row r="38" spans="1:20" s="39" customFormat="1">
      <c r="A38" s="18">
        <v>37</v>
      </c>
      <c r="B38" s="39">
        <f>W_g!B38/(rat_weight!B38/1000)*0.1578</f>
        <v>8.4535714285725497E-2</v>
      </c>
      <c r="C38" s="39">
        <f>W_g!C38/(rat_weight!C38/1000)*0.1578</f>
        <v>0.1127142857142793</v>
      </c>
      <c r="D38" s="39">
        <f>W_g!D38/(rat_weight!D38/1000)*0.1578</f>
        <v>-1.4089285714288916E-2</v>
      </c>
      <c r="E38" s="39">
        <f>W_g!E38/(rat_weight!E38/1000)*0.1578</f>
        <v>4.2267857142858745E-2</v>
      </c>
      <c r="F38" s="39">
        <f>W_g!F38/(rat_weight!F38/1000)*0.1578</f>
        <v>8.008831693067414E-15</v>
      </c>
      <c r="G38" s="39">
        <f>W_g!G38/(rat_weight!G38/1000)*0.1578</f>
        <v>5.5661375661380415E-2</v>
      </c>
      <c r="H38" s="39">
        <f>W_g!H38/(rat_weight!H38/1000)*0.1578</f>
        <v>5.5661375661372504E-2</v>
      </c>
      <c r="I38" s="39">
        <f>W_g!I38/(rat_weight!I38/1000)*0.1578</f>
        <v>6.9576719576719584E-2</v>
      </c>
      <c r="J38" s="39">
        <f>W_g!J38/(rat_weight!J38/1000)*0.1578</f>
        <v>2.7830687830686252E-2</v>
      </c>
      <c r="K38" s="39">
        <f>W_g!K38/(rat_weight!K38/1000)*0.1578</f>
        <v>0</v>
      </c>
      <c r="L38" s="39">
        <f>W_g!L38/(rat_weight!L38/1000)*0.1578</f>
        <v>-1.3964601769906743E-2</v>
      </c>
      <c r="M38" s="39">
        <f>W_g!M38/(rat_weight!M38/1000)*0.1578</f>
        <v>5.5858407079658723E-2</v>
      </c>
      <c r="N38" s="39">
        <f>W_g!N38/(rat_weight!N38/1000)*0.1578</f>
        <v>6.9823008849549589E-2</v>
      </c>
      <c r="O38" s="39">
        <f>W_g!O38/(rat_weight!O38/1000)*0.1578</f>
        <v>5.5858407079642847E-2</v>
      </c>
      <c r="P38" s="39">
        <f>W_g!P38/(rat_weight!P38/1000)*0.1578</f>
        <v>-2.7929203539829361E-2</v>
      </c>
      <c r="Q38" s="39">
        <f>W_g!Q38/(rat_weight!Q38/1000)*0.1578</f>
        <v>9.5885416666672899E-2</v>
      </c>
      <c r="R38" s="39">
        <f>W_g!R38/(rat_weight!R38/1000)*0.1578</f>
        <v>1.3697916666677567E-2</v>
      </c>
      <c r="S38" s="39">
        <f>W_g!S38/(rat_weight!S38/1000)*0.1578</f>
        <v>5.4791666666663554E-2</v>
      </c>
      <c r="T38" s="39">
        <f>W_g!T38/(rat_weight!T38/1000)*0.1578</f>
        <v>2.7395833333339566E-2</v>
      </c>
    </row>
    <row r="39" spans="1:20" s="39" customFormat="1">
      <c r="A39" s="18">
        <v>38</v>
      </c>
      <c r="B39" s="39">
        <f>W_g!B39/(rat_weight!B39/1000)*0.1578</f>
        <v>1.4704740157763123E-14</v>
      </c>
      <c r="C39" s="39">
        <f>W_g!C39/(rat_weight!C39/1000)*0.1578</f>
        <v>5.1737704918044553E-2</v>
      </c>
      <c r="D39" s="39">
        <f>W_g!D39/(rat_weight!D39/1000)*0.1578</f>
        <v>-7.7606557377037408E-2</v>
      </c>
      <c r="E39" s="39">
        <f>W_g!E39/(rat_weight!E39/1000)*0.1578</f>
        <v>2.5868852459007569E-2</v>
      </c>
      <c r="F39" s="39">
        <f>W_g!F39/(rat_weight!F39/1000)*0.1578</f>
        <v>-5.1737704918029849E-2</v>
      </c>
      <c r="G39" s="39">
        <f>W_g!G39/(rat_weight!G39/1000)*0.1578</f>
        <v>1.4608943804943818E-14</v>
      </c>
      <c r="H39" s="39">
        <f>W_g!H39/(rat_weight!H39/1000)*0.1578</f>
        <v>5.140065146578051E-2</v>
      </c>
      <c r="I39" s="39">
        <f>W_g!I39/(rat_weight!I39/1000)*0.1578</f>
        <v>0.1285016286644951</v>
      </c>
      <c r="J39" s="39">
        <f>W_g!J39/(rat_weight!J39/1000)*0.1578</f>
        <v>-1.4608943804943818E-14</v>
      </c>
      <c r="K39" s="39">
        <f>W_g!K39/(rat_weight!K39/1000)*0.1578</f>
        <v>5.140065146578051E-2</v>
      </c>
      <c r="L39" s="39">
        <f>W_g!L39/(rat_weight!L39/1000)*0.1578</f>
        <v>-2.5616883116874378E-2</v>
      </c>
      <c r="M39" s="39">
        <f>W_g!M39/(rat_weight!M39/1000)*0.1578</f>
        <v>0.10246753246752664</v>
      </c>
      <c r="N39" s="39">
        <f>W_g!N39/(rat_weight!N39/1000)*0.1578</f>
        <v>0.12808441558443015</v>
      </c>
      <c r="O39" s="39">
        <f>W_g!O39/(rat_weight!O39/1000)*0.1578</f>
        <v>0</v>
      </c>
      <c r="P39" s="39">
        <f>W_g!P39/(rat_weight!P39/1000)*0.1578</f>
        <v>0</v>
      </c>
      <c r="Q39" s="39">
        <f>W_g!Q39/(rat_weight!Q39/1000)*0.1578</f>
        <v>2.5288461538467286E-2</v>
      </c>
      <c r="R39" s="39">
        <f>W_g!R39/(rat_weight!R39/1000)*0.1578</f>
        <v>2.5288461538452912E-2</v>
      </c>
      <c r="S39" s="39">
        <f>W_g!S39/(rat_weight!S39/1000)*0.1578</f>
        <v>0.10115384615384039</v>
      </c>
      <c r="T39" s="39">
        <f>W_g!T39/(rat_weight!T39/1000)*0.1578</f>
        <v>5.0576923076934573E-2</v>
      </c>
    </row>
    <row r="40" spans="1:20" s="39" customFormat="1">
      <c r="A40" s="18">
        <v>39</v>
      </c>
      <c r="B40" s="39">
        <f>W_g!B40/(rat_weight!B40/1000)*0.1578</f>
        <v>2.4503105590060716E-2</v>
      </c>
      <c r="C40" s="39">
        <f>W_g!C40/(rat_weight!C40/1000)*0.1578</f>
        <v>2.4503105590067679E-2</v>
      </c>
      <c r="D40" s="39">
        <f>W_g!D40/(rat_weight!D40/1000)*0.1578</f>
        <v>-1.225155279503384E-2</v>
      </c>
      <c r="E40" s="39">
        <f>W_g!E40/(rat_weight!E40/1000)*0.1578</f>
        <v>1.2251552795026877E-2</v>
      </c>
      <c r="F40" s="39">
        <f>W_g!F40/(rat_weight!F40/1000)*0.1578</f>
        <v>-2.4503105590060716E-2</v>
      </c>
      <c r="G40" s="39">
        <f>W_g!G40/(rat_weight!G40/1000)*0.1578</f>
        <v>2.4054878048779121E-2</v>
      </c>
      <c r="H40" s="39">
        <f>W_g!H40/(rat_weight!H40/1000)*0.1578</f>
        <v>2.4054878048772283E-2</v>
      </c>
      <c r="I40" s="39">
        <f>W_g!I40/(rat_weight!I40/1000)*0.1578</f>
        <v>1.2027439024392978E-2</v>
      </c>
      <c r="J40" s="39">
        <f>W_g!J40/(rat_weight!J40/1000)*0.1578</f>
        <v>-2.4054878048779121E-2</v>
      </c>
      <c r="K40" s="39">
        <f>W_g!K40/(rat_weight!K40/1000)*0.1578</f>
        <v>4.8109756097571912E-2</v>
      </c>
      <c r="L40" s="39">
        <f>W_g!L40/(rat_weight!L40/1000)*0.1578</f>
        <v>0.10678195488722209</v>
      </c>
      <c r="M40" s="39">
        <f>W_g!M40/(rat_weight!M40/1000)*0.1578</f>
        <v>4.7458646616552143E-2</v>
      </c>
      <c r="N40" s="39">
        <f>W_g!N40/(rat_weight!N40/1000)*0.1578</f>
        <v>8.3052631578946018E-2</v>
      </c>
      <c r="O40" s="39">
        <f>W_g!O40/(rat_weight!O40/1000)*0.1578</f>
        <v>0</v>
      </c>
      <c r="P40" s="39">
        <f>W_g!P40/(rat_weight!P40/1000)*0.1578</f>
        <v>0</v>
      </c>
      <c r="Q40" s="39">
        <f>W_g!Q40/(rat_weight!Q40/1000)*0.1578</f>
        <v>0.60418918918919184</v>
      </c>
      <c r="R40" s="39">
        <f>W_g!R40/(rat_weight!R40/1000)*0.1578</f>
        <v>0.20139639639640852</v>
      </c>
      <c r="S40" s="39">
        <f>W_g!S40/(rat_weight!S40/1000)*0.1578</f>
        <v>0.2369369369369369</v>
      </c>
      <c r="T40" s="39">
        <f>W_g!T40/(rat_weight!T40/1000)*0.1578</f>
        <v>4.7387387387398158E-2</v>
      </c>
    </row>
    <row r="41" spans="1:20" s="39" customFormat="1">
      <c r="A41" s="18">
        <v>40</v>
      </c>
      <c r="B41" s="39">
        <f>W_g!B41/(rat_weight!B41/1000)*0.1578</f>
        <v>3.0593877551020388</v>
      </c>
      <c r="C41" s="39">
        <f>W_g!C41/(rat_weight!C41/1000)*0.1578</f>
        <v>1.2881632653061177</v>
      </c>
      <c r="D41" s="39">
        <f>W_g!D41/(rat_weight!D41/1000)*0.1578</f>
        <v>2.6367091836734735</v>
      </c>
      <c r="E41" s="39">
        <f>W_g!E41/(rat_weight!E41/1000)*0.1578</f>
        <v>2.8379846938775444</v>
      </c>
      <c r="F41" s="39">
        <f>W_g!F41/(rat_weight!F41/1000)*0.1578</f>
        <v>1.8517346938775487</v>
      </c>
      <c r="G41" s="39">
        <f>W_g!G41/(rat_weight!G41/1000)*0.1578</f>
        <v>0.78078125000000231</v>
      </c>
      <c r="H41" s="39">
        <f>W_g!H41/(rat_weight!H41/1000)*0.1578</f>
        <v>2.4245312500000136</v>
      </c>
      <c r="I41" s="39">
        <f>W_g!I41/(rat_weight!I41/1000)*0.1578</f>
        <v>3.8011718750000001</v>
      </c>
      <c r="J41" s="39">
        <f>W_g!J41/(rat_weight!J41/1000)*0.1578</f>
        <v>1.5615624999999931</v>
      </c>
      <c r="K41" s="39">
        <f>W_g!K41/(rat_weight!K41/1000)*0.1578</f>
        <v>2.4656249999999997</v>
      </c>
      <c r="L41" s="39">
        <f>W_g!L41/(rat_weight!L41/1000)*0.1578</f>
        <v>1.6330922693267078</v>
      </c>
      <c r="M41" s="39">
        <f>W_g!M41/(rat_weight!M41/1000)*0.1578</f>
        <v>2.7546134663341642</v>
      </c>
      <c r="N41" s="39">
        <f>W_g!N41/(rat_weight!N41/1000)*0.1578</f>
        <v>1.6724438902743255</v>
      </c>
      <c r="O41" s="39">
        <f>W_g!O41/(rat_weight!O41/1000)*0.1578</f>
        <v>1.1018453865336479</v>
      </c>
      <c r="P41" s="39">
        <f>W_g!P41/(rat_weight!P41/1000)*0.1578</f>
        <v>1.2199002493765674</v>
      </c>
      <c r="Q41" s="39">
        <f>W_g!Q41/(rat_weight!Q41/1000)*0.1578</f>
        <v>1.3084900990099098</v>
      </c>
      <c r="R41" s="39">
        <f>W_g!R41/(rat_weight!R41/1000)*0.1578</f>
        <v>1.6209653465346554</v>
      </c>
      <c r="S41" s="39">
        <f>W_g!S41/(rat_weight!S41/1000)*0.1578</f>
        <v>2.4998019801980109</v>
      </c>
      <c r="T41" s="39">
        <f>W_g!T41/(rat_weight!T41/1000)*0.1578</f>
        <v>1.2108415841584024</v>
      </c>
    </row>
    <row r="42" spans="1:20" s="39" customFormat="1">
      <c r="A42" s="18">
        <v>41</v>
      </c>
      <c r="B42" s="39">
        <f>W_g!B42/(rat_weight!B42/1000)*0.1578</f>
        <v>4.710447761193761E-2</v>
      </c>
      <c r="C42" s="39">
        <f>W_g!C42/(rat_weight!C42/1000)*0.1578</f>
        <v>4.7104477611924225E-2</v>
      </c>
      <c r="D42" s="39">
        <f>W_g!D42/(rat_weight!D42/1000)*0.1578</f>
        <v>-2.3552238805975505E-2</v>
      </c>
      <c r="E42" s="39">
        <f>W_g!E42/(rat_weight!E42/1000)*0.1578</f>
        <v>2.3552238805962113E-2</v>
      </c>
      <c r="F42" s="39">
        <f>W_g!F42/(rat_weight!F42/1000)*0.1578</f>
        <v>-1.3387897755575379E-14</v>
      </c>
      <c r="G42" s="39">
        <f>W_g!G42/(rat_weight!G42/1000)*0.1578</f>
        <v>-1.3387897755575379E-14</v>
      </c>
      <c r="H42" s="39">
        <f>W_g!H42/(rat_weight!H42/1000)*0.1578</f>
        <v>4.7104477611924225E-2</v>
      </c>
      <c r="I42" s="39">
        <f>W_g!I42/(rat_weight!I42/1000)*0.1578</f>
        <v>-2.3552238805975505E-2</v>
      </c>
      <c r="J42" s="39">
        <f>W_g!J42/(rat_weight!J42/1000)*0.1578</f>
        <v>-1.3387897755575379E-14</v>
      </c>
      <c r="K42" s="39">
        <f>W_g!K42/(rat_weight!K42/1000)*0.1578</f>
        <v>-4.7104477611924225E-2</v>
      </c>
      <c r="L42" s="39">
        <f>W_g!L42/(rat_weight!L42/1000)*0.1578</f>
        <v>-7.0656716417886345E-2</v>
      </c>
      <c r="M42" s="39">
        <f>W_g!M42/(rat_weight!M42/1000)*0.1578</f>
        <v>4.7104477611951009E-2</v>
      </c>
      <c r="N42" s="39">
        <f>W_g!N42/(rat_weight!N42/1000)*0.1578</f>
        <v>0.11776119402986411</v>
      </c>
      <c r="O42" s="39">
        <f>W_g!O42/(rat_weight!O42/1000)*0.1578</f>
        <v>0</v>
      </c>
      <c r="P42" s="39">
        <f>W_g!P42/(rat_weight!P42/1000)*0.1578</f>
        <v>0</v>
      </c>
      <c r="Q42" s="39">
        <f>W_g!Q42/(rat_weight!Q42/1000)*0.1578</f>
        <v>-2.320588235294645E-2</v>
      </c>
      <c r="R42" s="39">
        <f>W_g!R42/(rat_weight!R42/1000)*0.1578</f>
        <v>2.320588235293326E-2</v>
      </c>
      <c r="S42" s="39">
        <f>W_g!S42/(rat_weight!S42/1000)*0.1578</f>
        <v>0</v>
      </c>
      <c r="T42" s="39">
        <f>W_g!T42/(rat_weight!T42/1000)*0.1578</f>
        <v>0</v>
      </c>
    </row>
    <row r="43" spans="1:20" s="39" customFormat="1">
      <c r="A43" s="18">
        <v>42</v>
      </c>
      <c r="B43" s="39">
        <f>W_g!B43/(rat_weight!B43/1000)*0.1578</f>
        <v>8.9152542372926982E-2</v>
      </c>
      <c r="C43" s="39">
        <f>W_g!C43/(rat_weight!C43/1000)*0.1578</f>
        <v>8.9152542372901628E-2</v>
      </c>
      <c r="D43" s="39">
        <f>W_g!D43/(rat_weight!D43/1000)*0.1578</f>
        <v>1.2927118644067697</v>
      </c>
      <c r="E43" s="39">
        <f>W_g!E43/(rat_weight!E43/1000)*0.1578</f>
        <v>0.22288135593217806</v>
      </c>
      <c r="F43" s="39">
        <f>W_g!F43/(rat_weight!F43/1000)*0.1578</f>
        <v>8.9152542372876287E-2</v>
      </c>
      <c r="G43" s="39">
        <f>W_g!G43/(rat_weight!G43/1000)*0.1578</f>
        <v>0.62761363636365164</v>
      </c>
      <c r="H43" s="39">
        <f>W_g!H43/(rat_weight!H43/1000)*0.1578</f>
        <v>8.9659090909111283E-2</v>
      </c>
      <c r="I43" s="39">
        <f>W_g!I43/(rat_weight!I43/1000)*0.1578</f>
        <v>4.4829545454504682E-2</v>
      </c>
      <c r="J43" s="39">
        <f>W_g!J43/(rat_weight!J43/1000)*0.1578</f>
        <v>-8.9659090909085817E-2</v>
      </c>
      <c r="K43" s="39">
        <f>W_g!K43/(rat_weight!K43/1000)*0.1578</f>
        <v>0</v>
      </c>
      <c r="L43" s="39">
        <f>W_g!L43/(rat_weight!L43/1000)*0.1578</f>
        <v>-4.457627118642548E-2</v>
      </c>
      <c r="M43" s="39">
        <f>W_g!M43/(rat_weight!M43/1000)*0.1578</f>
        <v>0.35661016949150515</v>
      </c>
      <c r="N43" s="39">
        <f>W_g!N43/(rat_weight!N43/1000)*0.1578</f>
        <v>0.13372881355932711</v>
      </c>
      <c r="O43" s="39">
        <f>W_g!O43/(rat_weight!O43/1000)*0.1578</f>
        <v>8.915254237285096E-2</v>
      </c>
      <c r="P43" s="39">
        <f>W_g!P43/(rat_weight!P43/1000)*0.1578</f>
        <v>0</v>
      </c>
      <c r="Q43" s="39">
        <f>W_g!Q43/(rat_weight!Q43/1000)*0.1578</f>
        <v>1.6493220338983254</v>
      </c>
      <c r="R43" s="39">
        <f>W_g!R43/(rat_weight!R43/1000)*0.1578</f>
        <v>4.4576271186476155E-2</v>
      </c>
      <c r="S43" s="39">
        <f>W_g!S43/(rat_weight!S43/1000)*0.1578</f>
        <v>1.3372881355932205</v>
      </c>
      <c r="T43" s="39">
        <f>W_g!T43/(rat_weight!T43/1000)*0.1578</f>
        <v>1.6047457627118746</v>
      </c>
    </row>
    <row r="44" spans="1:20" s="39" customFormat="1">
      <c r="A44" s="18">
        <v>43</v>
      </c>
      <c r="B44" s="39">
        <f>W_g!B44/(rat_weight!B44/1000)*0.1578</f>
        <v>-2.4916365267320844E-14</v>
      </c>
      <c r="C44" s="39">
        <f>W_g!C44/(rat_weight!C44/1000)*0.1578</f>
        <v>0</v>
      </c>
      <c r="D44" s="39">
        <f>W_g!D44/(rat_weight!D44/1000)*0.1578</f>
        <v>4.38333333333433E-2</v>
      </c>
      <c r="E44" s="39">
        <f>W_g!E44/(rat_weight!E44/1000)*0.1578</f>
        <v>0.4821666666666517</v>
      </c>
      <c r="F44" s="39">
        <f>W_g!F44/(rat_weight!F44/1000)*0.1578</f>
        <v>2.4916365267320844E-14</v>
      </c>
      <c r="G44" s="39">
        <f>W_g!G44/(rat_weight!G44/1000)*0.1578</f>
        <v>0.35066666666667162</v>
      </c>
      <c r="H44" s="39">
        <f>W_g!H44/(rat_weight!H44/1000)*0.1578</f>
        <v>8.7666666666636764E-2</v>
      </c>
      <c r="I44" s="39">
        <f>W_g!I44/(rat_weight!I44/1000)*0.1578</f>
        <v>0.13149999999998008</v>
      </c>
      <c r="J44" s="39">
        <f>W_g!J44/(rat_weight!J44/1000)*0.1578</f>
        <v>-8.7666666666661688E-2</v>
      </c>
      <c r="K44" s="39">
        <f>W_g!K44/(rat_weight!K44/1000)*0.1578</f>
        <v>0</v>
      </c>
      <c r="L44" s="39">
        <f>W_g!L44/(rat_weight!L44/1000)*0.1578</f>
        <v>0.30016304347830475</v>
      </c>
      <c r="M44" s="39">
        <f>W_g!M44/(rat_weight!M44/1000)*0.1578</f>
        <v>8.5760869565236889E-2</v>
      </c>
      <c r="N44" s="39">
        <f>W_g!N44/(rat_weight!N44/1000)*0.1578</f>
        <v>4.2880434782594075E-2</v>
      </c>
      <c r="O44" s="39">
        <f>W_g!O44/(rat_weight!O44/1000)*0.1578</f>
        <v>-8.5760869565236889E-2</v>
      </c>
      <c r="P44" s="39">
        <f>W_g!P44/(rat_weight!P44/1000)*0.1578</f>
        <v>0</v>
      </c>
      <c r="Q44" s="39">
        <f>W_g!Q44/(rat_weight!Q44/1000)*0.1578</f>
        <v>-4.2880434782569692E-2</v>
      </c>
      <c r="R44" s="39">
        <f>W_g!R44/(rat_weight!R44/1000)*0.1578</f>
        <v>-4.2880434782594075E-2</v>
      </c>
      <c r="S44" s="39">
        <f>W_g!S44/(rat_weight!S44/1000)*0.1578</f>
        <v>0</v>
      </c>
      <c r="T44" s="39">
        <f>W_g!T44/(rat_weight!T44/1000)*0.1578</f>
        <v>0</v>
      </c>
    </row>
    <row r="45" spans="1:20" s="39" customFormat="1">
      <c r="A45" s="18">
        <v>44</v>
      </c>
      <c r="B45" s="39">
        <f>W_g!B45/(rat_weight!B45/1000)*0.1578</f>
        <v>5.1737704918029849E-2</v>
      </c>
      <c r="C45" s="39">
        <f>W_g!C45/(rat_weight!C45/1000)*0.1578</f>
        <v>0.15521311475407482</v>
      </c>
      <c r="D45" s="39">
        <f>W_g!D45/(rat_weight!D45/1000)*0.1578</f>
        <v>-7.7606557377066829E-2</v>
      </c>
      <c r="E45" s="39">
        <f>W_g!E45/(rat_weight!E45/1000)*0.1578</f>
        <v>0.12934426229506726</v>
      </c>
      <c r="F45" s="39">
        <f>W_g!F45/(rat_weight!F45/1000)*0.1578</f>
        <v>5.1737704918029849E-2</v>
      </c>
      <c r="G45" s="39">
        <f>W_g!G45/(rat_weight!G45/1000)*0.1578</f>
        <v>0.10347540983604497</v>
      </c>
      <c r="H45" s="39">
        <f>W_g!H45/(rat_weight!H45/1000)*0.1578</f>
        <v>0.10347540983608911</v>
      </c>
      <c r="I45" s="39">
        <f>W_g!I45/(rat_weight!I45/1000)*0.1578</f>
        <v>7.7606557377037408E-2</v>
      </c>
      <c r="J45" s="39">
        <f>W_g!J45/(rat_weight!J45/1000)*0.1578</f>
        <v>1.4704740157763123E-14</v>
      </c>
      <c r="K45" s="39">
        <f>W_g!K45/(rat_weight!K45/1000)*0.1578</f>
        <v>5.1737704918044553E-2</v>
      </c>
      <c r="L45" s="39">
        <f>W_g!L45/(rat_weight!L45/1000)*0.1578</f>
        <v>2.57843137254814E-2</v>
      </c>
      <c r="M45" s="39">
        <f>W_g!M45/(rat_weight!M45/1000)*0.1578</f>
        <v>0.10313725490198423</v>
      </c>
      <c r="N45" s="39">
        <f>W_g!N45/(rat_weight!N45/1000)*0.1578</f>
        <v>7.7352941176473511E-2</v>
      </c>
      <c r="O45" s="39">
        <f>W_g!O45/(rat_weight!O45/1000)*0.1578</f>
        <v>-5.1568627450992117E-2</v>
      </c>
      <c r="P45" s="39">
        <f>W_g!P45/(rat_weight!P45/1000)*0.1578</f>
        <v>0</v>
      </c>
      <c r="Q45" s="39">
        <f>W_g!Q45/(rat_weight!Q45/1000)*0.1578</f>
        <v>2.4656250000005604E-2</v>
      </c>
      <c r="R45" s="39">
        <f>W_g!R45/(rat_weight!R45/1000)*0.1578</f>
        <v>-2.4656249999991591E-2</v>
      </c>
      <c r="S45" s="39">
        <f>W_g!S45/(rat_weight!S45/1000)*0.1578</f>
        <v>4.9312499999983182E-2</v>
      </c>
      <c r="T45" s="39">
        <f>W_g!T45/(rat_weight!T45/1000)*0.1578</f>
        <v>4.9312499999983182E-2</v>
      </c>
    </row>
    <row r="46" spans="1:20" s="39" customFormat="1">
      <c r="A46" s="18">
        <v>45</v>
      </c>
      <c r="B46" s="39">
        <f>W_g!B46/(rat_weight!B46/1000)*0.1578</f>
        <v>-1.4283266713750804E-14</v>
      </c>
      <c r="C46" s="39">
        <f>W_g!C46/(rat_weight!C46/1000)*0.1578</f>
        <v>5.025477707007512E-2</v>
      </c>
      <c r="D46" s="39">
        <f>W_g!D46/(rat_weight!D46/1000)*0.1578</f>
        <v>2.512738853503756E-2</v>
      </c>
      <c r="E46" s="39">
        <f>W_g!E46/(rat_weight!E46/1000)*0.1578</f>
        <v>7.5382165605069829E-2</v>
      </c>
      <c r="F46" s="39">
        <f>W_g!F46/(rat_weight!F46/1000)*0.1578</f>
        <v>-1.4283266713750804E-14</v>
      </c>
      <c r="G46" s="39">
        <f>W_g!G46/(rat_weight!G46/1000)*0.1578</f>
        <v>1.432890015373084E-14</v>
      </c>
      <c r="H46" s="39">
        <f>W_g!H46/(rat_weight!H46/1000)*0.1578</f>
        <v>5.0415335463270247E-2</v>
      </c>
      <c r="I46" s="39">
        <f>W_g!I46/(rat_weight!I46/1000)*0.1578</f>
        <v>-2.5207667731635124E-2</v>
      </c>
      <c r="J46" s="39">
        <f>W_g!J46/(rat_weight!J46/1000)*0.1578</f>
        <v>-1.432890015373084E-14</v>
      </c>
      <c r="K46" s="39">
        <f>W_g!K46/(rat_weight!K46/1000)*0.1578</f>
        <v>0</v>
      </c>
      <c r="L46" s="39">
        <f>W_g!L46/(rat_weight!L46/1000)*0.1578</f>
        <v>-7.5382165605098389E-2</v>
      </c>
      <c r="M46" s="39">
        <f>W_g!M46/(rat_weight!M46/1000)*0.1578</f>
        <v>5.025477707007512E-2</v>
      </c>
      <c r="N46" s="39">
        <f>W_g!N46/(rat_weight!N46/1000)*0.1578</f>
        <v>7.5382165605098389E-2</v>
      </c>
      <c r="O46" s="39">
        <f>W_g!O46/(rat_weight!O46/1000)*0.1578</f>
        <v>0</v>
      </c>
      <c r="P46" s="39">
        <f>W_g!P46/(rat_weight!P46/1000)*0.1578</f>
        <v>0</v>
      </c>
      <c r="Q46" s="39">
        <f>W_g!Q46/(rat_weight!Q46/1000)*0.1578</f>
        <v>-7.490506329112788E-2</v>
      </c>
      <c r="R46" s="39">
        <f>W_g!R46/(rat_weight!R46/1000)*0.1578</f>
        <v>-2.496835443037123E-2</v>
      </c>
      <c r="S46" s="39">
        <f>W_g!S46/(rat_weight!S46/1000)*0.1578</f>
        <v>4.9936708860770847E-2</v>
      </c>
      <c r="T46" s="39">
        <f>W_g!T46/(rat_weight!T46/1000)*0.1578</f>
        <v>0</v>
      </c>
    </row>
    <row r="47" spans="1:20" s="39" customFormat="1">
      <c r="A47" s="18">
        <v>46</v>
      </c>
      <c r="B47" s="39">
        <f>W_g!B47/(rat_weight!B47/1000)*0.1578</f>
        <v>3.1247524752473471E-2</v>
      </c>
      <c r="C47" s="39">
        <f>W_g!C47/(rat_weight!C47/1000)*0.1578</f>
        <v>0</v>
      </c>
      <c r="D47" s="39">
        <f>W_g!D47/(rat_weight!D47/1000)*0.1578</f>
        <v>-1.5623762376241176E-2</v>
      </c>
      <c r="E47" s="39">
        <f>W_g!E47/(rat_weight!E47/1000)*0.1578</f>
        <v>4.6871287128696884E-2</v>
      </c>
      <c r="F47" s="39">
        <f>W_g!F47/(rat_weight!F47/1000)*0.1578</f>
        <v>3.1247524752473471E-2</v>
      </c>
      <c r="G47" s="39">
        <f>W_g!G47/(rat_weight!G47/1000)*0.1578</f>
        <v>3.1062992125982482E-2</v>
      </c>
      <c r="H47" s="39">
        <f>W_g!H47/(rat_weight!H47/1000)*0.1578</f>
        <v>-6.2125984251964965E-2</v>
      </c>
      <c r="I47" s="39">
        <f>W_g!I47/(rat_weight!I47/1000)*0.1578</f>
        <v>4.6594488188986975E-2</v>
      </c>
      <c r="J47" s="39">
        <f>W_g!J47/(rat_weight!J47/1000)*0.1578</f>
        <v>8.8286333624365202E-15</v>
      </c>
      <c r="K47" s="39">
        <f>W_g!K47/(rat_weight!K47/1000)*0.1578</f>
        <v>6.2125984251982624E-2</v>
      </c>
      <c r="L47" s="39">
        <f>W_g!L47/(rat_weight!L47/1000)*0.1578</f>
        <v>-4.5694980694965109E-2</v>
      </c>
      <c r="M47" s="39">
        <f>W_g!M47/(rat_weight!M47/1000)*0.1578</f>
        <v>3.0463320463327389E-2</v>
      </c>
      <c r="N47" s="39">
        <f>W_g!N47/(rat_weight!N47/1000)*0.1578</f>
        <v>0.10662162162161988</v>
      </c>
      <c r="O47" s="39">
        <f>W_g!O47/(rat_weight!O47/1000)*0.1578</f>
        <v>3.0463320463310069E-2</v>
      </c>
      <c r="P47" s="39">
        <f>W_g!P47/(rat_weight!P47/1000)*0.1578</f>
        <v>0</v>
      </c>
      <c r="Q47" s="39">
        <f>W_g!Q47/(rat_weight!Q47/1000)*0.1578</f>
        <v>-4.6411764705875318E-2</v>
      </c>
      <c r="R47" s="39">
        <f>W_g!R47/(rat_weight!R47/1000)*0.1578</f>
        <v>7.7352941176461784E-2</v>
      </c>
      <c r="S47" s="39">
        <f>W_g!S47/(rat_weight!S47/1000)*0.1578</f>
        <v>0.15470588235294117</v>
      </c>
      <c r="T47" s="39">
        <f>W_g!T47/(rat_weight!T47/1000)*0.1578</f>
        <v>6.1882352941172947E-2</v>
      </c>
    </row>
    <row r="48" spans="1:20" s="39" customFormat="1">
      <c r="A48" s="18">
        <v>47</v>
      </c>
      <c r="B48" s="39">
        <f>W_g!B48/(rat_weight!B48/1000)*0.1578</f>
        <v>0.51596730245232336</v>
      </c>
      <c r="C48" s="39">
        <f>W_g!C48/(rat_weight!C48/1000)*0.1578</f>
        <v>0.51596730245231126</v>
      </c>
      <c r="D48" s="39">
        <f>W_g!D48/(rat_weight!D48/1000)*0.1578</f>
        <v>0.2794822888283281</v>
      </c>
      <c r="E48" s="39">
        <f>W_g!E48/(rat_weight!E48/1000)*0.1578</f>
        <v>0.58046321525885314</v>
      </c>
      <c r="F48" s="39">
        <f>W_g!F48/(rat_weight!F48/1000)*0.1578</f>
        <v>0.12899182561309613</v>
      </c>
      <c r="G48" s="39">
        <f>W_g!G48/(rat_weight!G48/1000)*0.1578</f>
        <v>0.51178378378379097</v>
      </c>
      <c r="H48" s="39">
        <f>W_g!H48/(rat_weight!H48/1000)*0.1578</f>
        <v>0.55443243243243723</v>
      </c>
      <c r="I48" s="39">
        <f>W_g!I48/(rat_weight!I48/1000)*0.1578</f>
        <v>0.10662162162162162</v>
      </c>
      <c r="J48" s="39">
        <f>W_g!J48/(rat_weight!J48/1000)*0.1578</f>
        <v>0.2132432432432311</v>
      </c>
      <c r="K48" s="39">
        <f>W_g!K48/(rat_weight!K48/1000)*0.1578</f>
        <v>0.72502702702702215</v>
      </c>
      <c r="L48" s="39">
        <f>W_g!L48/(rat_weight!L48/1000)*0.1578</f>
        <v>0.14886792452829947</v>
      </c>
      <c r="M48" s="39">
        <f>W_g!M48/(rat_weight!M48/1000)*0.1578</f>
        <v>0.46787061994610135</v>
      </c>
      <c r="N48" s="39">
        <f>W_g!N48/(rat_weight!N48/1000)*0.1578</f>
        <v>1.084609164420502</v>
      </c>
      <c r="O48" s="39">
        <f>W_g!O48/(rat_weight!O48/1000)*0.1578</f>
        <v>1.8289487870619754</v>
      </c>
      <c r="P48" s="39">
        <f>W_g!P48/(rat_weight!P48/1000)*0.1578</f>
        <v>0.6380053908355795</v>
      </c>
      <c r="Q48" s="39">
        <f>W_g!Q48/(rat_weight!Q48/1000)*0.1578</f>
        <v>0.75825974025974952</v>
      </c>
      <c r="R48" s="39">
        <f>W_g!R48/(rat_weight!R48/1000)*0.1578</f>
        <v>1.2091168831168901</v>
      </c>
      <c r="S48" s="39">
        <f>W_g!S48/(rat_weight!S48/1000)*0.1578</f>
        <v>0.4918441558441744</v>
      </c>
      <c r="T48" s="39">
        <f>W_g!T48/(rat_weight!T48/1000)*0.1578</f>
        <v>0.53283116883117343</v>
      </c>
    </row>
    <row r="49" spans="1:68" s="39" customFormat="1">
      <c r="A49" s="18">
        <v>48</v>
      </c>
      <c r="B49" s="39">
        <f>W_g!B49/(rat_weight!B49/1000)*0.1578</f>
        <v>6.3035952063911188E-2</v>
      </c>
      <c r="C49" s="39">
        <f>W_g!C49/(rat_weight!C49/1000)*0.1578</f>
        <v>2.1011984021309701E-2</v>
      </c>
      <c r="D49" s="39">
        <f>W_g!D49/(rat_weight!D49/1000)*0.1578</f>
        <v>7.3541944074572027E-2</v>
      </c>
      <c r="E49" s="39">
        <f>W_g!E49/(rat_weight!E49/1000)*0.1578</f>
        <v>5.2529960053256344E-2</v>
      </c>
      <c r="F49" s="39">
        <f>W_g!F49/(rat_weight!F49/1000)*0.1578</f>
        <v>2.1011984021303731E-2</v>
      </c>
      <c r="G49" s="39">
        <f>W_g!G49/(rat_weight!G49/1000)*0.1578</f>
        <v>5.9246311071568719E-15</v>
      </c>
      <c r="H49" s="39">
        <f>W_g!H49/(rat_weight!H49/1000)*0.1578</f>
        <v>0.1250726552179704</v>
      </c>
      <c r="I49" s="39">
        <f>W_g!I49/(rat_weight!I49/1000)*0.1578</f>
        <v>0.11464993394979237</v>
      </c>
      <c r="J49" s="39">
        <f>W_g!J49/(rat_weight!J49/1000)*0.1578</f>
        <v>0.10422721268163213</v>
      </c>
      <c r="K49" s="39">
        <f>W_g!K49/(rat_weight!K49/1000)*0.1578</f>
        <v>8.3381770145305692E-2</v>
      </c>
      <c r="L49" s="39">
        <f>W_g!L49/(rat_weight!L49/1000)*0.1578</f>
        <v>0.5840649350649455</v>
      </c>
      <c r="M49" s="39">
        <f>W_g!M49/(rat_weight!M49/1000)*0.1578</f>
        <v>2.049350649351115E-2</v>
      </c>
      <c r="N49" s="39">
        <f>W_g!N49/(rat_weight!N49/1000)*0.1578</f>
        <v>0.60455844155844507</v>
      </c>
      <c r="O49" s="39">
        <f>W_g!O49/(rat_weight!O49/1000)*0.1578</f>
        <v>0.47135064935065163</v>
      </c>
      <c r="P49" s="39">
        <f>W_g!P49/(rat_weight!P49/1000)*0.1578</f>
        <v>0.26641558441558671</v>
      </c>
      <c r="Q49" s="39">
        <f>W_g!Q49/(rat_weight!Q49/1000)*0.1578</f>
        <v>0.656658130601804</v>
      </c>
      <c r="R49" s="39">
        <f>W_g!R49/(rat_weight!R49/1000)*0.1578</f>
        <v>0.4748143405889988</v>
      </c>
      <c r="S49" s="39">
        <f>W_g!S49/(rat_weight!S49/1000)*0.1578</f>
        <v>1.0102432778489117</v>
      </c>
      <c r="T49" s="39">
        <f>W_g!T49/(rat_weight!T49/1000)*0.1578</f>
        <v>0.82839948783611206</v>
      </c>
    </row>
    <row r="50" spans="1:68" s="39" customFormat="1">
      <c r="A50" s="18">
        <v>49</v>
      </c>
      <c r="B50" s="39">
        <f>W_g!B50/(rat_weight!B50/1000)*0.1578</f>
        <v>0.90580060422960307</v>
      </c>
      <c r="C50" s="39">
        <f>W_g!C50/(rat_weight!C50/1000)*0.1578</f>
        <v>2.3836858006047717E-2</v>
      </c>
      <c r="D50" s="39">
        <f>W_g!D50/(rat_weight!D50/1000)*0.1578</f>
        <v>1.1918429003010307E-2</v>
      </c>
      <c r="E50" s="39">
        <f>W_g!E50/(rat_weight!E50/1000)*0.1578</f>
        <v>3.5755287009051243E-2</v>
      </c>
      <c r="F50" s="39">
        <f>W_g!F50/(rat_weight!F50/1000)*0.1578</f>
        <v>0.30987915407854577</v>
      </c>
      <c r="G50" s="39">
        <f>W_g!G50/(rat_weight!G50/1000)*0.1578</f>
        <v>0.57036144578313386</v>
      </c>
      <c r="H50" s="39">
        <f>W_g!H50/(rat_weight!H50/1000)*0.1578</f>
        <v>0.59412650602409633</v>
      </c>
      <c r="I50" s="39">
        <f>W_g!I50/(rat_weight!I50/1000)*0.1578</f>
        <v>0.22576807228915388</v>
      </c>
      <c r="J50" s="39">
        <f>W_g!J50/(rat_weight!J50/1000)*0.1578</f>
        <v>-6.7544363676472169E-15</v>
      </c>
      <c r="K50" s="39">
        <f>W_g!K50/(rat_weight!K50/1000)*0.1578</f>
        <v>0</v>
      </c>
      <c r="L50" s="39">
        <f>W_g!L50/(rat_weight!L50/1000)*0.1578</f>
        <v>-1.1688888888884903E-2</v>
      </c>
      <c r="M50" s="39">
        <f>W_g!M50/(rat_weight!M50/1000)*0.1578</f>
        <v>4.6755555555566188E-2</v>
      </c>
      <c r="N50" s="39">
        <f>W_g!N50/(rat_weight!N50/1000)*0.1578</f>
        <v>1.4377333333333346</v>
      </c>
      <c r="O50" s="39">
        <f>W_g!O50/(rat_weight!O50/1000)*0.1578</f>
        <v>0.28053333333333064</v>
      </c>
      <c r="P50" s="39">
        <f>W_g!P50/(rat_weight!P50/1000)*0.1578</f>
        <v>0.95848888888889405</v>
      </c>
      <c r="Q50" s="39">
        <f>W_g!Q50/(rat_weight!Q50/1000)*0.1578</f>
        <v>0.42867841409692153</v>
      </c>
      <c r="R50" s="39">
        <f>W_g!R50/(rat_weight!R50/1000)*0.1578</f>
        <v>1.1585903083696487E-2</v>
      </c>
      <c r="S50" s="39">
        <f>W_g!S50/(rat_weight!S50/1000)*0.1578</f>
        <v>0.55612334801761587</v>
      </c>
      <c r="T50" s="39">
        <f>W_g!T50/(rat_weight!T50/1000)*0.1578</f>
        <v>1.3439647577092537</v>
      </c>
    </row>
    <row r="51" spans="1:68" s="39" customFormat="1">
      <c r="A51" s="18">
        <v>50</v>
      </c>
      <c r="B51" s="39">
        <f>W_g!B51/(rat_weight!B51/1000)*0.1578</f>
        <v>4.4576271186438143E-2</v>
      </c>
      <c r="C51" s="39">
        <f>W_g!C51/(rat_weight!C51/1000)*0.1578</f>
        <v>0.2228813559322034</v>
      </c>
      <c r="D51" s="39">
        <f>W_g!D51/(rat_weight!D51/1000)*0.1578</f>
        <v>-6.6864406779676214E-2</v>
      </c>
      <c r="E51" s="39">
        <f>W_g!E51/(rat_weight!E51/1000)*0.1578</f>
        <v>2.228813559321274E-2</v>
      </c>
      <c r="F51" s="39">
        <f>W_g!F51/(rat_weight!F51/1000)*0.1578</f>
        <v>0.17830508474576523</v>
      </c>
      <c r="G51" s="39">
        <f>W_g!G51/(rat_weight!G51/1000)*0.1578</f>
        <v>0.17982905982906239</v>
      </c>
      <c r="H51" s="39">
        <f>W_g!H51/(rat_weight!H51/1000)*0.1578</f>
        <v>0.44957264957264964</v>
      </c>
      <c r="I51" s="39">
        <f>W_g!I51/(rat_weight!I51/1000)*0.1578</f>
        <v>2.2478632478612034E-2</v>
      </c>
      <c r="J51" s="39">
        <f>W_g!J51/(rat_weight!J51/1000)*0.1578</f>
        <v>-1.2777623214010692E-14</v>
      </c>
      <c r="K51" s="39">
        <f>W_g!K51/(rat_weight!K51/1000)*0.1578</f>
        <v>0</v>
      </c>
      <c r="L51" s="39">
        <f>W_g!L51/(rat_weight!L51/1000)*0.1578</f>
        <v>6.6676056338030698E-2</v>
      </c>
      <c r="M51" s="39">
        <f>W_g!M51/(rat_weight!M51/1000)*0.1578</f>
        <v>4.4450704225362223E-2</v>
      </c>
      <c r="N51" s="39">
        <f>W_g!N51/(rat_weight!N51/1000)*0.1578</f>
        <v>6.6676056338030698E-2</v>
      </c>
      <c r="O51" s="39">
        <f>W_g!O51/(rat_weight!O51/1000)*0.1578</f>
        <v>0.17780281690139838</v>
      </c>
      <c r="P51" s="39">
        <f>W_g!P51/(rat_weight!P51/1000)*0.1578</f>
        <v>0</v>
      </c>
      <c r="Q51" s="39">
        <f>W_g!Q51/(rat_weight!Q51/1000)*0.1578</f>
        <v>0.36547683923706697</v>
      </c>
      <c r="R51" s="39">
        <f>W_g!R51/(rat_weight!R51/1000)*0.1578</f>
        <v>0.19348773841962585</v>
      </c>
      <c r="S51" s="39">
        <f>W_g!S51/(rat_weight!S51/1000)*0.1578</f>
        <v>1.0319346049046467</v>
      </c>
      <c r="T51" s="39">
        <f>W_g!T51/(rat_weight!T51/1000)*0.1578</f>
        <v>0.34397820163488224</v>
      </c>
    </row>
    <row r="52" spans="1:68" s="39" customFormat="1">
      <c r="A52" s="18">
        <v>51</v>
      </c>
      <c r="B52" s="39">
        <f>W_g!B52/(rat_weight!B52/1000)*0.1578</f>
        <v>-1.568162848992221E-14</v>
      </c>
      <c r="C52" s="39">
        <f>W_g!C52/(rat_weight!C52/1000)*0.1578</f>
        <v>5.5174825174806361E-2</v>
      </c>
      <c r="D52" s="39">
        <f>W_g!D52/(rat_weight!D52/1000)*0.1578</f>
        <v>2.0690559440559442</v>
      </c>
      <c r="E52" s="39">
        <f>W_g!E52/(rat_weight!E52/1000)*0.1578</f>
        <v>8.2762237762240898E-2</v>
      </c>
      <c r="F52" s="39">
        <f>W_g!F52/(rat_weight!F52/1000)*0.1578</f>
        <v>-1.568162848992221E-14</v>
      </c>
      <c r="G52" s="39">
        <f>W_g!G52/(rat_weight!G52/1000)*0.1578</f>
        <v>0.21469387755102348</v>
      </c>
      <c r="H52" s="39">
        <f>W_g!H52/(rat_weight!H52/1000)*0.1578</f>
        <v>0.32204081632651232</v>
      </c>
      <c r="I52" s="39">
        <f>W_g!I52/(rat_weight!I52/1000)*0.1578</f>
        <v>0.13418367346938775</v>
      </c>
      <c r="J52" s="39">
        <f>W_g!J52/(rat_weight!J52/1000)*0.1578</f>
        <v>0.16102040816325616</v>
      </c>
      <c r="K52" s="39">
        <f>W_g!K52/(rat_weight!K52/1000)*0.1578</f>
        <v>-5.3673469387736802E-2</v>
      </c>
      <c r="L52" s="39">
        <f>W_g!L52/(rat_weight!L52/1000)*0.1578</f>
        <v>0.7124749163879569</v>
      </c>
      <c r="M52" s="39">
        <f>W_g!M52/(rat_weight!M52/1000)*0.1578</f>
        <v>5.277591973245347E-2</v>
      </c>
      <c r="N52" s="39">
        <f>W_g!N52/(rat_weight!N52/1000)*0.1578</f>
        <v>0.23749163879599564</v>
      </c>
      <c r="O52" s="39">
        <f>W_g!O52/(rat_weight!O52/1000)*0.1578</f>
        <v>-5.277591973245347E-2</v>
      </c>
      <c r="P52" s="39">
        <f>W_g!P52/(rat_weight!P52/1000)*0.1578</f>
        <v>0</v>
      </c>
      <c r="Q52" s="39">
        <f>W_g!Q52/(rat_weight!Q52/1000)*0.1578</f>
        <v>-7.9163879598650205E-2</v>
      </c>
      <c r="R52" s="39">
        <f>W_g!R52/(rat_weight!R52/1000)*0.1578</f>
        <v>0.55414715719065644</v>
      </c>
      <c r="S52" s="39">
        <f>W_g!S52/(rat_weight!S52/1000)*0.1578</f>
        <v>0.10555183946487695</v>
      </c>
      <c r="T52" s="39">
        <f>W_g!T52/(rat_weight!T52/1000)*0.1578</f>
        <v>0.10555183946487695</v>
      </c>
    </row>
    <row r="53" spans="1:68" s="39" customFormat="1">
      <c r="A53" s="18">
        <v>52</v>
      </c>
      <c r="B53" s="39">
        <f>W_g!B53/(rat_weight!B53/1000)*0.1578</f>
        <v>2.4916365267320844E-14</v>
      </c>
      <c r="C53" s="39">
        <f>W_g!C53/(rat_weight!C53/1000)*0.1578</f>
        <v>0.17533333333332338</v>
      </c>
      <c r="D53" s="39">
        <f>W_g!D53/(rat_weight!D53/1000)*0.1578</f>
        <v>0.1315000000000299</v>
      </c>
      <c r="E53" s="39">
        <f>W_g!E53/(rat_weight!E53/1000)*0.1578</f>
        <v>0.13150000000000497</v>
      </c>
      <c r="F53" s="39">
        <f>W_g!F53/(rat_weight!F53/1000)*0.1578</f>
        <v>-2.4916365267320844E-14</v>
      </c>
      <c r="G53" s="39">
        <f>W_g!G53/(rat_weight!G53/1000)*0.1578</f>
        <v>8.8156424581000564E-2</v>
      </c>
      <c r="H53" s="39">
        <f>W_g!H53/(rat_weight!H53/1000)*0.1578</f>
        <v>8.8156424580975515E-2</v>
      </c>
      <c r="I53" s="39">
        <f>W_g!I53/(rat_weight!I53/1000)*0.1578</f>
        <v>-4.4078212290512821E-2</v>
      </c>
      <c r="J53" s="39">
        <f>W_g!J53/(rat_weight!J53/1000)*0.1578</f>
        <v>-8.8156424581000564E-2</v>
      </c>
      <c r="K53" s="39">
        <f>W_g!K53/(rat_weight!K53/1000)*0.1578</f>
        <v>0</v>
      </c>
      <c r="L53" s="39">
        <f>W_g!L53/(rat_weight!L53/1000)*0.1578</f>
        <v>4.407821229053787E-2</v>
      </c>
      <c r="M53" s="39">
        <f>W_g!M53/(rat_weight!M53/1000)*0.1578</f>
        <v>8.8156424581025641E-2</v>
      </c>
      <c r="N53" s="39">
        <f>W_g!N53/(rat_weight!N53/1000)*0.1578</f>
        <v>1.8072067039106496</v>
      </c>
      <c r="O53" s="39">
        <f>W_g!O53/(rat_weight!O53/1000)*0.1578</f>
        <v>0</v>
      </c>
      <c r="P53" s="39">
        <f>W_g!P53/(rat_weight!P53/1000)*0.1578</f>
        <v>0</v>
      </c>
      <c r="Q53" s="39">
        <f>W_g!Q53/(rat_weight!Q53/1000)*0.1578</f>
        <v>-0.12934426229506235</v>
      </c>
      <c r="R53" s="39">
        <f>W_g!R53/(rat_weight!R53/1000)*0.1578</f>
        <v>-4.3114754098345955E-2</v>
      </c>
      <c r="S53" s="39">
        <f>W_g!S53/(rat_weight!S53/1000)*0.1578</f>
        <v>0.43114754098360653</v>
      </c>
      <c r="T53" s="39">
        <f>W_g!T53/(rat_weight!T53/1000)*0.1578</f>
        <v>8.6229508196740925E-2</v>
      </c>
    </row>
    <row r="54" spans="1:68" s="39" customFormat="1">
      <c r="A54" s="18">
        <v>53</v>
      </c>
      <c r="B54" s="39">
        <f>W_g!B54/(rat_weight!B54/1000)*0.1578</f>
        <v>2.960600375236036E-2</v>
      </c>
      <c r="C54" s="39">
        <f>W_g!C54/(rat_weight!C54/1000)*0.1578</f>
        <v>0</v>
      </c>
      <c r="D54" s="39">
        <f>W_g!D54/(rat_weight!D54/1000)*0.1578</f>
        <v>-1.4803001876175972E-2</v>
      </c>
      <c r="E54" s="39">
        <f>W_g!E54/(rat_weight!E54/1000)*0.1578</f>
        <v>1.4803001876167558E-2</v>
      </c>
      <c r="F54" s="39">
        <f>W_g!F54/(rat_weight!F54/1000)*0.1578</f>
        <v>8.4145323604460632E-15</v>
      </c>
      <c r="G54" s="39">
        <f>W_g!G54/(rat_weight!G54/1000)*0.1578</f>
        <v>-8.3363303868359707E-15</v>
      </c>
      <c r="H54" s="39">
        <f>W_g!H54/(rat_weight!H54/1000)*0.1578</f>
        <v>2.9330855018594029E-2</v>
      </c>
      <c r="I54" s="39">
        <f>W_g!I54/(rat_weight!I54/1000)*0.1578</f>
        <v>1.466542750928034E-2</v>
      </c>
      <c r="J54" s="39">
        <f>W_g!J54/(rat_weight!J54/1000)*0.1578</f>
        <v>-8.3363303868359707E-15</v>
      </c>
      <c r="K54" s="39">
        <f>W_g!K54/(rat_weight!K54/1000)*0.1578</f>
        <v>0</v>
      </c>
      <c r="L54" s="39">
        <f>W_g!L54/(rat_weight!L54/1000)*0.1578</f>
        <v>1.4424131627051751E-2</v>
      </c>
      <c r="M54" s="39">
        <f>W_g!M54/(rat_weight!M54/1000)*0.1578</f>
        <v>2.8848263254119901E-2</v>
      </c>
      <c r="N54" s="39">
        <f>W_g!N54/(rat_weight!N54/1000)*0.1578</f>
        <v>7.212065813529156E-2</v>
      </c>
      <c r="O54" s="39">
        <f>W_g!O54/(rat_weight!O54/1000)*0.1578</f>
        <v>-1.6398339115604212E-14</v>
      </c>
      <c r="P54" s="39">
        <f>W_g!P54/(rat_weight!P54/1000)*0.1578</f>
        <v>-2.8848263254119901E-2</v>
      </c>
      <c r="Q54" s="39">
        <f>W_g!Q54/(rat_weight!Q54/1000)*0.1578</f>
        <v>-4.343119266054387E-2</v>
      </c>
      <c r="R54" s="39">
        <f>W_g!R54/(rat_weight!R54/1000)*0.1578</f>
        <v>4.34311926605521E-2</v>
      </c>
      <c r="S54" s="39">
        <f>W_g!S54/(rat_weight!S54/1000)*0.1578</f>
        <v>0</v>
      </c>
      <c r="T54" s="39">
        <f>W_g!T54/(rat_weight!T54/1000)*0.1578</f>
        <v>0</v>
      </c>
    </row>
    <row r="55" spans="1:68" s="39" customFormat="1">
      <c r="A55" s="18">
        <v>54</v>
      </c>
      <c r="B55" s="39">
        <f>W_g!B55/(rat_weight!B55/1000)*0.1578</f>
        <v>5.1737704918059256E-2</v>
      </c>
      <c r="C55" s="39">
        <f>W_g!C55/(rat_weight!C55/1000)*0.1578</f>
        <v>0.1034754098360597</v>
      </c>
      <c r="D55" s="39">
        <f>W_g!D55/(rat_weight!D55/1000)*0.1578</f>
        <v>2.5868852459022276E-2</v>
      </c>
      <c r="E55" s="39">
        <f>W_g!E55/(rat_weight!E55/1000)*0.1578</f>
        <v>2.5868852459007569E-2</v>
      </c>
      <c r="F55" s="39">
        <f>W_g!F55/(rat_weight!F55/1000)*0.1578</f>
        <v>5.1737704918059256E-2</v>
      </c>
      <c r="G55" s="39">
        <f>W_g!G55/(rat_weight!G55/1000)*0.1578</f>
        <v>-1.4704740157763123E-14</v>
      </c>
      <c r="H55" s="39">
        <f>W_g!H55/(rat_weight!H55/1000)*0.1578</f>
        <v>5.1737704918015139E-2</v>
      </c>
      <c r="I55" s="39">
        <f>W_g!I55/(rat_weight!I55/1000)*0.1578</f>
        <v>2.5868852459022276E-2</v>
      </c>
      <c r="J55" s="39">
        <f>W_g!J55/(rat_weight!J55/1000)*0.1578</f>
        <v>-1.4704740157763123E-14</v>
      </c>
      <c r="K55" s="39">
        <f>W_g!K55/(rat_weight!K55/1000)*0.1578</f>
        <v>0</v>
      </c>
      <c r="L55" s="39">
        <f>W_g!L55/(rat_weight!L55/1000)*0.1578</f>
        <v>-7.8377483443681881E-2</v>
      </c>
      <c r="M55" s="39">
        <f>W_g!M55/(rat_weight!M55/1000)*0.1578</f>
        <v>5.2251655629150955E-2</v>
      </c>
      <c r="N55" s="39">
        <f>W_g!N55/(rat_weight!N55/1000)*0.1578</f>
        <v>2.6125827814560625E-2</v>
      </c>
      <c r="O55" s="39">
        <f>W_g!O55/(rat_weight!O55/1000)*0.1578</f>
        <v>-5.2251655629150955E-2</v>
      </c>
      <c r="P55" s="39">
        <f>W_g!P55/(rat_weight!P55/1000)*0.1578</f>
        <v>0</v>
      </c>
      <c r="Q55" s="39">
        <f>W_g!Q55/(rat_weight!Q55/1000)*0.1578</f>
        <v>-7.7606557377037408E-2</v>
      </c>
      <c r="R55" s="39">
        <f>W_g!R55/(rat_weight!R55/1000)*0.1578</f>
        <v>2.586885245903698E-2</v>
      </c>
      <c r="S55" s="39">
        <f>W_g!S55/(rat_weight!S55/1000)*0.1578</f>
        <v>0.1034754098360597</v>
      </c>
      <c r="T55" s="39">
        <f>W_g!T55/(rat_weight!T55/1000)*0.1578</f>
        <v>0</v>
      </c>
    </row>
    <row r="56" spans="1:68" s="39" customFormat="1">
      <c r="A56" s="18">
        <v>55</v>
      </c>
      <c r="B56" s="39">
        <f>W_g!B56/(rat_weight!B56/1000)*0.1578</f>
        <v>-2.3481391351401842E-14</v>
      </c>
      <c r="C56" s="39">
        <f>W_g!C56/(rat_weight!C56/1000)*0.1578</f>
        <v>8.2617801047092251E-2</v>
      </c>
      <c r="D56" s="39">
        <f>W_g!D56/(rat_weight!D56/1000)*0.1578</f>
        <v>4.13089005235696E-2</v>
      </c>
      <c r="E56" s="39">
        <f>W_g!E56/(rat_weight!E56/1000)*0.1578</f>
        <v>-4.1308900523593081E-2</v>
      </c>
      <c r="F56" s="39">
        <f>W_g!F56/(rat_weight!F56/1000)*0.1578</f>
        <v>-2.3481391351401842E-14</v>
      </c>
      <c r="G56" s="39">
        <f>W_g!G56/(rat_weight!G56/1000)*0.1578</f>
        <v>-8.6229508196716417E-2</v>
      </c>
      <c r="H56" s="39">
        <f>W_g!H56/(rat_weight!H56/1000)*0.1578</f>
        <v>8.6229508196691909E-2</v>
      </c>
      <c r="I56" s="39">
        <f>W_g!I56/(rat_weight!I56/1000)*0.1578</f>
        <v>3.31983606557379</v>
      </c>
      <c r="J56" s="39">
        <f>W_g!J56/(rat_weight!J56/1000)*0.1578</f>
        <v>8.6229508196765434E-2</v>
      </c>
      <c r="K56" s="39">
        <f>W_g!K56/(rat_weight!K56/1000)*0.1578</f>
        <v>0</v>
      </c>
      <c r="L56" s="39">
        <f>W_g!L56/(rat_weight!L56/1000)*0.1578</f>
        <v>-4.1308900523499156E-2</v>
      </c>
      <c r="M56" s="39">
        <f>W_g!M56/(rat_weight!M56/1000)*0.1578</f>
        <v>1.9828272251309182</v>
      </c>
      <c r="N56" s="39">
        <f>W_g!N56/(rat_weight!N56/1000)*0.1578</f>
        <v>0.45439790575919514</v>
      </c>
      <c r="O56" s="39">
        <f>W_g!O56/(rat_weight!O56/1000)*0.1578</f>
        <v>0.16523560209423144</v>
      </c>
      <c r="P56" s="39">
        <f>W_g!P56/(rat_weight!P56/1000)*0.1578</f>
        <v>0</v>
      </c>
      <c r="Q56" s="39">
        <f>W_g!Q56/(rat_weight!Q56/1000)*0.1578</f>
        <v>0.77673575129537387</v>
      </c>
      <c r="R56" s="39">
        <f>W_g!R56/(rat_weight!R56/1000)*0.1578</f>
        <v>1.1037823834196845</v>
      </c>
      <c r="S56" s="39">
        <f>W_g!S56/(rat_weight!S56/1000)*0.1578</f>
        <v>0.73585492227977423</v>
      </c>
      <c r="T56" s="39">
        <f>W_g!T56/(rat_weight!T56/1000)*0.1578</f>
        <v>0.24528497409322705</v>
      </c>
    </row>
    <row r="57" spans="1:68" s="39" customFormat="1">
      <c r="A57" s="18">
        <v>56</v>
      </c>
      <c r="B57" s="39">
        <f>W_g!B57/(rat_weight!B57/1000)*0.1578</f>
        <v>4.738738738738469E-2</v>
      </c>
      <c r="C57" s="39">
        <f>W_g!C57/(rat_weight!C57/1000)*0.1578</f>
        <v>4.7387387387371228E-2</v>
      </c>
      <c r="D57" s="39">
        <f>W_g!D57/(rat_weight!D57/1000)*0.1578</f>
        <v>-2.3693693693699079E-2</v>
      </c>
      <c r="E57" s="39">
        <f>W_g!E57/(rat_weight!E57/1000)*0.1578</f>
        <v>2.3693693693685614E-2</v>
      </c>
      <c r="F57" s="39">
        <f>W_g!F57/(rat_weight!F57/1000)*0.1578</f>
        <v>-1.3468305549903158E-14</v>
      </c>
      <c r="G57" s="39">
        <f>W_g!G57/(rat_weight!G57/1000)*0.1578</f>
        <v>-4.738738738738469E-2</v>
      </c>
      <c r="H57" s="39">
        <f>W_g!H57/(rat_weight!H57/1000)*0.1578</f>
        <v>0</v>
      </c>
      <c r="I57" s="39">
        <f>W_g!I57/(rat_weight!I57/1000)*0.1578</f>
        <v>-2.3693693693699079E-2</v>
      </c>
      <c r="J57" s="39">
        <f>W_g!J57/(rat_weight!J57/1000)*0.1578</f>
        <v>-4.738738738738469E-2</v>
      </c>
      <c r="K57" s="39">
        <f>W_g!K57/(rat_weight!K57/1000)*0.1578</f>
        <v>0</v>
      </c>
      <c r="L57" s="39">
        <f>W_g!L57/(rat_weight!L57/1000)*0.1578</f>
        <v>-6.9413489736046705E-2</v>
      </c>
      <c r="M57" s="39">
        <f>W_g!M57/(rat_weight!M57/1000)*0.1578</f>
        <v>4.6275659824057437E-2</v>
      </c>
      <c r="N57" s="39">
        <f>W_g!N57/(rat_weight!N57/1000)*0.1578</f>
        <v>2.3137829912015569E-2</v>
      </c>
      <c r="O57" s="39">
        <f>W_g!O57/(rat_weight!O57/1000)*0.1578</f>
        <v>0</v>
      </c>
      <c r="P57" s="39">
        <f>W_g!P57/(rat_weight!P57/1000)*0.1578</f>
        <v>-4.6275659824031139E-2</v>
      </c>
      <c r="Q57" s="39">
        <f>W_g!Q57/(rat_weight!Q57/1000)*0.1578</f>
        <v>-2.300291545187412E-2</v>
      </c>
      <c r="R57" s="39">
        <f>W_g!R57/(rat_weight!R57/1000)*0.1578</f>
        <v>-2.3002915451887197E-2</v>
      </c>
      <c r="S57" s="39">
        <f>W_g!S57/(rat_weight!S57/1000)*0.1578</f>
        <v>0</v>
      </c>
      <c r="T57" s="39">
        <f>W_g!T57/(rat_weight!T57/1000)*0.1578</f>
        <v>0</v>
      </c>
    </row>
    <row r="58" spans="1:68" s="39" customFormat="1">
      <c r="A58" s="18">
        <v>57</v>
      </c>
      <c r="B58" s="39">
        <f>W_g!B58/(rat_weight!B58/1000)*0.1578</f>
        <v>0.21855955678669117</v>
      </c>
      <c r="C58" s="39">
        <f>W_g!C58/(rat_weight!C58/1000)*0.1578</f>
        <v>0</v>
      </c>
      <c r="D58" s="39">
        <f>W_g!D58/(rat_weight!D58/1000)*0.1578</f>
        <v>-2.1855955678675328E-2</v>
      </c>
      <c r="E58" s="39">
        <f>W_g!E58/(rat_weight!E58/1000)*0.1578</f>
        <v>2.1855955678662907E-2</v>
      </c>
      <c r="F58" s="39">
        <f>W_g!F58/(rat_weight!F58/1000)*0.1578</f>
        <v>0.21855955678669117</v>
      </c>
      <c r="G58" s="39">
        <f>W_g!G58/(rat_weight!G58/1000)*0.1578</f>
        <v>1.2088802555573455E-14</v>
      </c>
      <c r="H58" s="39">
        <f>W_g!H58/(rat_weight!H58/1000)*0.1578</f>
        <v>0.21266846361185981</v>
      </c>
      <c r="I58" s="39">
        <f>W_g!I58/(rat_weight!I58/1000)*0.1578</f>
        <v>2.1266846361166641E-2</v>
      </c>
      <c r="J58" s="39">
        <f>W_g!J58/(rat_weight!J58/1000)*0.1578</f>
        <v>0.17013477088949028</v>
      </c>
      <c r="K58" s="39">
        <f>W_g!K58/(rat_weight!K58/1000)*0.1578</f>
        <v>4.2533692722381632E-2</v>
      </c>
      <c r="L58" s="39">
        <f>W_g!L58/(rat_weight!L58/1000)*0.1578</f>
        <v>0.53893442622952048</v>
      </c>
      <c r="M58" s="39">
        <f>W_g!M58/(rat_weight!M58/1000)*0.1578</f>
        <v>4.3114754098370463E-2</v>
      </c>
      <c r="N58" s="39">
        <f>W_g!N58/(rat_weight!N58/1000)*0.1578</f>
        <v>0.40959016393443359</v>
      </c>
      <c r="O58" s="39">
        <f>W_g!O58/(rat_weight!O58/1000)*0.1578</f>
        <v>4.3114754098345955E-2</v>
      </c>
      <c r="P58" s="39">
        <f>W_g!P58/(rat_weight!P58/1000)*0.1578</f>
        <v>0</v>
      </c>
      <c r="Q58" s="39">
        <f>W_g!Q58/(rat_weight!Q58/1000)*0.1578</f>
        <v>0.41297520661156534</v>
      </c>
      <c r="R58" s="39">
        <f>W_g!R58/(rat_weight!R58/1000)*0.1578</f>
        <v>-2.1735537190075229E-2</v>
      </c>
      <c r="S58" s="39">
        <f>W_g!S58/(rat_weight!S58/1000)*0.1578</f>
        <v>0.1304132231405008</v>
      </c>
      <c r="T58" s="39">
        <f>W_g!T58/(rat_weight!T58/1000)*0.1578</f>
        <v>0.17388429752065127</v>
      </c>
    </row>
    <row r="59" spans="1:68" s="39" customFormat="1">
      <c r="A59" s="18">
        <v>58</v>
      </c>
      <c r="B59" s="39">
        <f>W_g!B59/(rat_weight!B59/1000)*0.1578</f>
        <v>0.40987012987012839</v>
      </c>
      <c r="C59" s="39">
        <f>W_g!C59/(rat_weight!C59/1000)*0.1578</f>
        <v>0.38425324675324674</v>
      </c>
      <c r="D59" s="39">
        <f>W_g!D59/(rat_weight!D59/1000)*0.1578</f>
        <v>0.75569805194804907</v>
      </c>
      <c r="E59" s="39">
        <f>W_g!E59/(rat_weight!E59/1000)*0.1578</f>
        <v>6.4042207792200517E-2</v>
      </c>
      <c r="F59" s="39">
        <f>W_g!F59/(rat_weight!F59/1000)*0.1578</f>
        <v>0.69165584415584846</v>
      </c>
      <c r="G59" s="39">
        <f>W_g!G59/(rat_weight!G59/1000)*0.1578</f>
        <v>0.68608695652174345</v>
      </c>
      <c r="H59" s="39">
        <f>W_g!H59/(rat_weight!H59/1000)*0.1578</f>
        <v>0.40657004830918453</v>
      </c>
      <c r="I59" s="39">
        <f>W_g!I59/(rat_weight!I59/1000)*0.1578</f>
        <v>0.39386473429950536</v>
      </c>
      <c r="J59" s="39">
        <f>W_g!J59/(rat_weight!J59/1000)*0.1578</f>
        <v>0.38115942028986227</v>
      </c>
      <c r="K59" s="39">
        <f>W_g!K59/(rat_weight!K59/1000)*0.1578</f>
        <v>0.86396135265701346</v>
      </c>
      <c r="L59" s="39">
        <f>W_g!L59/(rat_weight!L59/1000)*0.1578</f>
        <v>0.89487220447283911</v>
      </c>
      <c r="M59" s="39">
        <f>W_g!M59/(rat_weight!M59/1000)*0.1578</f>
        <v>0.20166134185305234</v>
      </c>
      <c r="N59" s="39">
        <f>W_g!N59/(rat_weight!N59/1000)*0.1578</f>
        <v>0.81924920127794809</v>
      </c>
      <c r="O59" s="39">
        <f>W_g!O59/(rat_weight!O59/1000)*0.1578</f>
        <v>0.30249201277954985</v>
      </c>
      <c r="P59" s="39">
        <f>W_g!P59/(rat_weight!P59/1000)*0.1578</f>
        <v>0.30249201277954985</v>
      </c>
      <c r="Q59" s="39">
        <f>W_g!Q59/(rat_weight!Q59/1000)*0.1578</f>
        <v>0.2625832012678459</v>
      </c>
      <c r="R59" s="39">
        <f>W_g!R59/(rat_weight!R59/1000)*0.1578</f>
        <v>0.13754358161649172</v>
      </c>
      <c r="S59" s="39">
        <f>W_g!S59/(rat_weight!S59/1000)*0.1578</f>
        <v>0.80025356576863249</v>
      </c>
      <c r="T59" s="39">
        <f>W_g!T59/(rat_weight!T59/1000)*0.1578</f>
        <v>0.22507131537241903</v>
      </c>
    </row>
    <row r="60" spans="1:68" s="39" customFormat="1">
      <c r="A60" s="18">
        <v>59</v>
      </c>
      <c r="B60" s="39">
        <f>W_g!B60/(rat_weight!B60/1000)*0.1578</f>
        <v>-1.6368415139115881E-14</v>
      </c>
      <c r="C60" s="39">
        <f>W_g!C60/(rat_weight!C60/1000)*0.1578</f>
        <v>0</v>
      </c>
      <c r="D60" s="39">
        <f>W_g!D60/(rat_weight!D60/1000)*0.1578</f>
        <v>-2.8795620437962747E-2</v>
      </c>
      <c r="E60" s="39">
        <f>W_g!E60/(rat_weight!E60/1000)*0.1578</f>
        <v>-2.8795620437979119E-2</v>
      </c>
      <c r="F60" s="39">
        <f>W_g!F60/(rat_weight!F60/1000)*0.1578</f>
        <v>5.7591240875909132E-2</v>
      </c>
      <c r="G60" s="39">
        <f>W_g!G60/(rat_weight!G60/1000)*0.1578</f>
        <v>0.11191489361703083</v>
      </c>
      <c r="H60" s="39">
        <f>W_g!H60/(rat_weight!H60/1000)*0.1578</f>
        <v>5.5957446808523367E-2</v>
      </c>
      <c r="I60" s="39">
        <f>W_g!I60/(rat_weight!I60/1000)*0.1578</f>
        <v>-2.7978723404261684E-2</v>
      </c>
      <c r="J60" s="39">
        <f>W_g!J60/(rat_weight!J60/1000)*0.1578</f>
        <v>1.5904062936587774E-14</v>
      </c>
      <c r="K60" s="39">
        <f>W_g!K60/(rat_weight!K60/1000)*0.1578</f>
        <v>0.11191489361701491</v>
      </c>
      <c r="L60" s="39">
        <f>W_g!L60/(rat_weight!L60/1000)*0.1578</f>
        <v>-8.607272727273052E-2</v>
      </c>
      <c r="M60" s="39">
        <f>W_g!M60/(rat_weight!M60/1000)*0.1578</f>
        <v>5.7381818181831225E-2</v>
      </c>
      <c r="N60" s="39">
        <f>W_g!N60/(rat_weight!N60/1000)*0.1578</f>
        <v>2.8690909090931919E-2</v>
      </c>
      <c r="O60" s="39">
        <f>W_g!O60/(rat_weight!O60/1000)*0.1578</f>
        <v>-3.2617787259038197E-14</v>
      </c>
      <c r="P60" s="39">
        <f>W_g!P60/(rat_weight!P60/1000)*0.1578</f>
        <v>0</v>
      </c>
      <c r="Q60" s="39">
        <f>W_g!Q60/(rat_weight!Q60/1000)*0.1578</f>
        <v>-2.8586956521713128E-2</v>
      </c>
      <c r="R60" s="39">
        <f>W_g!R60/(rat_weight!R60/1000)*0.1578</f>
        <v>-2.8586956521729375E-2</v>
      </c>
      <c r="S60" s="39">
        <f>W_g!S60/(rat_weight!S60/1000)*0.1578</f>
        <v>5.717391304345875E-2</v>
      </c>
      <c r="T60" s="39">
        <f>W_g!T60/(rat_weight!T60/1000)*0.1578</f>
        <v>0</v>
      </c>
    </row>
    <row r="61" spans="1:68" s="43" customFormat="1">
      <c r="A61" s="21">
        <v>60</v>
      </c>
      <c r="B61" s="39">
        <f>W_g!B61/(rat_weight!B61/1000)*0.1578</f>
        <v>-7.5377239464163909E-15</v>
      </c>
      <c r="C61" s="39">
        <f>W_g!C61/(rat_weight!C61/1000)*0.1578</f>
        <v>5.3042016806719681E-2</v>
      </c>
      <c r="D61" s="39">
        <f>W_g!D61/(rat_weight!D61/1000)*0.1578</f>
        <v>1.3260504201668613E-2</v>
      </c>
      <c r="E61" s="39">
        <f>W_g!E61/(rat_weight!E61/1000)*0.1578</f>
        <v>1.3260504201676151E-2</v>
      </c>
      <c r="F61" s="39">
        <f>W_g!F61/(rat_weight!F61/1000)*0.1578</f>
        <v>-7.5377239464163909E-15</v>
      </c>
      <c r="G61" s="39">
        <f>W_g!G61/(rat_weight!G61/1000)*0.1578</f>
        <v>-7.4377209753196562E-15</v>
      </c>
      <c r="H61" s="39">
        <f>W_g!H61/(rat_weight!H61/1000)*0.1578</f>
        <v>0</v>
      </c>
      <c r="I61" s="39">
        <f>W_g!I61/(rat_weight!I61/1000)*0.1578</f>
        <v>-1.3084577114430836E-2</v>
      </c>
      <c r="J61" s="39">
        <f>W_g!J61/(rat_weight!J61/1000)*0.1578</f>
        <v>-7.4377209753196562E-15</v>
      </c>
      <c r="K61" s="39">
        <f>W_g!K61/(rat_weight!K61/1000)*0.1578</f>
        <v>-2.6169154228861673E-2</v>
      </c>
      <c r="L61" s="39">
        <f>W_g!L61/(rat_weight!L61/1000)*0.1578</f>
        <v>-3.9123966942150243E-2</v>
      </c>
      <c r="M61" s="39">
        <f>W_g!M61/(rat_weight!M61/1000)*0.1578</f>
        <v>2.6082644628105105E-2</v>
      </c>
      <c r="N61" s="39">
        <f>W_g!N61/(rat_weight!N61/1000)*0.1578</f>
        <v>3.9123966942150243E-2</v>
      </c>
      <c r="O61" s="39">
        <f>W_g!O61/(rat_weight!O61/1000)*0.1578</f>
        <v>-2.6082644628105105E-2</v>
      </c>
      <c r="P61" s="39">
        <f>W_g!P61/(rat_weight!P61/1000)*0.1578</f>
        <v>0</v>
      </c>
      <c r="Q61" s="39">
        <f>W_g!Q61/(rat_weight!Q61/1000)*0.1578</f>
        <v>-3.8676470588229428E-2</v>
      </c>
      <c r="R61" s="39">
        <f>W_g!R61/(rat_weight!R61/1000)*0.1578</f>
        <v>-1.28921568627407E-2</v>
      </c>
      <c r="S61" s="39">
        <f>W_g!S61/(rat_weight!S61/1000)*0.1578</f>
        <v>0</v>
      </c>
      <c r="T61" s="39">
        <f>W_g!T61/(rat_weight!T61/1000)*0.1578</f>
        <v>0</v>
      </c>
    </row>
    <row r="62" spans="1:68">
      <c r="B62" s="6"/>
      <c r="C62" s="6"/>
      <c r="D62" s="6"/>
      <c r="E62" s="6"/>
      <c r="F62" s="27"/>
      <c r="G62" s="6"/>
      <c r="H62" s="6"/>
      <c r="I62" s="6"/>
      <c r="J62" s="6"/>
      <c r="K62" s="27"/>
      <c r="L62" s="6"/>
      <c r="M62" s="6"/>
      <c r="N62" s="6"/>
      <c r="O62" s="6"/>
      <c r="P62" s="27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</row>
    <row r="63" spans="1:68">
      <c r="B63" s="6"/>
      <c r="C63" s="6"/>
      <c r="D63" s="6"/>
      <c r="E63" s="6"/>
      <c r="F63" s="27"/>
      <c r="G63" s="6"/>
      <c r="H63" s="6"/>
      <c r="I63" s="6"/>
      <c r="J63" s="6"/>
      <c r="K63" s="27"/>
      <c r="L63" s="6"/>
      <c r="M63" s="6"/>
      <c r="N63" s="6"/>
      <c r="O63" s="6"/>
      <c r="P63" s="27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</row>
    <row r="64" spans="1:68">
      <c r="B64" s="6"/>
      <c r="C64" s="6"/>
      <c r="D64" s="6"/>
      <c r="E64" s="6"/>
      <c r="F64" s="27"/>
      <c r="G64" s="6"/>
      <c r="H64" s="6"/>
      <c r="I64" s="6"/>
      <c r="J64" s="6"/>
      <c r="K64" s="27"/>
      <c r="L64" s="6"/>
      <c r="M64" s="6"/>
      <c r="N64" s="6"/>
      <c r="O64" s="6"/>
      <c r="P64" s="27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</row>
    <row r="65" spans="2:68">
      <c r="B65" s="6"/>
      <c r="C65" s="6"/>
      <c r="D65" s="6"/>
      <c r="E65" s="6"/>
      <c r="F65" s="27"/>
      <c r="G65" s="6"/>
      <c r="H65" s="6"/>
      <c r="I65" s="6"/>
      <c r="J65" s="6"/>
      <c r="K65" s="27"/>
      <c r="L65" s="6"/>
      <c r="M65" s="6"/>
      <c r="N65" s="6"/>
      <c r="O65" s="6"/>
      <c r="P65" s="27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</row>
    <row r="66" spans="2:68">
      <c r="B66" s="6"/>
      <c r="C66" s="6"/>
      <c r="D66" s="6"/>
      <c r="E66" s="6"/>
      <c r="F66" s="27"/>
      <c r="G66" s="6"/>
      <c r="H66" s="6"/>
      <c r="I66" s="6"/>
      <c r="J66" s="6"/>
      <c r="K66" s="27"/>
      <c r="L66" s="6"/>
      <c r="M66" s="6"/>
      <c r="N66" s="6"/>
      <c r="O66" s="6"/>
      <c r="P66" s="27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</row>
    <row r="67" spans="2:68">
      <c r="B67" s="6"/>
      <c r="C67" s="6"/>
      <c r="D67" s="6"/>
      <c r="E67" s="6"/>
      <c r="F67" s="27"/>
      <c r="G67" s="6"/>
      <c r="H67" s="6"/>
      <c r="I67" s="6"/>
      <c r="J67" s="6"/>
      <c r="K67" s="27"/>
      <c r="L67" s="6"/>
      <c r="M67" s="6"/>
      <c r="N67" s="6"/>
      <c r="O67" s="6"/>
      <c r="P67" s="27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</row>
    <row r="68" spans="2:68">
      <c r="B68" s="6"/>
      <c r="C68" s="6"/>
      <c r="D68" s="6"/>
      <c r="E68" s="6"/>
      <c r="F68" s="27"/>
      <c r="G68" s="6"/>
      <c r="H68" s="6"/>
      <c r="I68" s="6"/>
      <c r="J68" s="6"/>
      <c r="K68" s="27"/>
      <c r="L68" s="6"/>
      <c r="M68" s="6"/>
      <c r="N68" s="6"/>
      <c r="O68" s="6"/>
      <c r="P68" s="27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</row>
    <row r="69" spans="2:68">
      <c r="B69" s="6"/>
      <c r="C69" s="6"/>
      <c r="D69" s="6"/>
      <c r="E69" s="6"/>
      <c r="F69" s="27"/>
      <c r="G69" s="6"/>
      <c r="H69" s="6"/>
      <c r="I69" s="6"/>
      <c r="J69" s="6"/>
      <c r="K69" s="27"/>
      <c r="L69" s="6"/>
      <c r="M69" s="6"/>
      <c r="N69" s="6"/>
      <c r="O69" s="6"/>
      <c r="P69" s="27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</row>
    <row r="70" spans="2:68">
      <c r="B70" s="6"/>
      <c r="C70" s="6"/>
      <c r="D70" s="6"/>
      <c r="E70" s="6"/>
      <c r="F70" s="27"/>
      <c r="G70" s="6"/>
      <c r="H70" s="6"/>
      <c r="I70" s="6"/>
      <c r="J70" s="6"/>
      <c r="K70" s="27"/>
      <c r="L70" s="6"/>
      <c r="M70" s="6"/>
      <c r="N70" s="6"/>
      <c r="O70" s="6"/>
      <c r="P70" s="27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</row>
    <row r="71" spans="2:68">
      <c r="B71" s="6"/>
      <c r="C71" s="6"/>
      <c r="D71" s="6"/>
      <c r="E71" s="6"/>
      <c r="F71" s="27"/>
      <c r="G71" s="6"/>
      <c r="H71" s="6"/>
      <c r="I71" s="6"/>
      <c r="J71" s="6"/>
      <c r="K71" s="27"/>
      <c r="L71" s="6"/>
      <c r="M71" s="6"/>
      <c r="N71" s="6"/>
      <c r="O71" s="6"/>
      <c r="P71" s="27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</row>
    <row r="72" spans="2:68">
      <c r="B72" s="6"/>
      <c r="C72" s="6"/>
      <c r="D72" s="6"/>
      <c r="E72" s="6"/>
      <c r="F72" s="27"/>
      <c r="G72" s="6"/>
      <c r="H72" s="6"/>
      <c r="I72" s="6"/>
      <c r="J72" s="6"/>
      <c r="K72" s="27"/>
      <c r="L72" s="6"/>
      <c r="M72" s="6"/>
      <c r="N72" s="6"/>
      <c r="O72" s="6"/>
      <c r="P72" s="27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</row>
    <row r="73" spans="2:68">
      <c r="B73" s="6"/>
      <c r="C73" s="6"/>
      <c r="D73" s="6"/>
      <c r="E73" s="6"/>
      <c r="F73" s="27"/>
      <c r="G73" s="6"/>
      <c r="H73" s="6"/>
      <c r="I73" s="6"/>
      <c r="J73" s="6"/>
      <c r="K73" s="27"/>
      <c r="L73" s="6"/>
      <c r="M73" s="6"/>
      <c r="N73" s="6"/>
      <c r="O73" s="6"/>
      <c r="P73" s="27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</row>
    <row r="74" spans="2:68">
      <c r="B74" s="6"/>
      <c r="C74" s="6"/>
      <c r="D74" s="6"/>
      <c r="E74" s="6"/>
      <c r="F74" s="27"/>
      <c r="G74" s="6"/>
      <c r="H74" s="6"/>
      <c r="I74" s="6"/>
      <c r="J74" s="6"/>
      <c r="K74" s="27"/>
      <c r="L74" s="6"/>
      <c r="M74" s="6"/>
      <c r="N74" s="6"/>
      <c r="O74" s="6"/>
      <c r="P74" s="27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</row>
    <row r="75" spans="2:68">
      <c r="B75" s="6"/>
      <c r="C75" s="6"/>
      <c r="D75" s="6"/>
      <c r="E75" s="6"/>
      <c r="F75" s="27"/>
      <c r="G75" s="6"/>
      <c r="H75" s="6"/>
      <c r="I75" s="6"/>
      <c r="J75" s="6"/>
      <c r="K75" s="27"/>
      <c r="L75" s="6"/>
      <c r="M75" s="6"/>
      <c r="N75" s="6"/>
      <c r="O75" s="6"/>
      <c r="P75" s="27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</row>
    <row r="76" spans="2:68">
      <c r="B76" s="6"/>
      <c r="C76" s="6"/>
      <c r="D76" s="6"/>
      <c r="E76" s="6"/>
      <c r="F76" s="27"/>
      <c r="G76" s="6"/>
      <c r="H76" s="6"/>
      <c r="I76" s="6"/>
      <c r="J76" s="6"/>
      <c r="K76" s="27"/>
      <c r="L76" s="6"/>
      <c r="M76" s="6"/>
      <c r="N76" s="6"/>
      <c r="O76" s="6"/>
      <c r="P76" s="27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</row>
    <row r="77" spans="2:68">
      <c r="B77" s="6"/>
      <c r="C77" s="6"/>
      <c r="D77" s="6"/>
      <c r="E77" s="6"/>
      <c r="F77" s="27"/>
      <c r="G77" s="6"/>
      <c r="H77" s="6"/>
      <c r="I77" s="6"/>
      <c r="J77" s="6"/>
      <c r="K77" s="27"/>
      <c r="L77" s="6"/>
      <c r="M77" s="6"/>
      <c r="N77" s="6"/>
      <c r="O77" s="6"/>
      <c r="P77" s="27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</row>
    <row r="78" spans="2:68">
      <c r="B78" s="6"/>
      <c r="C78" s="6"/>
      <c r="D78" s="6"/>
      <c r="E78" s="6"/>
      <c r="F78" s="27"/>
      <c r="G78" s="6"/>
      <c r="H78" s="6"/>
      <c r="I78" s="6"/>
      <c r="J78" s="6"/>
      <c r="K78" s="27"/>
      <c r="L78" s="6"/>
      <c r="M78" s="6"/>
      <c r="N78" s="6"/>
      <c r="O78" s="6"/>
      <c r="P78" s="27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</row>
    <row r="79" spans="2:68">
      <c r="B79" s="6"/>
      <c r="C79" s="6"/>
      <c r="D79" s="6"/>
      <c r="E79" s="6"/>
      <c r="F79" s="27"/>
      <c r="G79" s="6"/>
      <c r="H79" s="6"/>
      <c r="I79" s="6"/>
      <c r="J79" s="6"/>
      <c r="K79" s="27"/>
      <c r="L79" s="6"/>
      <c r="M79" s="6"/>
      <c r="N79" s="6"/>
      <c r="O79" s="6"/>
      <c r="P79" s="27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</row>
    <row r="80" spans="2:68">
      <c r="B80" s="6"/>
      <c r="C80" s="6"/>
      <c r="D80" s="6"/>
      <c r="E80" s="6"/>
      <c r="F80" s="27"/>
      <c r="G80" s="6"/>
      <c r="H80" s="6"/>
      <c r="I80" s="6"/>
      <c r="J80" s="6"/>
      <c r="K80" s="27"/>
      <c r="L80" s="6"/>
      <c r="M80" s="6"/>
      <c r="N80" s="6"/>
      <c r="O80" s="6"/>
      <c r="P80" s="27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</row>
    <row r="81" spans="2:68">
      <c r="B81" s="6"/>
      <c r="C81" s="6"/>
      <c r="D81" s="6"/>
      <c r="E81" s="6"/>
      <c r="F81" s="27"/>
      <c r="G81" s="6"/>
      <c r="H81" s="6"/>
      <c r="I81" s="6"/>
      <c r="J81" s="6"/>
      <c r="K81" s="27"/>
      <c r="L81" s="6"/>
      <c r="M81" s="6"/>
      <c r="N81" s="6"/>
      <c r="O81" s="6"/>
      <c r="P81" s="27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</row>
    <row r="82" spans="2:68">
      <c r="B82" s="6"/>
      <c r="C82" s="6"/>
      <c r="D82" s="6"/>
      <c r="E82" s="6"/>
      <c r="F82" s="27"/>
      <c r="G82" s="6"/>
      <c r="H82" s="6"/>
      <c r="I82" s="6"/>
      <c r="J82" s="6"/>
      <c r="K82" s="27"/>
      <c r="L82" s="6"/>
      <c r="M82" s="6"/>
      <c r="N82" s="6"/>
      <c r="O82" s="6"/>
      <c r="P82" s="27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</row>
    <row r="83" spans="2:68">
      <c r="B83" s="6"/>
      <c r="C83" s="6"/>
      <c r="D83" s="6"/>
      <c r="E83" s="6"/>
      <c r="F83" s="27"/>
      <c r="G83" s="6"/>
      <c r="H83" s="6"/>
      <c r="I83" s="6"/>
      <c r="J83" s="6"/>
      <c r="K83" s="27"/>
      <c r="L83" s="6"/>
      <c r="M83" s="6"/>
      <c r="N83" s="6"/>
      <c r="O83" s="6"/>
      <c r="P83" s="27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</row>
    <row r="84" spans="2:68">
      <c r="B84" s="6"/>
      <c r="C84" s="6"/>
      <c r="D84" s="6"/>
      <c r="E84" s="6"/>
      <c r="F84" s="27"/>
      <c r="G84" s="6"/>
      <c r="H84" s="6"/>
      <c r="I84" s="6"/>
      <c r="J84" s="6"/>
      <c r="K84" s="27"/>
      <c r="L84" s="6"/>
      <c r="M84" s="6"/>
      <c r="N84" s="6"/>
      <c r="O84" s="6"/>
      <c r="P84" s="27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</row>
    <row r="85" spans="2:68">
      <c r="B85" s="6"/>
      <c r="C85" s="6"/>
      <c r="D85" s="6"/>
      <c r="E85" s="6"/>
      <c r="F85" s="27"/>
      <c r="G85" s="6"/>
      <c r="H85" s="6"/>
      <c r="I85" s="6"/>
      <c r="J85" s="6"/>
      <c r="K85" s="27"/>
      <c r="L85" s="6"/>
      <c r="M85" s="6"/>
      <c r="N85" s="6"/>
      <c r="O85" s="6"/>
      <c r="P85" s="27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</row>
    <row r="86" spans="2:68">
      <c r="B86" s="6"/>
      <c r="C86" s="6"/>
      <c r="D86" s="6"/>
      <c r="E86" s="6"/>
      <c r="F86" s="27"/>
      <c r="G86" s="6"/>
      <c r="H86" s="6"/>
      <c r="I86" s="6"/>
      <c r="J86" s="6"/>
      <c r="K86" s="27"/>
      <c r="L86" s="6"/>
      <c r="M86" s="6"/>
      <c r="N86" s="6"/>
      <c r="O86" s="6"/>
      <c r="P86" s="27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</row>
    <row r="87" spans="2:68">
      <c r="B87" s="6"/>
      <c r="C87" s="6"/>
      <c r="D87" s="6"/>
      <c r="E87" s="6"/>
      <c r="F87" s="27"/>
      <c r="G87" s="6"/>
      <c r="H87" s="6"/>
      <c r="I87" s="6"/>
      <c r="J87" s="6"/>
      <c r="K87" s="27"/>
      <c r="L87" s="6"/>
      <c r="M87" s="6"/>
      <c r="N87" s="6"/>
      <c r="O87" s="6"/>
      <c r="P87" s="27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</row>
    <row r="88" spans="2:68">
      <c r="B88" s="6"/>
      <c r="C88" s="6"/>
      <c r="D88" s="6"/>
      <c r="E88" s="6"/>
      <c r="F88" s="27"/>
      <c r="G88" s="6"/>
      <c r="H88" s="6"/>
      <c r="I88" s="6"/>
      <c r="J88" s="6"/>
      <c r="K88" s="27"/>
      <c r="L88" s="6"/>
      <c r="M88" s="6"/>
      <c r="N88" s="6"/>
      <c r="O88" s="6"/>
      <c r="P88" s="27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</row>
    <row r="89" spans="2:68">
      <c r="B89" s="6"/>
      <c r="C89" s="6"/>
      <c r="D89" s="6"/>
      <c r="E89" s="6"/>
      <c r="F89" s="27"/>
      <c r="G89" s="6"/>
      <c r="H89" s="6"/>
      <c r="I89" s="6"/>
      <c r="J89" s="6"/>
      <c r="K89" s="27"/>
      <c r="L89" s="6"/>
      <c r="M89" s="6"/>
      <c r="N89" s="6"/>
      <c r="O89" s="6"/>
      <c r="P89" s="27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</row>
    <row r="90" spans="2:68">
      <c r="B90" s="6"/>
      <c r="C90" s="6"/>
      <c r="D90" s="6"/>
      <c r="E90" s="6"/>
      <c r="F90" s="27"/>
      <c r="G90" s="6"/>
      <c r="H90" s="6"/>
      <c r="I90" s="6"/>
      <c r="J90" s="6"/>
      <c r="K90" s="27"/>
      <c r="L90" s="6"/>
      <c r="M90" s="6"/>
      <c r="N90" s="6"/>
      <c r="O90" s="6"/>
      <c r="P90" s="27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</row>
    <row r="91" spans="2:68">
      <c r="B91" s="6"/>
      <c r="C91" s="6"/>
      <c r="D91" s="6"/>
      <c r="E91" s="6"/>
      <c r="F91" s="27"/>
      <c r="G91" s="6"/>
      <c r="H91" s="6"/>
      <c r="I91" s="6"/>
      <c r="J91" s="6"/>
      <c r="K91" s="27"/>
      <c r="L91" s="6"/>
      <c r="M91" s="6"/>
      <c r="N91" s="6"/>
      <c r="O91" s="6"/>
      <c r="P91" s="27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</row>
    <row r="92" spans="2:68">
      <c r="B92" s="6"/>
      <c r="C92" s="6"/>
      <c r="D92" s="6"/>
      <c r="E92" s="6"/>
      <c r="F92" s="27"/>
      <c r="G92" s="6"/>
      <c r="H92" s="6"/>
      <c r="I92" s="6"/>
      <c r="J92" s="6"/>
      <c r="K92" s="27"/>
      <c r="L92" s="6"/>
      <c r="M92" s="6"/>
      <c r="N92" s="6"/>
      <c r="O92" s="6"/>
      <c r="P92" s="27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</row>
    <row r="93" spans="2:68">
      <c r="B93" s="6"/>
      <c r="C93" s="6"/>
      <c r="D93" s="6"/>
      <c r="E93" s="6"/>
      <c r="F93" s="27"/>
      <c r="G93" s="6"/>
      <c r="H93" s="6"/>
      <c r="I93" s="6"/>
      <c r="J93" s="6"/>
      <c r="K93" s="27"/>
      <c r="L93" s="6"/>
      <c r="M93" s="6"/>
      <c r="N93" s="6"/>
      <c r="O93" s="6"/>
      <c r="P93" s="27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</row>
    <row r="94" spans="2:68">
      <c r="B94" s="6"/>
      <c r="C94" s="6"/>
      <c r="D94" s="6"/>
      <c r="E94" s="6"/>
      <c r="F94" s="27"/>
      <c r="G94" s="6"/>
      <c r="H94" s="6"/>
      <c r="I94" s="6"/>
      <c r="J94" s="6"/>
      <c r="K94" s="27"/>
      <c r="L94" s="6"/>
      <c r="M94" s="6"/>
      <c r="N94" s="6"/>
      <c r="O94" s="6"/>
      <c r="P94" s="27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</row>
    <row r="95" spans="2:68">
      <c r="B95" s="6"/>
      <c r="C95" s="6"/>
      <c r="D95" s="6"/>
      <c r="E95" s="6"/>
      <c r="F95" s="27"/>
      <c r="G95" s="6"/>
      <c r="H95" s="6"/>
      <c r="I95" s="6"/>
      <c r="J95" s="6"/>
      <c r="K95" s="27"/>
      <c r="L95" s="6"/>
      <c r="M95" s="6"/>
      <c r="N95" s="6"/>
      <c r="O95" s="6"/>
      <c r="P95" s="27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</row>
    <row r="96" spans="2:68">
      <c r="B96" s="6"/>
      <c r="C96" s="6"/>
      <c r="D96" s="6"/>
      <c r="E96" s="6"/>
      <c r="F96" s="27"/>
      <c r="G96" s="6"/>
      <c r="H96" s="6"/>
      <c r="I96" s="6"/>
      <c r="J96" s="6"/>
      <c r="K96" s="27"/>
      <c r="L96" s="6"/>
      <c r="M96" s="6"/>
      <c r="N96" s="6"/>
      <c r="O96" s="6"/>
      <c r="P96" s="27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</row>
    <row r="97" spans="2:68">
      <c r="B97" s="6"/>
      <c r="C97" s="6"/>
      <c r="D97" s="6"/>
      <c r="E97" s="6"/>
      <c r="F97" s="27"/>
      <c r="G97" s="6"/>
      <c r="H97" s="6"/>
      <c r="I97" s="6"/>
      <c r="J97" s="6"/>
      <c r="K97" s="27"/>
      <c r="L97" s="6"/>
      <c r="M97" s="6"/>
      <c r="N97" s="6"/>
      <c r="O97" s="6"/>
      <c r="P97" s="27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</row>
    <row r="98" spans="2:68">
      <c r="B98" s="6"/>
      <c r="C98" s="6"/>
      <c r="D98" s="6"/>
      <c r="E98" s="6"/>
      <c r="F98" s="27"/>
      <c r="G98" s="6"/>
      <c r="H98" s="6"/>
      <c r="I98" s="6"/>
      <c r="J98" s="6"/>
      <c r="K98" s="27"/>
      <c r="L98" s="6"/>
      <c r="M98" s="6"/>
      <c r="N98" s="6"/>
      <c r="O98" s="6"/>
      <c r="P98" s="27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</row>
    <row r="99" spans="2:68">
      <c r="B99" s="6"/>
      <c r="C99" s="6"/>
      <c r="D99" s="6"/>
      <c r="E99" s="6"/>
      <c r="F99" s="27"/>
      <c r="G99" s="6"/>
      <c r="H99" s="6"/>
      <c r="I99" s="6"/>
      <c r="J99" s="6"/>
      <c r="K99" s="27"/>
      <c r="L99" s="6"/>
      <c r="M99" s="6"/>
      <c r="N99" s="6"/>
      <c r="O99" s="6"/>
      <c r="P99" s="27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</row>
    <row r="100" spans="2:68">
      <c r="B100" s="6"/>
      <c r="C100" s="6"/>
      <c r="D100" s="6"/>
      <c r="E100" s="6"/>
      <c r="F100" s="27"/>
      <c r="G100" s="6"/>
      <c r="H100" s="6"/>
      <c r="I100" s="6"/>
      <c r="J100" s="6"/>
      <c r="K100" s="27"/>
      <c r="L100" s="6"/>
      <c r="M100" s="6"/>
      <c r="N100" s="6"/>
      <c r="O100" s="6"/>
      <c r="P100" s="27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</row>
    <row r="101" spans="2:68">
      <c r="B101" s="6"/>
      <c r="C101" s="6"/>
      <c r="D101" s="6"/>
      <c r="E101" s="6"/>
      <c r="F101" s="27"/>
      <c r="G101" s="6"/>
      <c r="H101" s="6"/>
      <c r="I101" s="6"/>
      <c r="J101" s="6"/>
      <c r="K101" s="27"/>
      <c r="L101" s="6"/>
      <c r="M101" s="6"/>
      <c r="N101" s="6"/>
      <c r="O101" s="6"/>
      <c r="P101" s="27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</row>
    <row r="102" spans="2:68">
      <c r="B102" s="6"/>
      <c r="C102" s="6"/>
      <c r="D102" s="6"/>
      <c r="E102" s="6"/>
      <c r="F102" s="27"/>
      <c r="G102" s="6"/>
      <c r="H102" s="6"/>
      <c r="I102" s="6"/>
      <c r="J102" s="6"/>
      <c r="K102" s="27"/>
      <c r="L102" s="6"/>
      <c r="M102" s="6"/>
      <c r="N102" s="6"/>
      <c r="O102" s="6"/>
      <c r="P102" s="27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</row>
    <row r="103" spans="2:68">
      <c r="B103" s="6"/>
      <c r="C103" s="6"/>
      <c r="D103" s="6"/>
      <c r="E103" s="6"/>
      <c r="F103" s="27"/>
      <c r="G103" s="6"/>
      <c r="H103" s="6"/>
      <c r="I103" s="6"/>
      <c r="J103" s="6"/>
      <c r="K103" s="27"/>
      <c r="L103" s="6"/>
      <c r="M103" s="6"/>
      <c r="N103" s="6"/>
      <c r="O103" s="6"/>
      <c r="P103" s="27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</row>
    <row r="104" spans="2:68">
      <c r="B104" s="6"/>
      <c r="C104" s="6"/>
      <c r="D104" s="6"/>
      <c r="E104" s="6"/>
      <c r="F104" s="27"/>
      <c r="G104" s="6"/>
      <c r="H104" s="6"/>
      <c r="I104" s="6"/>
      <c r="J104" s="6"/>
      <c r="K104" s="27"/>
      <c r="L104" s="6"/>
      <c r="M104" s="6"/>
      <c r="N104" s="6"/>
      <c r="O104" s="6"/>
      <c r="P104" s="27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</row>
    <row r="105" spans="2:68">
      <c r="B105" s="6"/>
      <c r="C105" s="6"/>
      <c r="D105" s="6"/>
      <c r="E105" s="6"/>
      <c r="F105" s="27"/>
      <c r="G105" s="6"/>
      <c r="H105" s="6"/>
      <c r="I105" s="6"/>
      <c r="J105" s="6"/>
      <c r="K105" s="27"/>
      <c r="L105" s="6"/>
      <c r="M105" s="6"/>
      <c r="N105" s="6"/>
      <c r="O105" s="6"/>
      <c r="P105" s="27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</row>
    <row r="106" spans="2:68">
      <c r="B106" s="6"/>
      <c r="C106" s="6"/>
      <c r="D106" s="6"/>
      <c r="E106" s="6"/>
      <c r="F106" s="27"/>
      <c r="G106" s="6"/>
      <c r="H106" s="6"/>
      <c r="I106" s="6"/>
      <c r="J106" s="6"/>
      <c r="K106" s="27"/>
      <c r="L106" s="6"/>
      <c r="M106" s="6"/>
      <c r="N106" s="6"/>
      <c r="O106" s="6"/>
      <c r="P106" s="27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</row>
    <row r="107" spans="2:68">
      <c r="B107" s="6"/>
      <c r="C107" s="6"/>
      <c r="D107" s="6"/>
      <c r="E107" s="6"/>
      <c r="F107" s="27"/>
      <c r="G107" s="6"/>
      <c r="H107" s="6"/>
      <c r="I107" s="6"/>
      <c r="J107" s="6"/>
      <c r="K107" s="27"/>
      <c r="L107" s="6"/>
      <c r="M107" s="6"/>
      <c r="N107" s="6"/>
      <c r="O107" s="6"/>
      <c r="P107" s="27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</row>
    <row r="108" spans="2:68">
      <c r="B108" s="6"/>
      <c r="C108" s="6"/>
      <c r="D108" s="6"/>
      <c r="E108" s="6"/>
      <c r="F108" s="27"/>
      <c r="G108" s="6"/>
      <c r="H108" s="6"/>
      <c r="I108" s="6"/>
      <c r="J108" s="6"/>
      <c r="K108" s="27"/>
      <c r="L108" s="6"/>
      <c r="M108" s="6"/>
      <c r="N108" s="6"/>
      <c r="O108" s="6"/>
      <c r="P108" s="27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</row>
    <row r="109" spans="2:68">
      <c r="B109" s="6"/>
      <c r="C109" s="6"/>
      <c r="D109" s="6"/>
      <c r="E109" s="6"/>
      <c r="F109" s="27"/>
      <c r="G109" s="6"/>
      <c r="H109" s="6"/>
      <c r="I109" s="6"/>
      <c r="J109" s="6"/>
      <c r="K109" s="27"/>
      <c r="L109" s="6"/>
      <c r="M109" s="6"/>
      <c r="N109" s="6"/>
      <c r="O109" s="6"/>
      <c r="P109" s="27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</row>
    <row r="110" spans="2:68">
      <c r="B110" s="6"/>
      <c r="C110" s="6"/>
      <c r="D110" s="6"/>
      <c r="E110" s="6"/>
      <c r="F110" s="27"/>
      <c r="G110" s="6"/>
      <c r="H110" s="6"/>
      <c r="I110" s="6"/>
      <c r="J110" s="6"/>
      <c r="K110" s="27"/>
      <c r="L110" s="6"/>
      <c r="M110" s="6"/>
      <c r="N110" s="6"/>
      <c r="O110" s="6"/>
      <c r="P110" s="27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</row>
    <row r="111" spans="2:68">
      <c r="B111" s="6"/>
      <c r="C111" s="6"/>
      <c r="D111" s="6"/>
      <c r="E111" s="6"/>
      <c r="F111" s="27"/>
      <c r="G111" s="6"/>
      <c r="H111" s="6"/>
      <c r="I111" s="6"/>
      <c r="J111" s="6"/>
      <c r="K111" s="27"/>
      <c r="L111" s="6"/>
      <c r="M111" s="6"/>
      <c r="N111" s="6"/>
      <c r="O111" s="6"/>
      <c r="P111" s="27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</row>
    <row r="112" spans="2:68">
      <c r="B112" s="6"/>
      <c r="C112" s="6"/>
      <c r="D112" s="6"/>
      <c r="E112" s="6"/>
      <c r="F112" s="27"/>
      <c r="G112" s="6"/>
      <c r="H112" s="6"/>
      <c r="I112" s="6"/>
      <c r="J112" s="6"/>
      <c r="K112" s="27"/>
      <c r="L112" s="6"/>
      <c r="M112" s="6"/>
      <c r="N112" s="6"/>
      <c r="O112" s="6"/>
      <c r="P112" s="27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</row>
    <row r="113" spans="2:68">
      <c r="B113" s="6"/>
      <c r="C113" s="6"/>
      <c r="D113" s="6"/>
      <c r="E113" s="6"/>
      <c r="F113" s="27"/>
      <c r="G113" s="6"/>
      <c r="H113" s="6"/>
      <c r="I113" s="6"/>
      <c r="J113" s="6"/>
      <c r="K113" s="27"/>
      <c r="L113" s="6"/>
      <c r="M113" s="6"/>
      <c r="N113" s="6"/>
      <c r="O113" s="6"/>
      <c r="P113" s="27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</row>
    <row r="114" spans="2:68">
      <c r="B114" s="6"/>
      <c r="C114" s="6"/>
      <c r="D114" s="6"/>
      <c r="E114" s="6"/>
      <c r="F114" s="27"/>
      <c r="G114" s="6"/>
      <c r="H114" s="6"/>
      <c r="I114" s="6"/>
      <c r="J114" s="6"/>
      <c r="K114" s="27"/>
      <c r="L114" s="6"/>
      <c r="M114" s="6"/>
      <c r="N114" s="6"/>
      <c r="O114" s="6"/>
      <c r="P114" s="27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</row>
    <row r="115" spans="2:68">
      <c r="B115" s="6"/>
      <c r="C115" s="6"/>
      <c r="D115" s="6"/>
      <c r="E115" s="6"/>
      <c r="F115" s="27"/>
      <c r="G115" s="6"/>
      <c r="H115" s="6"/>
      <c r="I115" s="6"/>
      <c r="J115" s="6"/>
      <c r="K115" s="27"/>
      <c r="L115" s="6"/>
      <c r="M115" s="6"/>
      <c r="N115" s="6"/>
      <c r="O115" s="6"/>
      <c r="P115" s="27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</row>
    <row r="116" spans="2:68">
      <c r="B116" s="6"/>
      <c r="C116" s="6"/>
      <c r="D116" s="6"/>
      <c r="E116" s="6"/>
      <c r="F116" s="27"/>
      <c r="G116" s="6"/>
      <c r="H116" s="6"/>
      <c r="I116" s="6"/>
      <c r="J116" s="6"/>
      <c r="K116" s="27"/>
      <c r="L116" s="6"/>
      <c r="M116" s="6"/>
      <c r="N116" s="6"/>
      <c r="O116" s="6"/>
      <c r="P116" s="27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</row>
    <row r="117" spans="2:68">
      <c r="B117" s="6"/>
      <c r="C117" s="6"/>
      <c r="D117" s="6"/>
      <c r="E117" s="6"/>
      <c r="F117" s="27"/>
      <c r="G117" s="6"/>
      <c r="H117" s="6"/>
      <c r="I117" s="6"/>
      <c r="J117" s="6"/>
      <c r="K117" s="27"/>
      <c r="L117" s="6"/>
      <c r="M117" s="6"/>
      <c r="N117" s="6"/>
      <c r="O117" s="6"/>
      <c r="P117" s="27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</row>
    <row r="118" spans="2:68">
      <c r="B118" s="6"/>
      <c r="C118" s="6"/>
      <c r="D118" s="6"/>
      <c r="E118" s="6"/>
      <c r="F118" s="27"/>
      <c r="G118" s="6"/>
      <c r="H118" s="6"/>
      <c r="I118" s="6"/>
      <c r="J118" s="6"/>
      <c r="K118" s="27"/>
      <c r="L118" s="6"/>
      <c r="M118" s="6"/>
      <c r="N118" s="6"/>
      <c r="O118" s="6"/>
      <c r="P118" s="27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</row>
    <row r="119" spans="2:68">
      <c r="B119" s="6"/>
      <c r="C119" s="6"/>
      <c r="D119" s="6"/>
      <c r="E119" s="6"/>
      <c r="F119" s="27"/>
      <c r="G119" s="6"/>
      <c r="H119" s="6"/>
      <c r="I119" s="6"/>
      <c r="J119" s="6"/>
      <c r="K119" s="27"/>
      <c r="L119" s="6"/>
      <c r="M119" s="6"/>
      <c r="N119" s="6"/>
      <c r="O119" s="6"/>
      <c r="P119" s="27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</row>
    <row r="120" spans="2:68">
      <c r="B120" s="6"/>
      <c r="C120" s="6"/>
      <c r="D120" s="6"/>
      <c r="E120" s="6"/>
      <c r="F120" s="27"/>
      <c r="G120" s="6"/>
      <c r="H120" s="6"/>
      <c r="I120" s="6"/>
      <c r="J120" s="6"/>
      <c r="K120" s="27"/>
      <c r="L120" s="6"/>
      <c r="M120" s="6"/>
      <c r="N120" s="6"/>
      <c r="O120" s="6"/>
      <c r="P120" s="27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</row>
    <row r="121" spans="2:68">
      <c r="B121" s="6"/>
      <c r="C121" s="6"/>
      <c r="D121" s="6"/>
      <c r="E121" s="6"/>
      <c r="F121" s="27"/>
      <c r="G121" s="6"/>
      <c r="H121" s="6"/>
      <c r="I121" s="6"/>
      <c r="J121" s="6"/>
      <c r="K121" s="27"/>
      <c r="L121" s="6"/>
      <c r="M121" s="6"/>
      <c r="N121" s="6"/>
      <c r="O121" s="6"/>
      <c r="P121" s="27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</row>
    <row r="122" spans="2:68">
      <c r="B122" s="6"/>
      <c r="C122" s="6"/>
      <c r="D122" s="6"/>
      <c r="E122" s="6"/>
      <c r="F122" s="27"/>
      <c r="G122" s="6"/>
      <c r="H122" s="6"/>
      <c r="I122" s="6"/>
      <c r="J122" s="6"/>
      <c r="K122" s="27"/>
      <c r="L122" s="6"/>
      <c r="M122" s="6"/>
      <c r="N122" s="6"/>
      <c r="O122" s="6"/>
      <c r="P122" s="27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</row>
    <row r="123" spans="2:68">
      <c r="B123" s="6"/>
      <c r="C123" s="6"/>
      <c r="D123" s="6"/>
      <c r="E123" s="6"/>
      <c r="F123" s="27"/>
      <c r="G123" s="6"/>
      <c r="H123" s="6"/>
      <c r="I123" s="6"/>
      <c r="J123" s="6"/>
      <c r="K123" s="27"/>
      <c r="L123" s="6"/>
      <c r="M123" s="6"/>
      <c r="N123" s="6"/>
      <c r="O123" s="6"/>
      <c r="P123" s="27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</row>
    <row r="124" spans="2:68">
      <c r="B124" s="6"/>
      <c r="C124" s="6"/>
      <c r="D124" s="6"/>
      <c r="E124" s="6"/>
      <c r="F124" s="27"/>
      <c r="G124" s="6"/>
      <c r="H124" s="6"/>
      <c r="I124" s="6"/>
      <c r="J124" s="6"/>
      <c r="K124" s="27"/>
      <c r="L124" s="6"/>
      <c r="M124" s="6"/>
      <c r="N124" s="6"/>
      <c r="O124" s="6"/>
      <c r="P124" s="27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</row>
    <row r="125" spans="2:68">
      <c r="B125" s="6"/>
      <c r="C125" s="6"/>
      <c r="D125" s="6"/>
      <c r="E125" s="6"/>
      <c r="F125" s="27"/>
      <c r="G125" s="6"/>
      <c r="H125" s="6"/>
      <c r="I125" s="6"/>
      <c r="J125" s="6"/>
      <c r="K125" s="27"/>
      <c r="L125" s="6"/>
      <c r="M125" s="6"/>
      <c r="N125" s="6"/>
      <c r="O125" s="6"/>
      <c r="P125" s="27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</row>
    <row r="126" spans="2:68">
      <c r="B126" s="6"/>
      <c r="C126" s="6"/>
      <c r="D126" s="6"/>
      <c r="E126" s="6"/>
      <c r="F126" s="27"/>
      <c r="G126" s="6"/>
      <c r="H126" s="6"/>
      <c r="I126" s="6"/>
      <c r="J126" s="6"/>
      <c r="K126" s="27"/>
      <c r="L126" s="6"/>
      <c r="M126" s="6"/>
      <c r="N126" s="6"/>
      <c r="O126" s="6"/>
      <c r="P126" s="27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</row>
    <row r="127" spans="2:68">
      <c r="B127" s="6"/>
      <c r="C127" s="6"/>
      <c r="D127" s="6"/>
      <c r="E127" s="6"/>
      <c r="F127" s="27"/>
      <c r="G127" s="6"/>
      <c r="H127" s="6"/>
      <c r="I127" s="6"/>
      <c r="J127" s="6"/>
      <c r="K127" s="27"/>
      <c r="L127" s="6"/>
      <c r="M127" s="6"/>
      <c r="N127" s="6"/>
      <c r="O127" s="6"/>
      <c r="P127" s="27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</row>
    <row r="128" spans="2:68">
      <c r="B128" s="6"/>
      <c r="C128" s="6"/>
      <c r="D128" s="6"/>
      <c r="E128" s="6"/>
      <c r="F128" s="27"/>
      <c r="G128" s="6"/>
      <c r="H128" s="6"/>
      <c r="I128" s="6"/>
      <c r="J128" s="6"/>
      <c r="K128" s="27"/>
      <c r="L128" s="6"/>
      <c r="M128" s="6"/>
      <c r="N128" s="6"/>
      <c r="O128" s="6"/>
      <c r="P128" s="27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</row>
    <row r="129" spans="2:68">
      <c r="B129" s="6"/>
      <c r="C129" s="6"/>
      <c r="D129" s="6"/>
      <c r="E129" s="6"/>
      <c r="F129" s="27"/>
      <c r="G129" s="6"/>
      <c r="H129" s="6"/>
      <c r="I129" s="6"/>
      <c r="J129" s="6"/>
      <c r="K129" s="27"/>
      <c r="L129" s="6"/>
      <c r="M129" s="6"/>
      <c r="N129" s="6"/>
      <c r="O129" s="6"/>
      <c r="P129" s="27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</row>
    <row r="130" spans="2:68">
      <c r="B130" s="6"/>
      <c r="C130" s="6"/>
      <c r="D130" s="6"/>
      <c r="E130" s="6"/>
      <c r="F130" s="27"/>
      <c r="G130" s="6"/>
      <c r="H130" s="6"/>
      <c r="I130" s="6"/>
      <c r="J130" s="6"/>
      <c r="K130" s="27"/>
      <c r="L130" s="6"/>
      <c r="M130" s="6"/>
      <c r="N130" s="6"/>
      <c r="O130" s="6"/>
      <c r="P130" s="27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</row>
    <row r="131" spans="2:68">
      <c r="B131" s="6"/>
      <c r="C131" s="6"/>
      <c r="D131" s="6"/>
      <c r="E131" s="6"/>
      <c r="F131" s="27"/>
      <c r="G131" s="6"/>
      <c r="H131" s="6"/>
      <c r="I131" s="6"/>
      <c r="J131" s="6"/>
      <c r="K131" s="27"/>
      <c r="L131" s="6"/>
      <c r="M131" s="6"/>
      <c r="N131" s="6"/>
      <c r="O131" s="6"/>
      <c r="P131" s="27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</row>
    <row r="132" spans="2:68">
      <c r="B132" s="6"/>
      <c r="C132" s="6"/>
      <c r="D132" s="6"/>
      <c r="E132" s="6"/>
      <c r="F132" s="27"/>
      <c r="G132" s="6"/>
      <c r="H132" s="6"/>
      <c r="I132" s="6"/>
      <c r="J132" s="6"/>
      <c r="K132" s="27"/>
      <c r="L132" s="6"/>
      <c r="M132" s="6"/>
      <c r="N132" s="6"/>
      <c r="O132" s="6"/>
      <c r="P132" s="27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</row>
    <row r="133" spans="2:68">
      <c r="B133" s="6"/>
      <c r="C133" s="6"/>
      <c r="D133" s="6"/>
      <c r="E133" s="6"/>
      <c r="F133" s="27"/>
      <c r="G133" s="6"/>
      <c r="H133" s="6"/>
      <c r="I133" s="6"/>
      <c r="J133" s="6"/>
      <c r="K133" s="27"/>
      <c r="L133" s="6"/>
      <c r="M133" s="6"/>
      <c r="N133" s="6"/>
      <c r="O133" s="6"/>
      <c r="P133" s="27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</row>
    <row r="134" spans="2:68">
      <c r="B134" s="6"/>
      <c r="C134" s="6"/>
      <c r="D134" s="6"/>
      <c r="E134" s="6"/>
      <c r="F134" s="27"/>
      <c r="G134" s="6"/>
      <c r="H134" s="6"/>
      <c r="I134" s="6"/>
      <c r="J134" s="6"/>
      <c r="K134" s="27"/>
      <c r="L134" s="6"/>
      <c r="M134" s="6"/>
      <c r="N134" s="6"/>
      <c r="O134" s="6"/>
      <c r="P134" s="27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</row>
    <row r="135" spans="2:68">
      <c r="B135" s="6"/>
      <c r="C135" s="6"/>
      <c r="D135" s="6"/>
      <c r="E135" s="6"/>
      <c r="F135" s="27"/>
      <c r="G135" s="6"/>
      <c r="H135" s="6"/>
      <c r="I135" s="6"/>
      <c r="J135" s="6"/>
      <c r="K135" s="27"/>
      <c r="L135" s="6"/>
      <c r="M135" s="6"/>
      <c r="N135" s="6"/>
      <c r="O135" s="6"/>
      <c r="P135" s="27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</row>
    <row r="136" spans="2:68">
      <c r="B136" s="6"/>
      <c r="C136" s="6"/>
      <c r="D136" s="6"/>
      <c r="E136" s="6"/>
      <c r="F136" s="27"/>
      <c r="G136" s="6"/>
      <c r="H136" s="6"/>
      <c r="I136" s="6"/>
      <c r="J136" s="6"/>
      <c r="K136" s="27"/>
      <c r="L136" s="6"/>
      <c r="M136" s="6"/>
      <c r="N136" s="6"/>
      <c r="O136" s="6"/>
      <c r="P136" s="27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</row>
    <row r="137" spans="2:68">
      <c r="B137" s="6"/>
      <c r="C137" s="6"/>
      <c r="D137" s="6"/>
      <c r="E137" s="6"/>
      <c r="F137" s="27"/>
      <c r="G137" s="6"/>
      <c r="H137" s="6"/>
      <c r="I137" s="6"/>
      <c r="J137" s="6"/>
      <c r="K137" s="27"/>
      <c r="L137" s="6"/>
      <c r="M137" s="6"/>
      <c r="N137" s="6"/>
      <c r="O137" s="6"/>
      <c r="P137" s="27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</row>
    <row r="138" spans="2:68">
      <c r="B138" s="6"/>
      <c r="C138" s="6"/>
      <c r="D138" s="6"/>
      <c r="E138" s="6"/>
      <c r="F138" s="27"/>
      <c r="G138" s="6"/>
      <c r="H138" s="6"/>
      <c r="I138" s="6"/>
      <c r="J138" s="6"/>
      <c r="K138" s="27"/>
      <c r="L138" s="6"/>
      <c r="M138" s="6"/>
      <c r="N138" s="6"/>
      <c r="O138" s="6"/>
      <c r="P138" s="27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</row>
    <row r="139" spans="2:68">
      <c r="B139" s="6"/>
      <c r="C139" s="6"/>
      <c r="D139" s="6"/>
      <c r="E139" s="6"/>
      <c r="F139" s="27"/>
      <c r="G139" s="6"/>
      <c r="H139" s="6"/>
      <c r="I139" s="6"/>
      <c r="J139" s="6"/>
      <c r="K139" s="27"/>
      <c r="L139" s="6"/>
      <c r="M139" s="6"/>
      <c r="N139" s="6"/>
      <c r="O139" s="6"/>
      <c r="P139" s="27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</row>
    <row r="140" spans="2:68">
      <c r="B140" s="6"/>
      <c r="C140" s="6"/>
      <c r="D140" s="6"/>
      <c r="E140" s="6"/>
      <c r="F140" s="27"/>
      <c r="G140" s="6"/>
      <c r="H140" s="6"/>
      <c r="I140" s="6"/>
      <c r="J140" s="6"/>
      <c r="K140" s="27"/>
      <c r="L140" s="6"/>
      <c r="M140" s="6"/>
      <c r="N140" s="6"/>
      <c r="O140" s="6"/>
      <c r="P140" s="27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</row>
    <row r="141" spans="2:68">
      <c r="B141" s="6"/>
      <c r="C141" s="6"/>
      <c r="D141" s="6"/>
      <c r="E141" s="6"/>
      <c r="F141" s="27"/>
      <c r="G141" s="6"/>
      <c r="H141" s="6"/>
      <c r="I141" s="6"/>
      <c r="J141" s="6"/>
      <c r="K141" s="27"/>
      <c r="L141" s="6"/>
      <c r="M141" s="6"/>
      <c r="N141" s="6"/>
      <c r="O141" s="6"/>
      <c r="P141" s="27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</row>
    <row r="142" spans="2:68">
      <c r="B142" s="6"/>
      <c r="C142" s="6"/>
      <c r="D142" s="6"/>
      <c r="E142" s="6"/>
      <c r="F142" s="27"/>
      <c r="G142" s="6"/>
      <c r="H142" s="6"/>
      <c r="I142" s="6"/>
      <c r="J142" s="6"/>
      <c r="K142" s="27"/>
      <c r="L142" s="6"/>
      <c r="M142" s="6"/>
      <c r="N142" s="6"/>
      <c r="O142" s="6"/>
      <c r="P142" s="27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</row>
    <row r="143" spans="2:68">
      <c r="B143" s="6"/>
      <c r="C143" s="6"/>
      <c r="D143" s="6"/>
      <c r="E143" s="6"/>
      <c r="F143" s="27"/>
      <c r="G143" s="6"/>
      <c r="H143" s="6"/>
      <c r="I143" s="6"/>
      <c r="J143" s="6"/>
      <c r="K143" s="27"/>
      <c r="L143" s="6"/>
      <c r="M143" s="6"/>
      <c r="N143" s="6"/>
      <c r="O143" s="6"/>
      <c r="P143" s="27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</row>
    <row r="144" spans="2:68">
      <c r="B144" s="6"/>
      <c r="C144" s="6"/>
      <c r="D144" s="6"/>
      <c r="E144" s="6"/>
      <c r="F144" s="27"/>
      <c r="G144" s="6"/>
      <c r="H144" s="6"/>
      <c r="I144" s="6"/>
      <c r="J144" s="6"/>
      <c r="K144" s="27"/>
      <c r="L144" s="6"/>
      <c r="M144" s="6"/>
      <c r="N144" s="6"/>
      <c r="O144" s="6"/>
      <c r="P144" s="27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</row>
    <row r="145" spans="2:68">
      <c r="B145" s="6"/>
      <c r="C145" s="6"/>
      <c r="D145" s="6"/>
      <c r="E145" s="6"/>
      <c r="F145" s="27"/>
      <c r="G145" s="6"/>
      <c r="H145" s="6"/>
      <c r="I145" s="6"/>
      <c r="J145" s="6"/>
      <c r="K145" s="27"/>
      <c r="L145" s="6"/>
      <c r="M145" s="6"/>
      <c r="N145" s="6"/>
      <c r="O145" s="6"/>
      <c r="P145" s="27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</row>
    <row r="146" spans="2:68">
      <c r="B146" s="6"/>
      <c r="C146" s="6"/>
      <c r="D146" s="6"/>
      <c r="E146" s="6"/>
      <c r="F146" s="27"/>
      <c r="G146" s="6"/>
      <c r="H146" s="6"/>
      <c r="I146" s="6"/>
      <c r="J146" s="6"/>
      <c r="K146" s="27"/>
      <c r="L146" s="6"/>
      <c r="M146" s="6"/>
      <c r="N146" s="6"/>
      <c r="O146" s="6"/>
      <c r="P146" s="27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</row>
    <row r="147" spans="2:68">
      <c r="B147" s="6"/>
      <c r="C147" s="6"/>
      <c r="D147" s="6"/>
      <c r="E147" s="6"/>
      <c r="F147" s="27"/>
      <c r="G147" s="6"/>
      <c r="H147" s="6"/>
      <c r="I147" s="6"/>
      <c r="J147" s="6"/>
      <c r="K147" s="27"/>
      <c r="L147" s="6"/>
      <c r="M147" s="6"/>
      <c r="N147" s="6"/>
      <c r="O147" s="6"/>
      <c r="P147" s="27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</row>
    <row r="148" spans="2:68">
      <c r="B148" s="6"/>
      <c r="C148" s="6"/>
      <c r="D148" s="6"/>
      <c r="E148" s="6"/>
      <c r="F148" s="27"/>
      <c r="G148" s="6"/>
      <c r="H148" s="6"/>
      <c r="I148" s="6"/>
      <c r="J148" s="6"/>
      <c r="K148" s="27"/>
      <c r="L148" s="6"/>
      <c r="M148" s="6"/>
      <c r="N148" s="6"/>
      <c r="O148" s="6"/>
      <c r="P148" s="27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</row>
    <row r="149" spans="2:68">
      <c r="B149" s="6"/>
      <c r="C149" s="6"/>
      <c r="D149" s="6"/>
      <c r="E149" s="6"/>
      <c r="F149" s="27"/>
      <c r="G149" s="6"/>
      <c r="H149" s="6"/>
      <c r="I149" s="6"/>
      <c r="J149" s="6"/>
      <c r="K149" s="27"/>
      <c r="L149" s="6"/>
      <c r="M149" s="6"/>
      <c r="N149" s="6"/>
      <c r="O149" s="6"/>
      <c r="P149" s="27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</row>
    <row r="150" spans="2:68">
      <c r="B150" s="6"/>
      <c r="C150" s="6"/>
      <c r="D150" s="6"/>
      <c r="E150" s="6"/>
      <c r="F150" s="27"/>
      <c r="G150" s="6"/>
      <c r="H150" s="6"/>
      <c r="I150" s="6"/>
      <c r="J150" s="6"/>
      <c r="K150" s="27"/>
      <c r="L150" s="6"/>
      <c r="M150" s="6"/>
      <c r="N150" s="6"/>
      <c r="O150" s="6"/>
      <c r="P150" s="27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</row>
    <row r="151" spans="2:68">
      <c r="B151" s="6"/>
      <c r="C151" s="6"/>
      <c r="D151" s="6"/>
      <c r="E151" s="6"/>
      <c r="F151" s="27"/>
      <c r="G151" s="6"/>
      <c r="H151" s="6"/>
      <c r="I151" s="6"/>
      <c r="J151" s="6"/>
      <c r="K151" s="27"/>
      <c r="L151" s="6"/>
      <c r="M151" s="6"/>
      <c r="N151" s="6"/>
      <c r="O151" s="6"/>
      <c r="P151" s="27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</row>
    <row r="152" spans="2:68">
      <c r="B152" s="6"/>
      <c r="C152" s="6"/>
      <c r="D152" s="6"/>
      <c r="E152" s="6"/>
      <c r="F152" s="27"/>
      <c r="G152" s="6"/>
      <c r="H152" s="6"/>
      <c r="I152" s="6"/>
      <c r="J152" s="6"/>
      <c r="K152" s="27"/>
      <c r="L152" s="6"/>
      <c r="M152" s="6"/>
      <c r="N152" s="6"/>
      <c r="O152" s="6"/>
      <c r="P152" s="27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</row>
    <row r="153" spans="2:68">
      <c r="B153" s="6"/>
      <c r="C153" s="6"/>
      <c r="D153" s="6"/>
      <c r="E153" s="6"/>
      <c r="F153" s="27"/>
      <c r="G153" s="6"/>
      <c r="H153" s="6"/>
      <c r="I153" s="6"/>
      <c r="J153" s="6"/>
      <c r="K153" s="27"/>
      <c r="L153" s="6"/>
      <c r="M153" s="6"/>
      <c r="N153" s="6"/>
      <c r="O153" s="6"/>
      <c r="P153" s="27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</row>
    <row r="154" spans="2:68">
      <c r="B154" s="6"/>
      <c r="C154" s="6"/>
      <c r="D154" s="6"/>
      <c r="E154" s="6"/>
      <c r="F154" s="27"/>
      <c r="G154" s="6"/>
      <c r="H154" s="6"/>
      <c r="I154" s="6"/>
      <c r="J154" s="6"/>
      <c r="K154" s="27"/>
      <c r="L154" s="6"/>
      <c r="M154" s="6"/>
      <c r="N154" s="6"/>
      <c r="O154" s="6"/>
      <c r="P154" s="27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</row>
    <row r="155" spans="2:68">
      <c r="B155" s="6"/>
      <c r="C155" s="6"/>
      <c r="D155" s="6"/>
      <c r="E155" s="6"/>
      <c r="F155" s="27"/>
      <c r="G155" s="6"/>
      <c r="H155" s="6"/>
      <c r="I155" s="6"/>
      <c r="J155" s="6"/>
      <c r="K155" s="27"/>
      <c r="L155" s="6"/>
      <c r="M155" s="6"/>
      <c r="N155" s="6"/>
      <c r="O155" s="6"/>
      <c r="P155" s="27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</row>
    <row r="156" spans="2:68">
      <c r="B156" s="6"/>
      <c r="C156" s="6"/>
      <c r="D156" s="6"/>
      <c r="E156" s="6"/>
      <c r="F156" s="27"/>
      <c r="G156" s="6"/>
      <c r="H156" s="6"/>
      <c r="I156" s="6"/>
      <c r="J156" s="6"/>
      <c r="K156" s="27"/>
      <c r="L156" s="6"/>
      <c r="M156" s="6"/>
      <c r="N156" s="6"/>
      <c r="O156" s="6"/>
      <c r="P156" s="27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</row>
  </sheetData>
  <conditionalFormatting sqref="B2:Z61">
    <cfRule type="colorScale" priority="1">
      <colorScale>
        <cfvo type="num" val="-5"/>
        <cfvo type="percentile" val="50"/>
        <cfvo type="num" val="30"/>
        <color rgb="FFFF0000"/>
        <color rgb="FFFFEB84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suspicious_values</vt:lpstr>
      <vt:lpstr>notes</vt:lpstr>
      <vt:lpstr>rat_weight</vt:lpstr>
      <vt:lpstr>eth_ON</vt:lpstr>
      <vt:lpstr>eth_OFF</vt:lpstr>
      <vt:lpstr>E_g</vt:lpstr>
      <vt:lpstr>E_per_kg</vt:lpstr>
      <vt:lpstr>water_ON</vt:lpstr>
      <vt:lpstr>water_OFF</vt:lpstr>
      <vt:lpstr>W_g</vt:lpstr>
      <vt:lpstr>W_per_kg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Swygart, David</dc:creator>
  <cp:keywords/>
  <dc:description/>
  <cp:lastModifiedBy>Swygart, David</cp:lastModifiedBy>
  <cp:revision/>
  <dcterms:created xsi:type="dcterms:W3CDTF">2025-07-05T18:03:08Z</dcterms:created>
  <dcterms:modified xsi:type="dcterms:W3CDTF">2026-04-05T02:25:59Z</dcterms:modified>
  <cp:category/>
  <cp:contentStatus/>
</cp:coreProperties>
</file>