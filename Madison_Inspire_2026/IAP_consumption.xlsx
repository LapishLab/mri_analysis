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swyga\Documents\GitHub\mri_analysis\Madison_Inspire_2026\"/>
    </mc:Choice>
  </mc:AlternateContent>
  <xr:revisionPtr revIDLastSave="0" documentId="13_ncr:1_{62E61610-7A16-4B52-967C-CE7AA1427DBF}" xr6:coauthVersionLast="47" xr6:coauthVersionMax="47" xr10:uidLastSave="{00000000-0000-0000-0000-000000000000}"/>
  <bookViews>
    <workbookView xWindow="-110" yWindow="-110" windowWidth="19420" windowHeight="11500" tabRatio="702" firstSheet="1" activeTab="4" xr2:uid="{4BEB7E78-824E-4BFE-AAEC-F3A37821A838}"/>
  </bookViews>
  <sheets>
    <sheet name="suspicious_values" sheetId="19" r:id="rId1"/>
    <sheet name="notes" sheetId="14" r:id="rId2"/>
    <sheet name="rat_weight" sheetId="7" r:id="rId3"/>
    <sheet name="eth_ON" sheetId="8" r:id="rId4"/>
    <sheet name="eth_OFF" sheetId="9" r:id="rId5"/>
    <sheet name="E_g" sheetId="16" r:id="rId6"/>
    <sheet name="E_per_kg" sheetId="17" r:id="rId7"/>
    <sheet name="water_ON" sheetId="10" r:id="rId8"/>
    <sheet name="water_OFF" sheetId="11" r:id="rId9"/>
    <sheet name="W_g" sheetId="15" r:id="rId10"/>
    <sheet name="W_per_kg" sheetId="1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9" l="1"/>
  <c r="D13" i="19"/>
  <c r="E11" i="19"/>
  <c r="D11" i="19"/>
  <c r="G11" i="19" s="1"/>
  <c r="G12" i="19"/>
  <c r="G10" i="19"/>
  <c r="B22" i="17"/>
  <c r="B23" i="17"/>
  <c r="T63" i="16"/>
  <c r="U63" i="16"/>
  <c r="U12" i="16" s="1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I12" i="16" s="1"/>
  <c r="AJ63" i="16"/>
  <c r="AK63" i="16"/>
  <c r="T62" i="16"/>
  <c r="T3" i="16" s="1"/>
  <c r="B3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K24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K29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K30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B48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B49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B50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B51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B52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B59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B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B63" i="15"/>
  <c r="B62" i="15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Z2" i="16"/>
  <c r="AA2" i="16"/>
  <c r="AB2" i="16"/>
  <c r="AC2" i="16"/>
  <c r="AF2" i="16"/>
  <c r="AH2" i="16"/>
  <c r="AI2" i="16"/>
  <c r="AJ2" i="16"/>
  <c r="AK2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U3" i="16"/>
  <c r="V3" i="16"/>
  <c r="W3" i="16"/>
  <c r="Z3" i="16"/>
  <c r="AA3" i="16"/>
  <c r="AB3" i="16"/>
  <c r="AC3" i="16"/>
  <c r="AH3" i="16"/>
  <c r="AI3" i="16"/>
  <c r="AJ3" i="16"/>
  <c r="AK3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AC4" i="16"/>
  <c r="AD4" i="16"/>
  <c r="AH4" i="16"/>
  <c r="AI4" i="16"/>
  <c r="AJ4" i="16"/>
  <c r="AK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U5" i="16"/>
  <c r="V5" i="16"/>
  <c r="W5" i="16"/>
  <c r="X5" i="16"/>
  <c r="AA5" i="16"/>
  <c r="AB5" i="16"/>
  <c r="AC5" i="16"/>
  <c r="AD5" i="16"/>
  <c r="AH5" i="16"/>
  <c r="AI5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AC6" i="16"/>
  <c r="AH6" i="16"/>
  <c r="AI6" i="16"/>
  <c r="AJ6" i="16"/>
  <c r="AK6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V7" i="16"/>
  <c r="W7" i="16"/>
  <c r="X7" i="16"/>
  <c r="Y7" i="16"/>
  <c r="AC7" i="16"/>
  <c r="AH7" i="16"/>
  <c r="AJ7" i="16"/>
  <c r="AK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AC8" i="16"/>
  <c r="AD8" i="16"/>
  <c r="AE8" i="16"/>
  <c r="AH8" i="16"/>
  <c r="AI8" i="16"/>
  <c r="AJ8" i="16"/>
  <c r="AK8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U9" i="16"/>
  <c r="W9" i="16"/>
  <c r="X9" i="16"/>
  <c r="Y9" i="16"/>
  <c r="Z9" i="16"/>
  <c r="AC9" i="16"/>
  <c r="AH9" i="16"/>
  <c r="AI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AC10" i="16"/>
  <c r="AH10" i="16"/>
  <c r="AI10" i="16"/>
  <c r="AJ10" i="16"/>
  <c r="AK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U11" i="16"/>
  <c r="V11" i="16"/>
  <c r="X11" i="16"/>
  <c r="AC11" i="16"/>
  <c r="AH11" i="16"/>
  <c r="AI11" i="16"/>
  <c r="AJ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AA12" i="16"/>
  <c r="AB12" i="16"/>
  <c r="AC12" i="16"/>
  <c r="AH12" i="16"/>
  <c r="AK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U13" i="16"/>
  <c r="V13" i="16"/>
  <c r="W13" i="16"/>
  <c r="Y13" i="16"/>
  <c r="Z13" i="16"/>
  <c r="AC13" i="16"/>
  <c r="AH13" i="16"/>
  <c r="AI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X14" i="16"/>
  <c r="AC14" i="16"/>
  <c r="AH14" i="16"/>
  <c r="AI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U15" i="16"/>
  <c r="V15" i="16"/>
  <c r="W15" i="16"/>
  <c r="X15" i="16"/>
  <c r="AC15" i="16"/>
  <c r="AH15" i="16"/>
  <c r="AI15" i="16"/>
  <c r="AJ15" i="16"/>
  <c r="AK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AC16" i="16"/>
  <c r="AH16" i="16"/>
  <c r="AI16" i="16"/>
  <c r="AJ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U17" i="16"/>
  <c r="AA17" i="16"/>
  <c r="AB17" i="16"/>
  <c r="AC17" i="16"/>
  <c r="AD17" i="16"/>
  <c r="AH17" i="16"/>
  <c r="AI17" i="16"/>
  <c r="AJ17" i="16"/>
  <c r="AK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Z18" i="16"/>
  <c r="AA18" i="16"/>
  <c r="AC18" i="16"/>
  <c r="AH18" i="16"/>
  <c r="AI18" i="16"/>
  <c r="AJ18" i="16"/>
  <c r="AK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U19" i="16"/>
  <c r="V19" i="16"/>
  <c r="W19" i="16"/>
  <c r="X19" i="16"/>
  <c r="AC19" i="16"/>
  <c r="AH19" i="16"/>
  <c r="AI19" i="16"/>
  <c r="AJ19" i="16"/>
  <c r="AK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AC20" i="16"/>
  <c r="AH20" i="16"/>
  <c r="AI20" i="16"/>
  <c r="AJ20" i="16"/>
  <c r="AK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U21" i="16"/>
  <c r="V21" i="16"/>
  <c r="W21" i="16"/>
  <c r="X21" i="16"/>
  <c r="Y21" i="16"/>
  <c r="Z21" i="16"/>
  <c r="AA21" i="16"/>
  <c r="AC21" i="16"/>
  <c r="AH21" i="16"/>
  <c r="AI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V22" i="16"/>
  <c r="W22" i="16"/>
  <c r="X22" i="16"/>
  <c r="Y22" i="16"/>
  <c r="AB22" i="16"/>
  <c r="AC22" i="16"/>
  <c r="AD22" i="16"/>
  <c r="AE22" i="16"/>
  <c r="AH22" i="16"/>
  <c r="AJ22" i="16"/>
  <c r="AK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U23" i="16"/>
  <c r="V23" i="16"/>
  <c r="W23" i="16"/>
  <c r="X23" i="16"/>
  <c r="Y23" i="16"/>
  <c r="Z23" i="16"/>
  <c r="AC23" i="16"/>
  <c r="AE23" i="16"/>
  <c r="AF23" i="16"/>
  <c r="AG23" i="16"/>
  <c r="AH23" i="16"/>
  <c r="AI23" i="16"/>
  <c r="AJ23" i="16"/>
  <c r="AK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Y24" i="16"/>
  <c r="Z24" i="16"/>
  <c r="AC24" i="16"/>
  <c r="AD24" i="16"/>
  <c r="AE24" i="16"/>
  <c r="AH24" i="16"/>
  <c r="AI24" i="16"/>
  <c r="AK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W25" i="16"/>
  <c r="X25" i="16"/>
  <c r="Y25" i="16"/>
  <c r="Z25" i="16"/>
  <c r="AA25" i="16"/>
  <c r="AB25" i="16"/>
  <c r="AC25" i="16"/>
  <c r="AH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X26" i="16"/>
  <c r="Y26" i="16"/>
  <c r="Z26" i="16"/>
  <c r="AC26" i="16"/>
  <c r="AH26" i="16"/>
  <c r="AI26" i="16"/>
  <c r="AJ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U27" i="16"/>
  <c r="W27" i="16"/>
  <c r="X27" i="16"/>
  <c r="Y27" i="16"/>
  <c r="Z27" i="16"/>
  <c r="AC27" i="16"/>
  <c r="AH27" i="16"/>
  <c r="AI27" i="16"/>
  <c r="AK27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AA28" i="16"/>
  <c r="AB28" i="16"/>
  <c r="AC28" i="16"/>
  <c r="AH28" i="16"/>
  <c r="AI28" i="16"/>
  <c r="AJ28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U29" i="16"/>
  <c r="V29" i="16"/>
  <c r="X29" i="16"/>
  <c r="Y29" i="16"/>
  <c r="AC29" i="16"/>
  <c r="AH29" i="16"/>
  <c r="AI29" i="16"/>
  <c r="AJ29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AC30" i="16"/>
  <c r="AH30" i="16"/>
  <c r="AI30" i="16"/>
  <c r="AJ30" i="16"/>
  <c r="AK30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U31" i="16"/>
  <c r="V31" i="16"/>
  <c r="AC31" i="16"/>
  <c r="AH31" i="16"/>
  <c r="AI31" i="16"/>
  <c r="AJ31" i="16"/>
  <c r="AK31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AC32" i="16"/>
  <c r="AH32" i="16"/>
  <c r="AI32" i="16"/>
  <c r="AJ32" i="16"/>
  <c r="AK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U33" i="16"/>
  <c r="V33" i="16"/>
  <c r="W33" i="16"/>
  <c r="X33" i="16"/>
  <c r="Z33" i="16"/>
  <c r="AA33" i="16"/>
  <c r="AB33" i="16"/>
  <c r="AC33" i="16"/>
  <c r="AG33" i="16"/>
  <c r="AH33" i="16"/>
  <c r="AI33" i="16"/>
  <c r="AJ33" i="16"/>
  <c r="AK33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Z34" i="16"/>
  <c r="AB34" i="16"/>
  <c r="AC34" i="16"/>
  <c r="AD34" i="16"/>
  <c r="AE34" i="16"/>
  <c r="AH34" i="16"/>
  <c r="AI34" i="16"/>
  <c r="AJ34" i="16"/>
  <c r="AK34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V35" i="16"/>
  <c r="W35" i="16"/>
  <c r="X35" i="16"/>
  <c r="Y35" i="16"/>
  <c r="AA35" i="16"/>
  <c r="AB35" i="16"/>
  <c r="AC35" i="16"/>
  <c r="AH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AC36" i="16"/>
  <c r="AH36" i="16"/>
  <c r="AI36" i="16"/>
  <c r="AJ36" i="16"/>
  <c r="AK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U37" i="16"/>
  <c r="W37" i="16"/>
  <c r="X37" i="16"/>
  <c r="AC37" i="16"/>
  <c r="AH37" i="16"/>
  <c r="AI37" i="16"/>
  <c r="AK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AC38" i="16"/>
  <c r="AH38" i="16"/>
  <c r="AI38" i="16"/>
  <c r="AJ38" i="16"/>
  <c r="AK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U39" i="16"/>
  <c r="V39" i="16"/>
  <c r="X39" i="16"/>
  <c r="Y39" i="16"/>
  <c r="Z39" i="16"/>
  <c r="AA39" i="16"/>
  <c r="AC39" i="16"/>
  <c r="AH39" i="16"/>
  <c r="AI39" i="16"/>
  <c r="AJ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V40" i="16"/>
  <c r="W40" i="16"/>
  <c r="X40" i="16"/>
  <c r="AC40" i="16"/>
  <c r="AH40" i="16"/>
  <c r="AJ40" i="16"/>
  <c r="AK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U41" i="16"/>
  <c r="AC41" i="16"/>
  <c r="AH41" i="16"/>
  <c r="AI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W42" i="16"/>
  <c r="X42" i="16"/>
  <c r="Y42" i="16"/>
  <c r="Z42" i="16"/>
  <c r="AA42" i="16"/>
  <c r="AB42" i="16"/>
  <c r="AC42" i="16"/>
  <c r="AH42" i="16"/>
  <c r="AI42" i="16"/>
  <c r="AK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Y43" i="16"/>
  <c r="AC43" i="16"/>
  <c r="AD43" i="16"/>
  <c r="AE43" i="16"/>
  <c r="AF43" i="16"/>
  <c r="AG43" i="16"/>
  <c r="AH43" i="16"/>
  <c r="AI43" i="16"/>
  <c r="AJ43" i="16"/>
  <c r="AK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W44" i="16"/>
  <c r="X44" i="16"/>
  <c r="Y44" i="16"/>
  <c r="Z44" i="16"/>
  <c r="AA44" i="16"/>
  <c r="AC44" i="16"/>
  <c r="AH44" i="16"/>
  <c r="AI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AC45" i="16"/>
  <c r="AH45" i="16"/>
  <c r="AI45" i="16"/>
  <c r="AJ45" i="16"/>
  <c r="AK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W46" i="16"/>
  <c r="AC46" i="16"/>
  <c r="AH46" i="16"/>
  <c r="AI46" i="16"/>
  <c r="AK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AC47" i="16"/>
  <c r="AH47" i="16"/>
  <c r="AI47" i="16"/>
  <c r="AJ47" i="16"/>
  <c r="AK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W48" i="16"/>
  <c r="X48" i="16"/>
  <c r="Y48" i="16"/>
  <c r="Z48" i="16"/>
  <c r="AA48" i="16"/>
  <c r="AC48" i="16"/>
  <c r="AH48" i="16"/>
  <c r="AI48" i="16"/>
  <c r="AK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U49" i="16"/>
  <c r="V49" i="16"/>
  <c r="W49" i="16"/>
  <c r="AC49" i="16"/>
  <c r="AH49" i="16"/>
  <c r="AI49" i="16"/>
  <c r="AJ49" i="16"/>
  <c r="AK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X50" i="16"/>
  <c r="Y50" i="16"/>
  <c r="Z50" i="16"/>
  <c r="AA50" i="16"/>
  <c r="AB50" i="16"/>
  <c r="AC50" i="16"/>
  <c r="AH50" i="16"/>
  <c r="AI50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U51" i="16"/>
  <c r="V51" i="16"/>
  <c r="W51" i="16"/>
  <c r="X51" i="16"/>
  <c r="Y51" i="16"/>
  <c r="AA51" i="16"/>
  <c r="AC51" i="16"/>
  <c r="AH51" i="16"/>
  <c r="AI51" i="16"/>
  <c r="AJ51" i="16"/>
  <c r="AK51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AC52" i="16"/>
  <c r="AH52" i="16"/>
  <c r="AI52" i="16"/>
  <c r="AJ52" i="16"/>
  <c r="AK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U53" i="16"/>
  <c r="Y53" i="16"/>
  <c r="AC53" i="16"/>
  <c r="AH53" i="16"/>
  <c r="AI53" i="16"/>
  <c r="AJ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AC54" i="16"/>
  <c r="AH54" i="16"/>
  <c r="AI54" i="16"/>
  <c r="AJ54" i="16"/>
  <c r="AK54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U55" i="16"/>
  <c r="V55" i="16"/>
  <c r="W55" i="16"/>
  <c r="X55" i="16"/>
  <c r="AC55" i="16"/>
  <c r="AH55" i="16"/>
  <c r="AI55" i="16"/>
  <c r="AJ55" i="16"/>
  <c r="AK55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AA56" i="16"/>
  <c r="AB56" i="16"/>
  <c r="AC56" i="16"/>
  <c r="AD56" i="16"/>
  <c r="AE56" i="16"/>
  <c r="AF56" i="16"/>
  <c r="AH56" i="16"/>
  <c r="AI56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U57" i="16"/>
  <c r="V57" i="16"/>
  <c r="W57" i="16"/>
  <c r="X57" i="16"/>
  <c r="Y57" i="16"/>
  <c r="Z57" i="16"/>
  <c r="AA57" i="16"/>
  <c r="AB57" i="16"/>
  <c r="AC57" i="16"/>
  <c r="AH57" i="16"/>
  <c r="AI57" i="16"/>
  <c r="AJ57" i="16"/>
  <c r="AK57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AB58" i="16"/>
  <c r="AC58" i="16"/>
  <c r="AD58" i="16"/>
  <c r="AH58" i="16"/>
  <c r="AI58" i="16"/>
  <c r="AJ58" i="16"/>
  <c r="AK58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V59" i="16"/>
  <c r="W59" i="16"/>
  <c r="X59" i="16"/>
  <c r="Y59" i="16"/>
  <c r="AC59" i="16"/>
  <c r="AH59" i="16"/>
  <c r="AJ59" i="16"/>
  <c r="AK59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AC60" i="16"/>
  <c r="AH60" i="16"/>
  <c r="AI60" i="16"/>
  <c r="AJ60" i="16"/>
  <c r="AK60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U61" i="16"/>
  <c r="AC61" i="16"/>
  <c r="AH61" i="16"/>
  <c r="AI61" i="16"/>
  <c r="AK61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4" i="17" s="1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2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B63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B62" i="16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B65" i="8"/>
  <c r="G13" i="19" l="1"/>
  <c r="G9" i="19"/>
  <c r="AG8" i="16"/>
  <c r="AG21" i="16"/>
  <c r="AG36" i="16"/>
  <c r="AG55" i="16"/>
  <c r="AG6" i="16"/>
  <c r="AG19" i="16"/>
  <c r="AG3" i="16"/>
  <c r="AG18" i="16"/>
  <c r="AG31" i="16"/>
  <c r="AG52" i="16"/>
  <c r="AG2" i="16"/>
  <c r="AG29" i="16"/>
  <c r="AG59" i="16"/>
  <c r="AG22" i="16"/>
  <c r="AG51" i="16"/>
  <c r="AG14" i="16"/>
  <c r="AG26" i="16"/>
  <c r="AG42" i="16"/>
  <c r="AG54" i="16"/>
  <c r="AG10" i="16"/>
  <c r="AG15" i="16"/>
  <c r="AG39" i="16"/>
  <c r="AG45" i="16"/>
  <c r="AG7" i="16"/>
  <c r="AG48" i="16"/>
  <c r="AG4" i="16"/>
  <c r="AF6" i="16"/>
  <c r="AF19" i="16"/>
  <c r="AF34" i="16"/>
  <c r="AF53" i="16"/>
  <c r="AF4" i="16"/>
  <c r="AF17" i="16"/>
  <c r="AF16" i="16"/>
  <c r="AF29" i="16"/>
  <c r="AF50" i="16"/>
  <c r="AF22" i="16"/>
  <c r="AF51" i="16"/>
  <c r="AF14" i="16"/>
  <c r="AF26" i="16"/>
  <c r="AF42" i="16"/>
  <c r="AF54" i="16"/>
  <c r="AF10" i="16"/>
  <c r="AF15" i="16"/>
  <c r="AF39" i="16"/>
  <c r="AF45" i="16"/>
  <c r="AF3" i="16"/>
  <c r="AF7" i="16"/>
  <c r="AF30" i="16"/>
  <c r="AF33" i="16"/>
  <c r="AF36" i="16"/>
  <c r="AF48" i="16"/>
  <c r="AF57" i="16"/>
  <c r="AG49" i="16"/>
  <c r="AG41" i="16"/>
  <c r="AG32" i="16"/>
  <c r="AF21" i="16"/>
  <c r="AE4" i="16"/>
  <c r="AE17" i="16"/>
  <c r="AE32" i="16"/>
  <c r="AE51" i="16"/>
  <c r="AE2" i="16"/>
  <c r="AE15" i="16"/>
  <c r="AE14" i="16"/>
  <c r="AE27" i="16"/>
  <c r="AE42" i="16"/>
  <c r="AE44" i="16"/>
  <c r="AE46" i="16"/>
  <c r="AE48" i="16"/>
  <c r="AE26" i="16"/>
  <c r="AE54" i="16"/>
  <c r="AE6" i="16"/>
  <c r="AE10" i="16"/>
  <c r="AE39" i="16"/>
  <c r="AE45" i="16"/>
  <c r="AE3" i="16"/>
  <c r="AE7" i="16"/>
  <c r="AE19" i="16"/>
  <c r="AE30" i="16"/>
  <c r="AE33" i="16"/>
  <c r="AE36" i="16"/>
  <c r="AE57" i="16"/>
  <c r="AE60" i="16"/>
  <c r="AF49" i="16"/>
  <c r="AG47" i="16"/>
  <c r="AF41" i="16"/>
  <c r="AG40" i="16"/>
  <c r="AG38" i="16"/>
  <c r="AF32" i="16"/>
  <c r="AE21" i="16"/>
  <c r="AD2" i="16"/>
  <c r="AD15" i="16"/>
  <c r="AD30" i="16"/>
  <c r="AD49" i="16"/>
  <c r="AD13" i="16"/>
  <c r="AD12" i="16"/>
  <c r="AD25" i="16"/>
  <c r="AD40" i="16"/>
  <c r="AD6" i="16"/>
  <c r="AD10" i="16"/>
  <c r="AD14" i="16"/>
  <c r="AD39" i="16"/>
  <c r="AD42" i="16"/>
  <c r="AD45" i="16"/>
  <c r="AD3" i="16"/>
  <c r="AD7" i="16"/>
  <c r="AD19" i="16"/>
  <c r="AD33" i="16"/>
  <c r="AD36" i="16"/>
  <c r="AD57" i="16"/>
  <c r="AD48" i="16"/>
  <c r="AD60" i="16"/>
  <c r="AD23" i="16"/>
  <c r="AD27" i="16"/>
  <c r="AD11" i="16"/>
  <c r="AG61" i="16"/>
  <c r="AE49" i="16"/>
  <c r="AF47" i="16"/>
  <c r="AE41" i="16"/>
  <c r="AF40" i="16"/>
  <c r="AF38" i="16"/>
  <c r="AD32" i="16"/>
  <c r="AD21" i="16"/>
  <c r="AF61" i="16"/>
  <c r="AG60" i="16"/>
  <c r="AF55" i="16"/>
  <c r="AE47" i="16"/>
  <c r="AD41" i="16"/>
  <c r="AE40" i="16"/>
  <c r="AE38" i="16"/>
  <c r="AB11" i="16"/>
  <c r="AB26" i="16"/>
  <c r="AB39" i="16"/>
  <c r="AB60" i="16"/>
  <c r="AB9" i="16"/>
  <c r="AB24" i="16"/>
  <c r="AB8" i="16"/>
  <c r="AB21" i="16"/>
  <c r="AB36" i="16"/>
  <c r="AB55" i="16"/>
  <c r="AB15" i="16"/>
  <c r="AB30" i="16"/>
  <c r="AB48" i="16"/>
  <c r="AB23" i="16"/>
  <c r="AB27" i="16"/>
  <c r="AB20" i="16"/>
  <c r="AB37" i="16"/>
  <c r="AB43" i="16"/>
  <c r="AB52" i="16"/>
  <c r="AB16" i="16"/>
  <c r="AB40" i="16"/>
  <c r="AB49" i="16"/>
  <c r="AB4" i="16"/>
  <c r="AE61" i="16"/>
  <c r="AF60" i="16"/>
  <c r="AE55" i="16"/>
  <c r="AD54" i="16"/>
  <c r="AD47" i="16"/>
  <c r="AD38" i="16"/>
  <c r="AB32" i="16"/>
  <c r="AG20" i="16"/>
  <c r="AA9" i="16"/>
  <c r="AA24" i="16"/>
  <c r="AA37" i="16"/>
  <c r="AA58" i="16"/>
  <c r="AA7" i="16"/>
  <c r="AA22" i="16"/>
  <c r="AA6" i="16"/>
  <c r="AA19" i="16"/>
  <c r="AA34" i="16"/>
  <c r="AA53" i="16"/>
  <c r="AA23" i="16"/>
  <c r="AA27" i="16"/>
  <c r="AA60" i="16"/>
  <c r="AA20" i="16"/>
  <c r="AA43" i="16"/>
  <c r="AA52" i="16"/>
  <c r="AA11" i="16"/>
  <c r="AA16" i="16"/>
  <c r="AA40" i="16"/>
  <c r="AA49" i="16"/>
  <c r="AA55" i="16"/>
  <c r="AA4" i="16"/>
  <c r="AA31" i="16"/>
  <c r="AA46" i="16"/>
  <c r="AA8" i="16"/>
  <c r="AD61" i="16"/>
  <c r="AF59" i="16"/>
  <c r="AD55" i="16"/>
  <c r="AB41" i="16"/>
  <c r="AA32" i="16"/>
  <c r="AF31" i="16"/>
  <c r="AG30" i="16"/>
  <c r="AF20" i="16"/>
  <c r="Z7" i="16"/>
  <c r="Z22" i="16"/>
  <c r="Z35" i="16"/>
  <c r="Z56" i="16"/>
  <c r="Z5" i="16"/>
  <c r="Z20" i="16"/>
  <c r="Z4" i="16"/>
  <c r="Z17" i="16"/>
  <c r="Z32" i="16"/>
  <c r="Z51" i="16"/>
  <c r="Z43" i="16"/>
  <c r="Z52" i="16"/>
  <c r="Z11" i="16"/>
  <c r="Z16" i="16"/>
  <c r="Z37" i="16"/>
  <c r="Z40" i="16"/>
  <c r="Z49" i="16"/>
  <c r="Z55" i="16"/>
  <c r="Z31" i="16"/>
  <c r="Z46" i="16"/>
  <c r="Z8" i="16"/>
  <c r="Z28" i="16"/>
  <c r="Z58" i="16"/>
  <c r="Z61" i="16"/>
  <c r="Z12" i="16"/>
  <c r="Z60" i="16"/>
  <c r="AE59" i="16"/>
  <c r="AB54" i="16"/>
  <c r="AG53" i="16"/>
  <c r="AB47" i="16"/>
  <c r="AG46" i="16"/>
  <c r="AA41" i="16"/>
  <c r="AB38" i="16"/>
  <c r="AE31" i="16"/>
  <c r="AE29" i="16"/>
  <c r="AE20" i="16"/>
  <c r="AG13" i="16"/>
  <c r="Y5" i="16"/>
  <c r="Y20" i="16"/>
  <c r="Y33" i="16"/>
  <c r="Y54" i="16"/>
  <c r="Y3" i="16"/>
  <c r="Y18" i="16"/>
  <c r="Y2" i="16"/>
  <c r="Y15" i="16"/>
  <c r="Y30" i="16"/>
  <c r="Y49" i="16"/>
  <c r="Y11" i="16"/>
  <c r="Y16" i="16"/>
  <c r="Y37" i="16"/>
  <c r="Y40" i="16"/>
  <c r="Y55" i="16"/>
  <c r="Y31" i="16"/>
  <c r="Y46" i="16"/>
  <c r="Y4" i="16"/>
  <c r="Y8" i="16"/>
  <c r="Y28" i="16"/>
  <c r="Y58" i="16"/>
  <c r="Y61" i="16"/>
  <c r="Y12" i="16"/>
  <c r="Y34" i="16"/>
  <c r="Y41" i="16"/>
  <c r="Y17" i="16"/>
  <c r="AB61" i="16"/>
  <c r="Y60" i="16"/>
  <c r="AD59" i="16"/>
  <c r="AA54" i="16"/>
  <c r="AE53" i="16"/>
  <c r="AF52" i="16"/>
  <c r="AA47" i="16"/>
  <c r="AF46" i="16"/>
  <c r="AG44" i="16"/>
  <c r="Z41" i="16"/>
  <c r="AA38" i="16"/>
  <c r="AG37" i="16"/>
  <c r="AG35" i="16"/>
  <c r="AD31" i="16"/>
  <c r="AA30" i="16"/>
  <c r="AD29" i="16"/>
  <c r="AD20" i="16"/>
  <c r="AB19" i="16"/>
  <c r="AF18" i="16"/>
  <c r="AF13" i="16"/>
  <c r="AG11" i="16"/>
  <c r="AA61" i="16"/>
  <c r="Z54" i="16"/>
  <c r="AD53" i="16"/>
  <c r="AE52" i="16"/>
  <c r="Z47" i="16"/>
  <c r="AD46" i="16"/>
  <c r="AB45" i="16"/>
  <c r="AF44" i="16"/>
  <c r="Z38" i="16"/>
  <c r="AF37" i="16"/>
  <c r="AF35" i="16"/>
  <c r="Z30" i="16"/>
  <c r="AG28" i="16"/>
  <c r="AG25" i="16"/>
  <c r="Z19" i="16"/>
  <c r="AE18" i="16"/>
  <c r="AB14" i="16"/>
  <c r="AE13" i="16"/>
  <c r="AG12" i="16"/>
  <c r="AF11" i="16"/>
  <c r="AB10" i="16"/>
  <c r="AG9" i="16"/>
  <c r="AB59" i="16"/>
  <c r="AG58" i="16"/>
  <c r="AD52" i="16"/>
  <c r="AD51" i="16"/>
  <c r="AG50" i="16"/>
  <c r="Y47" i="16"/>
  <c r="AA45" i="16"/>
  <c r="AD44" i="16"/>
  <c r="Y38" i="16"/>
  <c r="AE37" i="16"/>
  <c r="AA36" i="16"/>
  <c r="AE35" i="16"/>
  <c r="AB31" i="16"/>
  <c r="AB29" i="16"/>
  <c r="AF28" i="16"/>
  <c r="AG27" i="16"/>
  <c r="AD26" i="16"/>
  <c r="AF25" i="16"/>
  <c r="Y19" i="16"/>
  <c r="AD18" i="16"/>
  <c r="AG16" i="16"/>
  <c r="AA14" i="16"/>
  <c r="AF12" i="16"/>
  <c r="AE11" i="16"/>
  <c r="AA10" i="16"/>
  <c r="AF9" i="16"/>
  <c r="AG5" i="16"/>
  <c r="AA59" i="16"/>
  <c r="AF58" i="16"/>
  <c r="AG57" i="16"/>
  <c r="AB53" i="16"/>
  <c r="AE50" i="16"/>
  <c r="AB46" i="16"/>
  <c r="Z45" i="16"/>
  <c r="AD37" i="16"/>
  <c r="Z36" i="16"/>
  <c r="AD35" i="16"/>
  <c r="AA29" i="16"/>
  <c r="AE28" i="16"/>
  <c r="AF27" i="16"/>
  <c r="AE25" i="16"/>
  <c r="AG24" i="16"/>
  <c r="AE16" i="16"/>
  <c r="AA15" i="16"/>
  <c r="Z14" i="16"/>
  <c r="AB13" i="16"/>
  <c r="AE12" i="16"/>
  <c r="Z10" i="16"/>
  <c r="AE9" i="16"/>
  <c r="AB6" i="16"/>
  <c r="AF5" i="16"/>
  <c r="Z59" i="16"/>
  <c r="AE58" i="16"/>
  <c r="AG56" i="16"/>
  <c r="Z53" i="16"/>
  <c r="Y52" i="16"/>
  <c r="AB51" i="16"/>
  <c r="AD50" i="16"/>
  <c r="Y45" i="16"/>
  <c r="AB44" i="16"/>
  <c r="Y36" i="16"/>
  <c r="AG34" i="16"/>
  <c r="Z29" i="16"/>
  <c r="AD28" i="16"/>
  <c r="AA26" i="16"/>
  <c r="AF24" i="16"/>
  <c r="AB18" i="16"/>
  <c r="AG17" i="16"/>
  <c r="AD16" i="16"/>
  <c r="Z15" i="16"/>
  <c r="Y14" i="16"/>
  <c r="AA13" i="16"/>
  <c r="Y10" i="16"/>
  <c r="AD9" i="16"/>
  <c r="AF8" i="16"/>
  <c r="AB7" i="16"/>
  <c r="Z6" i="16"/>
  <c r="AE5" i="16"/>
  <c r="X3" i="16"/>
  <c r="X18" i="16"/>
  <c r="X31" i="16"/>
  <c r="X52" i="16"/>
  <c r="X16" i="16"/>
  <c r="X13" i="16"/>
  <c r="X28" i="16"/>
  <c r="X41" i="16"/>
  <c r="X43" i="16"/>
  <c r="X45" i="16"/>
  <c r="X47" i="16"/>
  <c r="X53" i="16"/>
  <c r="X24" i="16"/>
  <c r="X17" i="16"/>
  <c r="AK16" i="16"/>
  <c r="AK29" i="16"/>
  <c r="AK50" i="16"/>
  <c r="AK14" i="16"/>
  <c r="AK11" i="16"/>
  <c r="AK26" i="16"/>
  <c r="AK39" i="16"/>
  <c r="W16" i="16"/>
  <c r="W29" i="16"/>
  <c r="W50" i="16"/>
  <c r="W14" i="16"/>
  <c r="W11" i="16"/>
  <c r="W26" i="16"/>
  <c r="W39" i="16"/>
  <c r="AK56" i="16"/>
  <c r="W53" i="16"/>
  <c r="W41" i="16"/>
  <c r="AK35" i="16"/>
  <c r="X34" i="16"/>
  <c r="W24" i="16"/>
  <c r="W17" i="16"/>
  <c r="AK13" i="16"/>
  <c r="X12" i="16"/>
  <c r="AJ14" i="16"/>
  <c r="AJ27" i="16"/>
  <c r="AJ42" i="16"/>
  <c r="AJ44" i="16"/>
  <c r="AJ46" i="16"/>
  <c r="AJ48" i="16"/>
  <c r="AJ61" i="16"/>
  <c r="AJ12" i="16"/>
  <c r="AJ9" i="16"/>
  <c r="AJ24" i="16"/>
  <c r="AJ37" i="16"/>
  <c r="V14" i="16"/>
  <c r="V27" i="16"/>
  <c r="V42" i="16"/>
  <c r="V44" i="16"/>
  <c r="V46" i="16"/>
  <c r="V48" i="16"/>
  <c r="V61" i="16"/>
  <c r="V12" i="16"/>
  <c r="V25" i="16"/>
  <c r="V9" i="16"/>
  <c r="V24" i="16"/>
  <c r="V37" i="16"/>
  <c r="V58" i="16"/>
  <c r="X61" i="16"/>
  <c r="X58" i="16"/>
  <c r="AJ56" i="16"/>
  <c r="V53" i="16"/>
  <c r="AJ50" i="16"/>
  <c r="AK44" i="16"/>
  <c r="AK41" i="16"/>
  <c r="V41" i="16"/>
  <c r="AJ35" i="16"/>
  <c r="W34" i="16"/>
  <c r="W28" i="16"/>
  <c r="AK25" i="16"/>
  <c r="AK21" i="16"/>
  <c r="V17" i="16"/>
  <c r="AJ13" i="16"/>
  <c r="W12" i="16"/>
  <c r="X8" i="16"/>
  <c r="AK5" i="16"/>
  <c r="X4" i="16"/>
  <c r="W61" i="16"/>
  <c r="W58" i="16"/>
  <c r="AK53" i="16"/>
  <c r="X49" i="16"/>
  <c r="X46" i="16"/>
  <c r="AJ41" i="16"/>
  <c r="V34" i="16"/>
  <c r="W31" i="16"/>
  <c r="AK28" i="16"/>
  <c r="V28" i="16"/>
  <c r="AJ25" i="16"/>
  <c r="AJ21" i="16"/>
  <c r="X20" i="16"/>
  <c r="AK9" i="16"/>
  <c r="W8" i="16"/>
  <c r="AJ5" i="16"/>
  <c r="W4" i="16"/>
  <c r="AI35" i="16"/>
  <c r="U35" i="16"/>
  <c r="AI22" i="16"/>
  <c r="U22" i="16"/>
  <c r="AI7" i="16"/>
  <c r="U7" i="16"/>
  <c r="AI59" i="16"/>
  <c r="U59" i="16"/>
  <c r="AI40" i="16"/>
  <c r="U40" i="16"/>
  <c r="AI25" i="16"/>
  <c r="U25" i="16"/>
  <c r="T61" i="16"/>
  <c r="T59" i="16"/>
  <c r="T57" i="16"/>
  <c r="T55" i="16"/>
  <c r="T53" i="16"/>
  <c r="T51" i="16"/>
  <c r="T49" i="16"/>
  <c r="T41" i="16"/>
  <c r="T39" i="16"/>
  <c r="T37" i="16"/>
  <c r="T35" i="16"/>
  <c r="T33" i="16"/>
  <c r="T31" i="16"/>
  <c r="T29" i="16"/>
  <c r="T27" i="16"/>
  <c r="T25" i="16"/>
  <c r="T23" i="16"/>
  <c r="T21" i="16"/>
  <c r="T19" i="16"/>
  <c r="T17" i="16"/>
  <c r="T15" i="16"/>
  <c r="T13" i="16"/>
  <c r="T11" i="16"/>
  <c r="T9" i="16"/>
  <c r="T7" i="16"/>
  <c r="T5" i="16"/>
  <c r="AD32" i="17" l="1"/>
  <c r="AH9" i="17"/>
  <c r="AI11" i="17"/>
  <c r="V10" i="17"/>
  <c r="Y54" i="17"/>
  <c r="AB29" i="17"/>
  <c r="AJ6" i="17"/>
  <c r="X3" i="17"/>
  <c r="Y3" i="17"/>
  <c r="Z3" i="17"/>
  <c r="AA3" i="17"/>
  <c r="W4" i="17"/>
  <c r="X4" i="17"/>
  <c r="U5" i="17"/>
  <c r="AC5" i="17"/>
  <c r="Y6" i="17"/>
  <c r="U7" i="17"/>
  <c r="X7" i="17"/>
  <c r="Y7" i="17"/>
  <c r="Z7" i="17"/>
  <c r="X8" i="17"/>
  <c r="Y8" i="17"/>
  <c r="Z8" i="17"/>
  <c r="U9" i="17"/>
  <c r="V9" i="17"/>
  <c r="U10" i="17"/>
  <c r="Z10" i="17"/>
  <c r="AB10" i="17"/>
  <c r="AJ10" i="17"/>
  <c r="U11" i="17"/>
  <c r="X11" i="17"/>
  <c r="Y11" i="17"/>
  <c r="Z11" i="17"/>
  <c r="X12" i="17"/>
  <c r="Y12" i="17"/>
  <c r="Z12" i="17"/>
  <c r="AB12" i="17"/>
  <c r="AJ12" i="17"/>
  <c r="U13" i="17"/>
  <c r="X13" i="17"/>
  <c r="AJ13" i="17"/>
  <c r="U14" i="17"/>
  <c r="Y14" i="17"/>
  <c r="Z14" i="17"/>
  <c r="AB14" i="17"/>
  <c r="AJ14" i="17"/>
  <c r="U15" i="17"/>
  <c r="W15" i="17"/>
  <c r="X15" i="17"/>
  <c r="AJ15" i="17"/>
  <c r="U16" i="17"/>
  <c r="V16" i="17"/>
  <c r="X16" i="17"/>
  <c r="Y16" i="17"/>
  <c r="AJ16" i="17"/>
  <c r="X18" i="17"/>
  <c r="Y18" i="17"/>
  <c r="Z18" i="17"/>
  <c r="AJ18" i="17"/>
  <c r="U19" i="17"/>
  <c r="X19" i="17"/>
  <c r="Y19" i="17"/>
  <c r="X20" i="17"/>
  <c r="Y20" i="17"/>
  <c r="Z20" i="17"/>
  <c r="AB20" i="17"/>
  <c r="AF20" i="17"/>
  <c r="AJ20" i="17"/>
  <c r="V21" i="17"/>
  <c r="AJ21" i="17"/>
  <c r="Y22" i="17"/>
  <c r="Z22" i="17"/>
  <c r="AB22" i="17"/>
  <c r="AI22" i="17"/>
  <c r="AJ22" i="17"/>
  <c r="V23" i="17"/>
  <c r="X23" i="17"/>
  <c r="AJ23" i="17"/>
  <c r="AK23" i="17"/>
  <c r="U24" i="17"/>
  <c r="X24" i="17"/>
  <c r="Y24" i="17"/>
  <c r="Z24" i="17"/>
  <c r="AJ24" i="17"/>
  <c r="AJ25" i="17"/>
  <c r="X26" i="17"/>
  <c r="Y26" i="17"/>
  <c r="AJ26" i="17"/>
  <c r="Y27" i="17"/>
  <c r="Z27" i="17"/>
  <c r="AA27" i="17"/>
  <c r="AJ27" i="17"/>
  <c r="U28" i="17"/>
  <c r="V28" i="17"/>
  <c r="AJ28" i="17"/>
  <c r="U29" i="17"/>
  <c r="X29" i="17"/>
  <c r="Y29" i="17"/>
  <c r="Z29" i="17"/>
  <c r="AJ29" i="17"/>
  <c r="U30" i="17"/>
  <c r="AJ30" i="17"/>
  <c r="Y31" i="17"/>
  <c r="Z31" i="17"/>
  <c r="AB31" i="17"/>
  <c r="AJ31" i="17"/>
  <c r="U32" i="17"/>
  <c r="X32" i="17"/>
  <c r="Y32" i="17"/>
  <c r="V33" i="17"/>
  <c r="X33" i="17"/>
  <c r="Y33" i="17"/>
  <c r="Z33" i="17"/>
  <c r="AB33" i="17"/>
  <c r="AJ33" i="17"/>
  <c r="U34" i="17"/>
  <c r="Z34" i="17"/>
  <c r="V35" i="17"/>
  <c r="W35" i="17"/>
  <c r="X35" i="17"/>
  <c r="AJ35" i="17"/>
  <c r="AK35" i="17"/>
  <c r="AJ36" i="17"/>
  <c r="U37" i="17"/>
  <c r="V37" i="17"/>
  <c r="X37" i="17"/>
  <c r="Y37" i="17"/>
  <c r="X38" i="17"/>
  <c r="Y38" i="17"/>
  <c r="AJ38" i="17"/>
  <c r="U39" i="17"/>
  <c r="X39" i="17"/>
  <c r="AJ39" i="17"/>
  <c r="AK39" i="17"/>
  <c r="Y40" i="17"/>
  <c r="AJ40" i="17"/>
  <c r="U41" i="17"/>
  <c r="X41" i="17"/>
  <c r="Y41" i="17"/>
  <c r="Z41" i="17"/>
  <c r="Y42" i="17"/>
  <c r="Z42" i="17"/>
  <c r="AB42" i="17"/>
  <c r="AJ42" i="17"/>
  <c r="U43" i="17"/>
  <c r="X43" i="17"/>
  <c r="Y43" i="17"/>
  <c r="AJ43" i="17"/>
  <c r="AK43" i="17"/>
  <c r="U44" i="17"/>
  <c r="Y44" i="17"/>
  <c r="AJ44" i="17"/>
  <c r="AK44" i="17"/>
  <c r="U45" i="17"/>
  <c r="X45" i="17"/>
  <c r="AB45" i="17"/>
  <c r="AJ45" i="17"/>
  <c r="U46" i="17"/>
  <c r="W46" i="17"/>
  <c r="AJ46" i="17"/>
  <c r="Y47" i="17"/>
  <c r="Z47" i="17"/>
  <c r="AH47" i="17"/>
  <c r="AJ47" i="17"/>
  <c r="AJ48" i="17"/>
  <c r="AK48" i="17"/>
  <c r="U49" i="17"/>
  <c r="V49" i="17"/>
  <c r="Y49" i="17"/>
  <c r="Z49" i="17"/>
  <c r="AB49" i="17"/>
  <c r="AI49" i="17"/>
  <c r="AJ49" i="17"/>
  <c r="U51" i="17"/>
  <c r="V51" i="17"/>
  <c r="X51" i="17"/>
  <c r="Y51" i="17"/>
  <c r="Z51" i="17"/>
  <c r="AB51" i="17"/>
  <c r="AJ51" i="17"/>
  <c r="AJ52" i="17"/>
  <c r="AK52" i="17"/>
  <c r="Z53" i="17"/>
  <c r="AJ53" i="17"/>
  <c r="AK53" i="17"/>
  <c r="U54" i="17"/>
  <c r="X54" i="17"/>
  <c r="AJ54" i="17"/>
  <c r="AJ55" i="17"/>
  <c r="AK55" i="17"/>
  <c r="U56" i="17"/>
  <c r="V56" i="17"/>
  <c r="X56" i="17"/>
  <c r="Y56" i="17"/>
  <c r="AB56" i="17"/>
  <c r="AF56" i="17"/>
  <c r="AJ57" i="17"/>
  <c r="AK57" i="17"/>
  <c r="Y58" i="17"/>
  <c r="Z58" i="17"/>
  <c r="AJ58" i="17"/>
  <c r="AK58" i="17"/>
  <c r="U59" i="17"/>
  <c r="X59" i="17"/>
  <c r="AJ59" i="17"/>
  <c r="AJ60" i="17"/>
  <c r="U61" i="17"/>
  <c r="V61" i="17"/>
  <c r="X61" i="17"/>
  <c r="Y61" i="17"/>
  <c r="Z61" i="17"/>
  <c r="AJ61" i="17"/>
  <c r="X2" i="17"/>
  <c r="Y2" i="17"/>
  <c r="Z2" i="17"/>
  <c r="AJ2" i="17"/>
  <c r="U26" i="17"/>
  <c r="AA21" i="18"/>
  <c r="W23" i="18"/>
  <c r="AC20" i="18"/>
  <c r="AD15" i="18"/>
  <c r="AE3" i="18"/>
  <c r="AF6" i="18"/>
  <c r="AJ19" i="18"/>
  <c r="AK17" i="18"/>
  <c r="Y3" i="18"/>
  <c r="Z3" i="18"/>
  <c r="AB3" i="18"/>
  <c r="AC3" i="18"/>
  <c r="AD3" i="18"/>
  <c r="AG3" i="18"/>
  <c r="AH3" i="18"/>
  <c r="AI3" i="18"/>
  <c r="AK3" i="18"/>
  <c r="U4" i="18"/>
  <c r="X4" i="18"/>
  <c r="Y4" i="18"/>
  <c r="Z4" i="18"/>
  <c r="AB4" i="18"/>
  <c r="AC4" i="18"/>
  <c r="AE4" i="18"/>
  <c r="AF4" i="18"/>
  <c r="AG4" i="18"/>
  <c r="AH4" i="18"/>
  <c r="AI4" i="18"/>
  <c r="U5" i="18"/>
  <c r="X5" i="18"/>
  <c r="Y5" i="18"/>
  <c r="Z5" i="18"/>
  <c r="AB5" i="18"/>
  <c r="AC5" i="18"/>
  <c r="AD5" i="18"/>
  <c r="AE5" i="18"/>
  <c r="AG5" i="18"/>
  <c r="AH5" i="18"/>
  <c r="AI5" i="18"/>
  <c r="AK5" i="18"/>
  <c r="W6" i="18"/>
  <c r="X6" i="18"/>
  <c r="Y6" i="18"/>
  <c r="Z6" i="18"/>
  <c r="AB6" i="18"/>
  <c r="AC6" i="18"/>
  <c r="AD6" i="18"/>
  <c r="AG6" i="18"/>
  <c r="AH6" i="18"/>
  <c r="AI6" i="18"/>
  <c r="AK6" i="18"/>
  <c r="W7" i="18"/>
  <c r="X7" i="18"/>
  <c r="Y7" i="18"/>
  <c r="Z7" i="18"/>
  <c r="AB7" i="18"/>
  <c r="AC7" i="18"/>
  <c r="AD7" i="18"/>
  <c r="AE7" i="18"/>
  <c r="AG7" i="18"/>
  <c r="AH7" i="18"/>
  <c r="AI7" i="18"/>
  <c r="AK7" i="18"/>
  <c r="Y8" i="18"/>
  <c r="Z8" i="18"/>
  <c r="AB8" i="18"/>
  <c r="AC8" i="18"/>
  <c r="AD8" i="18"/>
  <c r="AE8" i="18"/>
  <c r="AG8" i="18"/>
  <c r="AH8" i="18"/>
  <c r="AI8" i="18"/>
  <c r="AK8" i="18"/>
  <c r="W9" i="18"/>
  <c r="X9" i="18"/>
  <c r="Y9" i="18"/>
  <c r="Z9" i="18"/>
  <c r="AB9" i="18"/>
  <c r="AD9" i="18"/>
  <c r="AG9" i="18"/>
  <c r="AH9" i="18"/>
  <c r="AI9" i="18"/>
  <c r="X10" i="18"/>
  <c r="Y10" i="18"/>
  <c r="Z10" i="18"/>
  <c r="AB10" i="18"/>
  <c r="AD10" i="18"/>
  <c r="AE10" i="18"/>
  <c r="AG10" i="18"/>
  <c r="AH10" i="18"/>
  <c r="AI10" i="18"/>
  <c r="AK10" i="18"/>
  <c r="U11" i="18"/>
  <c r="X11" i="18"/>
  <c r="Y11" i="18"/>
  <c r="Z11" i="18"/>
  <c r="AB11" i="18"/>
  <c r="AD11" i="18"/>
  <c r="AG11" i="18"/>
  <c r="AH11" i="18"/>
  <c r="AI11" i="18"/>
  <c r="AK11" i="18"/>
  <c r="X12" i="18"/>
  <c r="Y12" i="18"/>
  <c r="Z12" i="18"/>
  <c r="AA12" i="18"/>
  <c r="AB12" i="18"/>
  <c r="AD12" i="18"/>
  <c r="AE12" i="18"/>
  <c r="AG12" i="18"/>
  <c r="AH12" i="18"/>
  <c r="AI12" i="18"/>
  <c r="AK12" i="18"/>
  <c r="W13" i="18"/>
  <c r="X13" i="18"/>
  <c r="Y13" i="18"/>
  <c r="Z13" i="18"/>
  <c r="AB13" i="18"/>
  <c r="AD13" i="18"/>
  <c r="AE13" i="18"/>
  <c r="AG13" i="18"/>
  <c r="AH13" i="18"/>
  <c r="AI13" i="18"/>
  <c r="AK13" i="18"/>
  <c r="W14" i="18"/>
  <c r="X14" i="18"/>
  <c r="Y14" i="18"/>
  <c r="Z14" i="18"/>
  <c r="AB14" i="18"/>
  <c r="AD14" i="18"/>
  <c r="AG14" i="18"/>
  <c r="AI14" i="18"/>
  <c r="AJ14" i="18"/>
  <c r="AK14" i="18"/>
  <c r="X15" i="18"/>
  <c r="Y15" i="18"/>
  <c r="Z15" i="18"/>
  <c r="AB15" i="18"/>
  <c r="AE15" i="18"/>
  <c r="AG15" i="18"/>
  <c r="AH15" i="18"/>
  <c r="AI15" i="18"/>
  <c r="AJ15" i="18"/>
  <c r="AK15" i="18"/>
  <c r="W16" i="18"/>
  <c r="X16" i="18"/>
  <c r="Y16" i="18"/>
  <c r="Z16" i="18"/>
  <c r="AB16" i="18"/>
  <c r="AC16" i="18"/>
  <c r="AD16" i="18"/>
  <c r="AG16" i="18"/>
  <c r="AH16" i="18"/>
  <c r="AI16" i="18"/>
  <c r="AJ16" i="18"/>
  <c r="AK16" i="18"/>
  <c r="X17" i="18"/>
  <c r="Z17" i="18"/>
  <c r="AB17" i="18"/>
  <c r="AC17" i="18"/>
  <c r="AD17" i="18"/>
  <c r="AE17" i="18"/>
  <c r="AG17" i="18"/>
  <c r="AH17" i="18"/>
  <c r="AI17" i="18"/>
  <c r="AJ17" i="18"/>
  <c r="X18" i="18"/>
  <c r="Y18" i="18"/>
  <c r="Z18" i="18"/>
  <c r="AB18" i="18"/>
  <c r="AC18" i="18"/>
  <c r="AD18" i="18"/>
  <c r="AE18" i="18"/>
  <c r="AG18" i="18"/>
  <c r="AH18" i="18"/>
  <c r="AI18" i="18"/>
  <c r="AK18" i="18"/>
  <c r="X19" i="18"/>
  <c r="Y19" i="18"/>
  <c r="Z19" i="18"/>
  <c r="AB19" i="18"/>
  <c r="AC19" i="18"/>
  <c r="AD19" i="18"/>
  <c r="AG19" i="18"/>
  <c r="AH19" i="18"/>
  <c r="AI19" i="18"/>
  <c r="W20" i="18"/>
  <c r="X20" i="18"/>
  <c r="Y20" i="18"/>
  <c r="Z20" i="18"/>
  <c r="AB20" i="18"/>
  <c r="AD20" i="18"/>
  <c r="AE20" i="18"/>
  <c r="AG20" i="18"/>
  <c r="AH20" i="18"/>
  <c r="AI20" i="18"/>
  <c r="AJ20" i="18"/>
  <c r="AK20" i="18"/>
  <c r="W21" i="18"/>
  <c r="X21" i="18"/>
  <c r="Y21" i="18"/>
  <c r="Z21" i="18"/>
  <c r="AB21" i="18"/>
  <c r="AD21" i="18"/>
  <c r="AE21" i="18"/>
  <c r="AF21" i="18"/>
  <c r="AG21" i="18"/>
  <c r="AH21" i="18"/>
  <c r="AI21" i="18"/>
  <c r="AK21" i="18"/>
  <c r="X22" i="18"/>
  <c r="Y22" i="18"/>
  <c r="Z22" i="18"/>
  <c r="AB22" i="18"/>
  <c r="AD22" i="18"/>
  <c r="AG22" i="18"/>
  <c r="AH22" i="18"/>
  <c r="AI22" i="18"/>
  <c r="AJ22" i="18"/>
  <c r="X23" i="18"/>
  <c r="Y23" i="18"/>
  <c r="Z23" i="18"/>
  <c r="AB23" i="18"/>
  <c r="AE23" i="18"/>
  <c r="AG23" i="18"/>
  <c r="AH23" i="18"/>
  <c r="AI23" i="18"/>
  <c r="AJ23" i="18"/>
  <c r="AK23" i="18"/>
  <c r="U24" i="18"/>
  <c r="X24" i="18"/>
  <c r="Y24" i="18"/>
  <c r="Z24" i="18"/>
  <c r="AB24" i="18"/>
  <c r="AD24" i="18"/>
  <c r="AE24" i="18"/>
  <c r="AG24" i="18"/>
  <c r="AI24" i="18"/>
  <c r="AK24" i="18"/>
  <c r="U25" i="18"/>
  <c r="X25" i="18"/>
  <c r="Y25" i="18"/>
  <c r="Z25" i="18"/>
  <c r="AB25" i="18"/>
  <c r="AD25" i="18"/>
  <c r="AE25" i="18"/>
  <c r="AG25" i="18"/>
  <c r="AH25" i="18"/>
  <c r="AI25" i="18"/>
  <c r="AJ25" i="18"/>
  <c r="AK25" i="18"/>
  <c r="Y26" i="18"/>
  <c r="Z26" i="18"/>
  <c r="AB26" i="18"/>
  <c r="AD26" i="18"/>
  <c r="AE26" i="18"/>
  <c r="AG26" i="18"/>
  <c r="AH26" i="18"/>
  <c r="AI26" i="18"/>
  <c r="AK26" i="18"/>
  <c r="W27" i="18"/>
  <c r="X27" i="18"/>
  <c r="Y27" i="18"/>
  <c r="Z27" i="18"/>
  <c r="AB27" i="18"/>
  <c r="AD27" i="18"/>
  <c r="AE27" i="18"/>
  <c r="AG27" i="18"/>
  <c r="AH27" i="18"/>
  <c r="AI27" i="18"/>
  <c r="AJ27" i="18"/>
  <c r="W28" i="18"/>
  <c r="X28" i="18"/>
  <c r="Y28" i="18"/>
  <c r="Z28" i="18"/>
  <c r="AB28" i="18"/>
  <c r="AD28" i="18"/>
  <c r="AG28" i="18"/>
  <c r="AH28" i="18"/>
  <c r="AI28" i="18"/>
  <c r="AJ28" i="18"/>
  <c r="X29" i="18"/>
  <c r="Y29" i="18"/>
  <c r="Z29" i="18"/>
  <c r="AB29" i="18"/>
  <c r="AD29" i="18"/>
  <c r="AE29" i="18"/>
  <c r="AG29" i="18"/>
  <c r="AH29" i="18"/>
  <c r="AI29" i="18"/>
  <c r="AJ29" i="18"/>
  <c r="AK29" i="18"/>
  <c r="X30" i="18"/>
  <c r="Y30" i="18"/>
  <c r="Z30" i="18"/>
  <c r="AB30" i="18"/>
  <c r="AG30" i="18"/>
  <c r="AH30" i="18"/>
  <c r="AI30" i="18"/>
  <c r="AJ30" i="18"/>
  <c r="AK30" i="18"/>
  <c r="U31" i="18"/>
  <c r="X31" i="18"/>
  <c r="Y31" i="18"/>
  <c r="Z31" i="18"/>
  <c r="AB31" i="18"/>
  <c r="AE31" i="18"/>
  <c r="AG31" i="18"/>
  <c r="AH31" i="18"/>
  <c r="AI31" i="18"/>
  <c r="AK31" i="18"/>
  <c r="U32" i="18"/>
  <c r="X32" i="18"/>
  <c r="Y32" i="18"/>
  <c r="Z32" i="18"/>
  <c r="AA32" i="18"/>
  <c r="AB32" i="18"/>
  <c r="AE32" i="18"/>
  <c r="AG32" i="18"/>
  <c r="AH32" i="18"/>
  <c r="AI32" i="18"/>
  <c r="AK32" i="18"/>
  <c r="X33" i="18"/>
  <c r="Y33" i="18"/>
  <c r="Z33" i="18"/>
  <c r="AB33" i="18"/>
  <c r="AE33" i="18"/>
  <c r="AG33" i="18"/>
  <c r="AH33" i="18"/>
  <c r="AI33" i="18"/>
  <c r="AJ33" i="18"/>
  <c r="AK33" i="18"/>
  <c r="W34" i="18"/>
  <c r="X34" i="18"/>
  <c r="Y34" i="18"/>
  <c r="Z34" i="18"/>
  <c r="AB34" i="18"/>
  <c r="AC34" i="18"/>
  <c r="AE34" i="18"/>
  <c r="AG34" i="18"/>
  <c r="AH34" i="18"/>
  <c r="AI34" i="18"/>
  <c r="AK34" i="18"/>
  <c r="W35" i="18"/>
  <c r="X35" i="18"/>
  <c r="Y35" i="18"/>
  <c r="Z35" i="18"/>
  <c r="AB35" i="18"/>
  <c r="AC35" i="18"/>
  <c r="AD35" i="18"/>
  <c r="AE35" i="18"/>
  <c r="AG35" i="18"/>
  <c r="AH35" i="18"/>
  <c r="AI35" i="18"/>
  <c r="AJ35" i="18"/>
  <c r="AK35" i="18"/>
  <c r="X36" i="18"/>
  <c r="Y36" i="18"/>
  <c r="Z36" i="18"/>
  <c r="AB36" i="18"/>
  <c r="AC36" i="18"/>
  <c r="AD36" i="18"/>
  <c r="AE36" i="18"/>
  <c r="AG36" i="18"/>
  <c r="AH36" i="18"/>
  <c r="AI36" i="18"/>
  <c r="AJ36" i="18"/>
  <c r="AK36" i="18"/>
  <c r="X37" i="18"/>
  <c r="Y37" i="18"/>
  <c r="Z37" i="18"/>
  <c r="AB37" i="18"/>
  <c r="AC37" i="18"/>
  <c r="AD37" i="18"/>
  <c r="AE37" i="18"/>
  <c r="AG37" i="18"/>
  <c r="AH37" i="18"/>
  <c r="AJ37" i="18"/>
  <c r="AK37" i="18"/>
  <c r="X38" i="18"/>
  <c r="Y38" i="18"/>
  <c r="Z38" i="18"/>
  <c r="AB38" i="18"/>
  <c r="AC38" i="18"/>
  <c r="AD38" i="18"/>
  <c r="AE38" i="18"/>
  <c r="AG38" i="18"/>
  <c r="AH38" i="18"/>
  <c r="AI38" i="18"/>
  <c r="AJ38" i="18"/>
  <c r="AK38" i="18"/>
  <c r="X39" i="18"/>
  <c r="Y39" i="18"/>
  <c r="Z39" i="18"/>
  <c r="AB39" i="18"/>
  <c r="AC39" i="18"/>
  <c r="AD39" i="18"/>
  <c r="AG39" i="18"/>
  <c r="AH39" i="18"/>
  <c r="AI39" i="18"/>
  <c r="AJ39" i="18"/>
  <c r="AK39" i="18"/>
  <c r="W40" i="18"/>
  <c r="X40" i="18"/>
  <c r="Y40" i="18"/>
  <c r="Z40" i="18"/>
  <c r="AB40" i="18"/>
  <c r="AD40" i="18"/>
  <c r="AE40" i="18"/>
  <c r="AG40" i="18"/>
  <c r="AH40" i="18"/>
  <c r="AI40" i="18"/>
  <c r="AJ40" i="18"/>
  <c r="AK40" i="18"/>
  <c r="W41" i="18"/>
  <c r="X41" i="18"/>
  <c r="Y41" i="18"/>
  <c r="Z41" i="18"/>
  <c r="AA41" i="18"/>
  <c r="AB41" i="18"/>
  <c r="AD41" i="18"/>
  <c r="AE41" i="18"/>
  <c r="AG41" i="18"/>
  <c r="AH41" i="18"/>
  <c r="AI41" i="18"/>
  <c r="AJ41" i="18"/>
  <c r="AK41" i="18"/>
  <c r="X42" i="18"/>
  <c r="Y42" i="18"/>
  <c r="Z42" i="18"/>
  <c r="AB42" i="18"/>
  <c r="AD42" i="18"/>
  <c r="AG42" i="18"/>
  <c r="AH42" i="18"/>
  <c r="AI42" i="18"/>
  <c r="AJ42" i="18"/>
  <c r="AK42" i="18"/>
  <c r="W43" i="18"/>
  <c r="X43" i="18"/>
  <c r="Y43" i="18"/>
  <c r="Z43" i="18"/>
  <c r="AB43" i="18"/>
  <c r="AC43" i="18"/>
  <c r="AD43" i="18"/>
  <c r="AE43" i="18"/>
  <c r="AG43" i="18"/>
  <c r="AH43" i="18"/>
  <c r="AI43" i="18"/>
  <c r="AJ43" i="18"/>
  <c r="AK43" i="18"/>
  <c r="X44" i="18"/>
  <c r="Y44" i="18"/>
  <c r="Z44" i="18"/>
  <c r="AB44" i="18"/>
  <c r="AC44" i="18"/>
  <c r="AD44" i="18"/>
  <c r="AE44" i="18"/>
  <c r="AG44" i="18"/>
  <c r="AH44" i="18"/>
  <c r="AI44" i="18"/>
  <c r="AJ44" i="18"/>
  <c r="AK44" i="18"/>
  <c r="U45" i="18"/>
  <c r="X45" i="18"/>
  <c r="Y45" i="18"/>
  <c r="Z45" i="18"/>
  <c r="AB45" i="18"/>
  <c r="AC45" i="18"/>
  <c r="AD45" i="18"/>
  <c r="AG45" i="18"/>
  <c r="AH45" i="18"/>
  <c r="AI45" i="18"/>
  <c r="AJ45" i="18"/>
  <c r="AK45" i="18"/>
  <c r="U46" i="18"/>
  <c r="X46" i="18"/>
  <c r="Y46" i="18"/>
  <c r="Z46" i="18"/>
  <c r="AB46" i="18"/>
  <c r="AC46" i="18"/>
  <c r="AD46" i="18"/>
  <c r="AE46" i="18"/>
  <c r="AG46" i="18"/>
  <c r="AH46" i="18"/>
  <c r="AI46" i="18"/>
  <c r="AJ46" i="18"/>
  <c r="AK46" i="18"/>
  <c r="W47" i="18"/>
  <c r="X47" i="18"/>
  <c r="Y47" i="18"/>
  <c r="Z47" i="18"/>
  <c r="AB47" i="18"/>
  <c r="AC47" i="18"/>
  <c r="AD47" i="18"/>
  <c r="AE47" i="18"/>
  <c r="AH47" i="18"/>
  <c r="AI47" i="18"/>
  <c r="AJ47" i="18"/>
  <c r="AK47" i="18"/>
  <c r="W48" i="18"/>
  <c r="X48" i="18"/>
  <c r="Y48" i="18"/>
  <c r="Z48" i="18"/>
  <c r="AB48" i="18"/>
  <c r="AD48" i="18"/>
  <c r="AG48" i="18"/>
  <c r="AH48" i="18"/>
  <c r="AI48" i="18"/>
  <c r="AJ48" i="18"/>
  <c r="AK48" i="18"/>
  <c r="X49" i="18"/>
  <c r="Y49" i="18"/>
  <c r="Z49" i="18"/>
  <c r="AD49" i="18"/>
  <c r="AE49" i="18"/>
  <c r="AG49" i="18"/>
  <c r="AH49" i="18"/>
  <c r="AI49" i="18"/>
  <c r="AJ49" i="18"/>
  <c r="AK49" i="18"/>
  <c r="W50" i="18"/>
  <c r="X50" i="18"/>
  <c r="Y50" i="18"/>
  <c r="Z50" i="18"/>
  <c r="AB50" i="18"/>
  <c r="AD50" i="18"/>
  <c r="AE50" i="18"/>
  <c r="AG50" i="18"/>
  <c r="AH50" i="18"/>
  <c r="AI50" i="18"/>
  <c r="AJ50" i="18"/>
  <c r="AK50" i="18"/>
  <c r="X51" i="18"/>
  <c r="Y51" i="18"/>
  <c r="Z51" i="18"/>
  <c r="AA51" i="18"/>
  <c r="AB51" i="18"/>
  <c r="AD51" i="18"/>
  <c r="AE51" i="18"/>
  <c r="AG51" i="18"/>
  <c r="AH51" i="18"/>
  <c r="AI51" i="18"/>
  <c r="AJ51" i="18"/>
  <c r="AK51" i="18"/>
  <c r="X52" i="18"/>
  <c r="Y52" i="18"/>
  <c r="Z52" i="18"/>
  <c r="AB52" i="18"/>
  <c r="AD52" i="18"/>
  <c r="AE52" i="18"/>
  <c r="AG52" i="18"/>
  <c r="AH52" i="18"/>
  <c r="AI52" i="18"/>
  <c r="AJ52" i="18"/>
  <c r="AK52" i="18"/>
  <c r="U53" i="18"/>
  <c r="X53" i="18"/>
  <c r="Y53" i="18"/>
  <c r="AB53" i="18"/>
  <c r="AD53" i="18"/>
  <c r="AE53" i="18"/>
  <c r="AG53" i="18"/>
  <c r="AH53" i="18"/>
  <c r="AI53" i="18"/>
  <c r="AJ53" i="18"/>
  <c r="AK53" i="18"/>
  <c r="W54" i="18"/>
  <c r="X54" i="18"/>
  <c r="Y54" i="18"/>
  <c r="Z54" i="18"/>
  <c r="AB54" i="18"/>
  <c r="AD54" i="18"/>
  <c r="AE54" i="18"/>
  <c r="AG54" i="18"/>
  <c r="AH54" i="18"/>
  <c r="AI54" i="18"/>
  <c r="AJ54" i="18"/>
  <c r="AK54" i="18"/>
  <c r="W55" i="18"/>
  <c r="X55" i="18"/>
  <c r="Y55" i="18"/>
  <c r="Z55" i="18"/>
  <c r="AB55" i="18"/>
  <c r="AD55" i="18"/>
  <c r="AG55" i="18"/>
  <c r="AH55" i="18"/>
  <c r="AI55" i="18"/>
  <c r="AJ55" i="18"/>
  <c r="AK55" i="18"/>
  <c r="X56" i="18"/>
  <c r="Y56" i="18"/>
  <c r="Z56" i="18"/>
  <c r="AB56" i="18"/>
  <c r="AE56" i="18"/>
  <c r="AG56" i="18"/>
  <c r="AH56" i="18"/>
  <c r="AI56" i="18"/>
  <c r="AJ56" i="18"/>
  <c r="AK56" i="18"/>
  <c r="W57" i="18"/>
  <c r="X57" i="18"/>
  <c r="Y57" i="18"/>
  <c r="Z57" i="18"/>
  <c r="AB57" i="18"/>
  <c r="AG57" i="18"/>
  <c r="AH57" i="18"/>
  <c r="AI57" i="18"/>
  <c r="AJ57" i="18"/>
  <c r="AK57" i="18"/>
  <c r="X58" i="18"/>
  <c r="Y58" i="18"/>
  <c r="Z58" i="18"/>
  <c r="AB58" i="18"/>
  <c r="AE58" i="18"/>
  <c r="AG58" i="18"/>
  <c r="AH58" i="18"/>
  <c r="AI58" i="18"/>
  <c r="AJ58" i="18"/>
  <c r="AK58" i="18"/>
  <c r="U59" i="18"/>
  <c r="Y59" i="18"/>
  <c r="Z59" i="18"/>
  <c r="AB59" i="18"/>
  <c r="AE59" i="18"/>
  <c r="AG59" i="18"/>
  <c r="AH59" i="18"/>
  <c r="AI59" i="18"/>
  <c r="AJ59" i="18"/>
  <c r="AK59" i="18"/>
  <c r="U60" i="18"/>
  <c r="X60" i="18"/>
  <c r="Y60" i="18"/>
  <c r="Z60" i="18"/>
  <c r="AB60" i="18"/>
  <c r="AG60" i="18"/>
  <c r="AH60" i="18"/>
  <c r="AI60" i="18"/>
  <c r="AJ60" i="18"/>
  <c r="AK60" i="18"/>
  <c r="W61" i="18"/>
  <c r="X61" i="18"/>
  <c r="Y61" i="18"/>
  <c r="Z61" i="18"/>
  <c r="AA61" i="18"/>
  <c r="AB61" i="18"/>
  <c r="AC61" i="18"/>
  <c r="AE61" i="18"/>
  <c r="AG61" i="18"/>
  <c r="AH61" i="18"/>
  <c r="AI61" i="18"/>
  <c r="AJ61" i="18"/>
  <c r="AK61" i="18"/>
  <c r="W2" i="18"/>
  <c r="X2" i="18"/>
  <c r="Y2" i="18"/>
  <c r="Z2" i="18"/>
  <c r="AB2" i="18"/>
  <c r="AC2" i="18"/>
  <c r="AE2" i="18"/>
  <c r="AG2" i="18"/>
  <c r="AH2" i="18"/>
  <c r="AI2" i="18"/>
  <c r="AJ2" i="18"/>
  <c r="AK2" i="18"/>
  <c r="T41" i="17"/>
  <c r="T43" i="17"/>
  <c r="T54" i="17"/>
  <c r="T55" i="17"/>
  <c r="U55" i="17"/>
  <c r="U10" i="18"/>
  <c r="T26" i="18"/>
  <c r="T39" i="18"/>
  <c r="AG47" i="18"/>
  <c r="Z53" i="18"/>
  <c r="T54" i="18"/>
  <c r="X59" i="18"/>
  <c r="T40" i="17"/>
  <c r="K42" i="17"/>
  <c r="P56" i="17"/>
  <c r="U3" i="18"/>
  <c r="X3" i="18"/>
  <c r="AD4" i="18"/>
  <c r="X8" i="18"/>
  <c r="AK9" i="18"/>
  <c r="AH14" i="18"/>
  <c r="Y17" i="18"/>
  <c r="AH24" i="18"/>
  <c r="X26" i="18"/>
  <c r="AI37" i="18"/>
  <c r="AB49" i="18"/>
  <c r="L46" i="18"/>
  <c r="N52" i="18"/>
  <c r="J20" i="18"/>
  <c r="G21" i="18"/>
  <c r="C13" i="18"/>
  <c r="D17" i="18"/>
  <c r="E29" i="18"/>
  <c r="F7" i="18"/>
  <c r="G61" i="18"/>
  <c r="H16" i="18"/>
  <c r="P49" i="18"/>
  <c r="Q48" i="18"/>
  <c r="R49" i="18"/>
  <c r="I31" i="18"/>
  <c r="J16" i="18"/>
  <c r="K27" i="18"/>
  <c r="L53" i="18"/>
  <c r="M13" i="18"/>
  <c r="N27" i="18"/>
  <c r="P37" i="18"/>
  <c r="B25" i="18"/>
  <c r="AG10" i="17" l="1"/>
  <c r="AG55" i="17"/>
  <c r="AG22" i="17"/>
  <c r="AG31" i="17"/>
  <c r="AG36" i="17"/>
  <c r="AG40" i="17"/>
  <c r="AG49" i="17"/>
  <c r="AG6" i="17"/>
  <c r="AG14" i="17"/>
  <c r="AG18" i="17"/>
  <c r="AG27" i="17"/>
  <c r="AG44" i="17"/>
  <c r="AG60" i="17"/>
  <c r="AG8" i="17"/>
  <c r="AG29" i="17"/>
  <c r="AG33" i="17"/>
  <c r="AG52" i="17"/>
  <c r="AG57" i="17"/>
  <c r="AG4" i="17"/>
  <c r="AG16" i="17"/>
  <c r="AG24" i="17"/>
  <c r="AG46" i="17"/>
  <c r="AG51" i="17"/>
  <c r="R26" i="17"/>
  <c r="S48" i="17"/>
  <c r="AF22" i="17"/>
  <c r="AF31" i="17"/>
  <c r="AF36" i="17"/>
  <c r="AF40" i="17"/>
  <c r="AF49" i="17"/>
  <c r="AF6" i="17"/>
  <c r="AF14" i="17"/>
  <c r="AF18" i="17"/>
  <c r="AF27" i="17"/>
  <c r="AF44" i="17"/>
  <c r="AF60" i="17"/>
  <c r="AF43" i="17"/>
  <c r="AF48" i="17"/>
  <c r="AF54" i="17"/>
  <c r="AF4" i="17"/>
  <c r="AF16" i="17"/>
  <c r="AF24" i="17"/>
  <c r="AF46" i="17"/>
  <c r="AF51" i="17"/>
  <c r="AF11" i="17"/>
  <c r="AF41" i="17"/>
  <c r="R2" i="17"/>
  <c r="AI2" i="17"/>
  <c r="AH59" i="17"/>
  <c r="AH54" i="17"/>
  <c r="AG47" i="17"/>
  <c r="AH37" i="17"/>
  <c r="AI35" i="17"/>
  <c r="AI29" i="17"/>
  <c r="AH5" i="17"/>
  <c r="AH3" i="17"/>
  <c r="AE19" i="17"/>
  <c r="AE14" i="17"/>
  <c r="AE44" i="17"/>
  <c r="AE60" i="17"/>
  <c r="S14" i="17"/>
  <c r="AH2" i="17"/>
  <c r="AG59" i="17"/>
  <c r="AG54" i="17"/>
  <c r="AI52" i="17"/>
  <c r="AF47" i="17"/>
  <c r="AG45" i="17"/>
  <c r="AI41" i="17"/>
  <c r="AI39" i="17"/>
  <c r="AG37" i="17"/>
  <c r="AH35" i="17"/>
  <c r="AI33" i="17"/>
  <c r="AF29" i="17"/>
  <c r="AI27" i="17"/>
  <c r="AI17" i="17"/>
  <c r="AI9" i="17"/>
  <c r="AH7" i="17"/>
  <c r="AG5" i="17"/>
  <c r="AG3" i="17"/>
  <c r="P2" i="17"/>
  <c r="AG2" i="17"/>
  <c r="AF59" i="17"/>
  <c r="AI57" i="17"/>
  <c r="AH52" i="17"/>
  <c r="AB47" i="17"/>
  <c r="AF45" i="17"/>
  <c r="AI43" i="17"/>
  <c r="AH41" i="17"/>
  <c r="AH39" i="17"/>
  <c r="AF37" i="17"/>
  <c r="AG35" i="17"/>
  <c r="AF33" i="17"/>
  <c r="AI31" i="17"/>
  <c r="AH27" i="17"/>
  <c r="AH25" i="17"/>
  <c r="AH17" i="17"/>
  <c r="AG7" i="17"/>
  <c r="AF5" i="17"/>
  <c r="AF3" i="17"/>
  <c r="S26" i="17"/>
  <c r="S2" i="17"/>
  <c r="S21" i="17"/>
  <c r="S30" i="17"/>
  <c r="AI15" i="17"/>
  <c r="AI23" i="17"/>
  <c r="AI28" i="17"/>
  <c r="AI45" i="17"/>
  <c r="AI61" i="17"/>
  <c r="AI10" i="17"/>
  <c r="AI55" i="17"/>
  <c r="AI25" i="17"/>
  <c r="AI42" i="17"/>
  <c r="AI47" i="17"/>
  <c r="AI12" i="17"/>
  <c r="AI20" i="17"/>
  <c r="AI38" i="17"/>
  <c r="S60" i="17"/>
  <c r="S28" i="17"/>
  <c r="AI59" i="17"/>
  <c r="AI54" i="17"/>
  <c r="AI5" i="17"/>
  <c r="AH15" i="17"/>
  <c r="AH23" i="17"/>
  <c r="AH28" i="17"/>
  <c r="AH45" i="17"/>
  <c r="AH61" i="17"/>
  <c r="AH10" i="17"/>
  <c r="AH55" i="17"/>
  <c r="AH22" i="17"/>
  <c r="AH31" i="17"/>
  <c r="AH36" i="17"/>
  <c r="AH40" i="17"/>
  <c r="AH49" i="17"/>
  <c r="AH12" i="17"/>
  <c r="AH20" i="17"/>
  <c r="AH38" i="17"/>
  <c r="AH8" i="17"/>
  <c r="AH29" i="17"/>
  <c r="AH33" i="17"/>
  <c r="R19" i="17"/>
  <c r="S9" i="17"/>
  <c r="AF2" i="17"/>
  <c r="AH57" i="17"/>
  <c r="AF52" i="17"/>
  <c r="AH43" i="17"/>
  <c r="AG41" i="17"/>
  <c r="AG39" i="17"/>
  <c r="AF35" i="17"/>
  <c r="AG25" i="17"/>
  <c r="AI21" i="17"/>
  <c r="AH19" i="17"/>
  <c r="AG17" i="17"/>
  <c r="AG15" i="17"/>
  <c r="AI13" i="17"/>
  <c r="AH11" i="17"/>
  <c r="AG9" i="17"/>
  <c r="AF7" i="17"/>
  <c r="AB18" i="17"/>
  <c r="AB27" i="17"/>
  <c r="AB43" i="17"/>
  <c r="AB48" i="17"/>
  <c r="AB54" i="17"/>
  <c r="AB13" i="17"/>
  <c r="AB26" i="17"/>
  <c r="AB35" i="17"/>
  <c r="AB39" i="17"/>
  <c r="AB59" i="17"/>
  <c r="AB3" i="17"/>
  <c r="AB7" i="17"/>
  <c r="AB11" i="17"/>
  <c r="AB32" i="17"/>
  <c r="AB41" i="17"/>
  <c r="AB19" i="17"/>
  <c r="AB37" i="17"/>
  <c r="AB50" i="17"/>
  <c r="S44" i="17"/>
  <c r="AB2" i="17"/>
  <c r="AI60" i="17"/>
  <c r="AF57" i="17"/>
  <c r="AE52" i="17"/>
  <c r="AH50" i="17"/>
  <c r="AG43" i="17"/>
  <c r="AF39" i="17"/>
  <c r="AF25" i="17"/>
  <c r="AG23" i="17"/>
  <c r="AH21" i="17"/>
  <c r="AG19" i="17"/>
  <c r="AF17" i="17"/>
  <c r="AF15" i="17"/>
  <c r="AH13" i="17"/>
  <c r="AG11" i="17"/>
  <c r="AF9" i="17"/>
  <c r="AB5" i="17"/>
  <c r="AA6" i="17"/>
  <c r="AA26" i="17"/>
  <c r="AC35" i="17"/>
  <c r="AC3" i="17"/>
  <c r="AC7" i="17"/>
  <c r="R44" i="17"/>
  <c r="AH60" i="17"/>
  <c r="AB57" i="17"/>
  <c r="AB52" i="17"/>
  <c r="AG50" i="17"/>
  <c r="AB25" i="17"/>
  <c r="AF23" i="17"/>
  <c r="AG21" i="17"/>
  <c r="AF19" i="17"/>
  <c r="AB17" i="17"/>
  <c r="AB15" i="17"/>
  <c r="AG13" i="17"/>
  <c r="AB9" i="17"/>
  <c r="Z26" i="17"/>
  <c r="Z43" i="17"/>
  <c r="Z48" i="17"/>
  <c r="Z54" i="17"/>
  <c r="Z13" i="17"/>
  <c r="Z35" i="17"/>
  <c r="Z39" i="17"/>
  <c r="Z59" i="17"/>
  <c r="Z5" i="17"/>
  <c r="Z9" i="17"/>
  <c r="Z21" i="17"/>
  <c r="Z30" i="17"/>
  <c r="Z19" i="17"/>
  <c r="Z37" i="17"/>
  <c r="Z50" i="17"/>
  <c r="Z56" i="17"/>
  <c r="Z15" i="17"/>
  <c r="Z23" i="17"/>
  <c r="Z28" i="17"/>
  <c r="Z45" i="17"/>
  <c r="AD60" i="17"/>
  <c r="Z57" i="17"/>
  <c r="AF55" i="17"/>
  <c r="Z52" i="17"/>
  <c r="AF50" i="17"/>
  <c r="AI48" i="17"/>
  <c r="AI46" i="17"/>
  <c r="Z25" i="17"/>
  <c r="AB23" i="17"/>
  <c r="AF21" i="17"/>
  <c r="Z17" i="17"/>
  <c r="AF13" i="17"/>
  <c r="AI4" i="17"/>
  <c r="Y13" i="17"/>
  <c r="Y35" i="17"/>
  <c r="Y39" i="17"/>
  <c r="Y59" i="17"/>
  <c r="Y5" i="17"/>
  <c r="Y9" i="17"/>
  <c r="Y21" i="17"/>
  <c r="Y30" i="17"/>
  <c r="Y17" i="17"/>
  <c r="Y34" i="17"/>
  <c r="Y53" i="17"/>
  <c r="Y15" i="17"/>
  <c r="Y23" i="17"/>
  <c r="Y28" i="17"/>
  <c r="Y45" i="17"/>
  <c r="Y10" i="17"/>
  <c r="R52" i="17"/>
  <c r="AB60" i="17"/>
  <c r="AI58" i="17"/>
  <c r="Y57" i="17"/>
  <c r="AB55" i="17"/>
  <c r="AI53" i="17"/>
  <c r="Y52" i="17"/>
  <c r="Y50" i="17"/>
  <c r="AH48" i="17"/>
  <c r="AH46" i="17"/>
  <c r="AI34" i="17"/>
  <c r="AI30" i="17"/>
  <c r="AI26" i="17"/>
  <c r="Y25" i="17"/>
  <c r="AB21" i="17"/>
  <c r="AH4" i="17"/>
  <c r="X5" i="17"/>
  <c r="X9" i="17"/>
  <c r="X21" i="17"/>
  <c r="X30" i="17"/>
  <c r="X17" i="17"/>
  <c r="X34" i="17"/>
  <c r="X53" i="17"/>
  <c r="X25" i="17"/>
  <c r="X42" i="17"/>
  <c r="X47" i="17"/>
  <c r="X58" i="17"/>
  <c r="X10" i="17"/>
  <c r="X55" i="17"/>
  <c r="X6" i="17"/>
  <c r="X14" i="17"/>
  <c r="X22" i="17"/>
  <c r="X27" i="17"/>
  <c r="X31" i="17"/>
  <c r="X36" i="17"/>
  <c r="X40" i="17"/>
  <c r="X44" i="17"/>
  <c r="X49" i="17"/>
  <c r="Z60" i="17"/>
  <c r="AH58" i="17"/>
  <c r="X57" i="17"/>
  <c r="Z55" i="17"/>
  <c r="AH53" i="17"/>
  <c r="X52" i="17"/>
  <c r="X50" i="17"/>
  <c r="AG48" i="17"/>
  <c r="AB46" i="17"/>
  <c r="AI44" i="17"/>
  <c r="AG38" i="17"/>
  <c r="AI36" i="17"/>
  <c r="AH34" i="17"/>
  <c r="AH32" i="17"/>
  <c r="AH30" i="17"/>
  <c r="AG28" i="17"/>
  <c r="AH26" i="17"/>
  <c r="AI16" i="17"/>
  <c r="AI8" i="17"/>
  <c r="AI6" i="17"/>
  <c r="AC4" i="17"/>
  <c r="AK13" i="17"/>
  <c r="AK24" i="17"/>
  <c r="AK51" i="17"/>
  <c r="AK3" i="17"/>
  <c r="AK11" i="17"/>
  <c r="AK50" i="17"/>
  <c r="AK56" i="17"/>
  <c r="W34" i="17"/>
  <c r="W52" i="17"/>
  <c r="S51" i="17"/>
  <c r="AG61" i="17"/>
  <c r="Y60" i="17"/>
  <c r="AG58" i="17"/>
  <c r="U57" i="17"/>
  <c r="Y55" i="17"/>
  <c r="AG53" i="17"/>
  <c r="U50" i="17"/>
  <c r="Y48" i="17"/>
  <c r="Z46" i="17"/>
  <c r="AH44" i="17"/>
  <c r="AH42" i="17"/>
  <c r="AI40" i="17"/>
  <c r="AF38" i="17"/>
  <c r="AB36" i="17"/>
  <c r="AG34" i="17"/>
  <c r="AG32" i="17"/>
  <c r="AG30" i="17"/>
  <c r="AF28" i="17"/>
  <c r="AG26" i="17"/>
  <c r="AI24" i="17"/>
  <c r="U23" i="17"/>
  <c r="U21" i="17"/>
  <c r="AH16" i="17"/>
  <c r="AK10" i="17"/>
  <c r="AF8" i="17"/>
  <c r="AH6" i="17"/>
  <c r="AB4" i="17"/>
  <c r="R30" i="17"/>
  <c r="D6" i="17"/>
  <c r="G2" i="17"/>
  <c r="S36" i="17"/>
  <c r="AF61" i="17"/>
  <c r="X60" i="17"/>
  <c r="AF58" i="17"/>
  <c r="AH56" i="17"/>
  <c r="AF53" i="17"/>
  <c r="AI51" i="17"/>
  <c r="AK49" i="17"/>
  <c r="X48" i="17"/>
  <c r="Y46" i="17"/>
  <c r="AB44" i="17"/>
  <c r="AG42" i="17"/>
  <c r="AB40" i="17"/>
  <c r="AB38" i="17"/>
  <c r="Z36" i="17"/>
  <c r="AF34" i="17"/>
  <c r="AF32" i="17"/>
  <c r="AF30" i="17"/>
  <c r="AB28" i="17"/>
  <c r="AF26" i="17"/>
  <c r="AH24" i="17"/>
  <c r="AK22" i="17"/>
  <c r="AI18" i="17"/>
  <c r="AB16" i="17"/>
  <c r="AI14" i="17"/>
  <c r="AG12" i="17"/>
  <c r="AC8" i="17"/>
  <c r="AB6" i="17"/>
  <c r="Z4" i="17"/>
  <c r="AI3" i="17"/>
  <c r="S33" i="17"/>
  <c r="U17" i="17"/>
  <c r="U47" i="17"/>
  <c r="U53" i="17"/>
  <c r="U58" i="17"/>
  <c r="U25" i="17"/>
  <c r="U42" i="17"/>
  <c r="U52" i="17"/>
  <c r="U4" i="17"/>
  <c r="U8" i="17"/>
  <c r="U12" i="17"/>
  <c r="U20" i="17"/>
  <c r="U33" i="17"/>
  <c r="U38" i="17"/>
  <c r="U2" i="17"/>
  <c r="U6" i="17"/>
  <c r="U22" i="17"/>
  <c r="U27" i="17"/>
  <c r="U31" i="17"/>
  <c r="U36" i="17"/>
  <c r="U40" i="17"/>
  <c r="U18" i="17"/>
  <c r="U35" i="17"/>
  <c r="AB61" i="17"/>
  <c r="U60" i="17"/>
  <c r="AB58" i="17"/>
  <c r="AG56" i="17"/>
  <c r="AK54" i="17"/>
  <c r="AB53" i="17"/>
  <c r="AH51" i="17"/>
  <c r="U48" i="17"/>
  <c r="X46" i="17"/>
  <c r="Z44" i="17"/>
  <c r="AF42" i="17"/>
  <c r="Z40" i="17"/>
  <c r="Z38" i="17"/>
  <c r="Y36" i="17"/>
  <c r="AB34" i="17"/>
  <c r="Z32" i="17"/>
  <c r="AB30" i="17"/>
  <c r="X28" i="17"/>
  <c r="AE26" i="17"/>
  <c r="AB24" i="17"/>
  <c r="AG20" i="17"/>
  <c r="AH18" i="17"/>
  <c r="Z16" i="17"/>
  <c r="AH14" i="17"/>
  <c r="AF12" i="17"/>
  <c r="AF10" i="17"/>
  <c r="AB8" i="17"/>
  <c r="Z6" i="17"/>
  <c r="Y4" i="17"/>
  <c r="AD3" i="17"/>
  <c r="V44" i="17"/>
  <c r="AJ34" i="17"/>
  <c r="AJ17" i="17"/>
  <c r="V14" i="17"/>
  <c r="AC9" i="17"/>
  <c r="V58" i="17"/>
  <c r="AJ56" i="17"/>
  <c r="AJ50" i="17"/>
  <c r="V47" i="17"/>
  <c r="AJ37" i="17"/>
  <c r="AJ32" i="17"/>
  <c r="AJ19" i="17"/>
  <c r="AJ7" i="17"/>
  <c r="AK31" i="17"/>
  <c r="W9" i="17"/>
  <c r="AI56" i="17"/>
  <c r="AI50" i="17"/>
  <c r="AJ41" i="17"/>
  <c r="AI37" i="17"/>
  <c r="AI32" i="17"/>
  <c r="AI19" i="17"/>
  <c r="AJ11" i="17"/>
  <c r="AI7" i="17"/>
  <c r="AC6" i="17"/>
  <c r="V30" i="17"/>
  <c r="AE3" i="17"/>
  <c r="AE4" i="17"/>
  <c r="AE53" i="17"/>
  <c r="AE39" i="17"/>
  <c r="AE20" i="17"/>
  <c r="AE33" i="17"/>
  <c r="AE54" i="17"/>
  <c r="AE40" i="17"/>
  <c r="AE10" i="17"/>
  <c r="AE2" i="17"/>
  <c r="AE35" i="17"/>
  <c r="AE56" i="17"/>
  <c r="AE29" i="17"/>
  <c r="AE17" i="17"/>
  <c r="AE11" i="17"/>
  <c r="AE23" i="17"/>
  <c r="AE57" i="17"/>
  <c r="AE48" i="17"/>
  <c r="AE12" i="17"/>
  <c r="AE58" i="17"/>
  <c r="AE49" i="17"/>
  <c r="AE42" i="17"/>
  <c r="AE37" i="17"/>
  <c r="AE30" i="17"/>
  <c r="AE24" i="17"/>
  <c r="AE18" i="17"/>
  <c r="AE7" i="17"/>
  <c r="AE32" i="17"/>
  <c r="AE9" i="17"/>
  <c r="AE61" i="17"/>
  <c r="AE45" i="17"/>
  <c r="AE27" i="17"/>
  <c r="AE15" i="17"/>
  <c r="AE46" i="17"/>
  <c r="AE28" i="17"/>
  <c r="AE21" i="17"/>
  <c r="AE16" i="17"/>
  <c r="AE5" i="17"/>
  <c r="AE34" i="17"/>
  <c r="AE55" i="17"/>
  <c r="AE47" i="17"/>
  <c r="AE41" i="17"/>
  <c r="AE22" i="17"/>
  <c r="AE6" i="17"/>
  <c r="AE36" i="17"/>
  <c r="AE59" i="17"/>
  <c r="AE50" i="17"/>
  <c r="AE25" i="17"/>
  <c r="AE13" i="17"/>
  <c r="AE8" i="17"/>
  <c r="AE51" i="17"/>
  <c r="AE43" i="17"/>
  <c r="AE38" i="17"/>
  <c r="AE31" i="17"/>
  <c r="AD61" i="17"/>
  <c r="AD44" i="17"/>
  <c r="AD43" i="17"/>
  <c r="AD33" i="17"/>
  <c r="AD23" i="17"/>
  <c r="AD22" i="17"/>
  <c r="AD13" i="17"/>
  <c r="AD5" i="17"/>
  <c r="AD45" i="17"/>
  <c r="AD35" i="17"/>
  <c r="AD34" i="17"/>
  <c r="AD24" i="17"/>
  <c r="AD14" i="17"/>
  <c r="AD46" i="17"/>
  <c r="AD36" i="17"/>
  <c r="AD25" i="17"/>
  <c r="AD15" i="17"/>
  <c r="AD6" i="17"/>
  <c r="AD2" i="17"/>
  <c r="AD47" i="17"/>
  <c r="AD37" i="17"/>
  <c r="AD26" i="17"/>
  <c r="AD16" i="17"/>
  <c r="AD27" i="17"/>
  <c r="AD7" i="17"/>
  <c r="AD49" i="17"/>
  <c r="AD48" i="17"/>
  <c r="AD38" i="17"/>
  <c r="AD28" i="17"/>
  <c r="AD17" i="17"/>
  <c r="AD8" i="17"/>
  <c r="AD52" i="17"/>
  <c r="AD51" i="17"/>
  <c r="AD50" i="17"/>
  <c r="AD53" i="17"/>
  <c r="AD39" i="17"/>
  <c r="AD29" i="17"/>
  <c r="AD18" i="17"/>
  <c r="AD9" i="17"/>
  <c r="AD54" i="17"/>
  <c r="AD40" i="17"/>
  <c r="AD56" i="17"/>
  <c r="AD55" i="17"/>
  <c r="AD30" i="17"/>
  <c r="AD19" i="17"/>
  <c r="AD58" i="17"/>
  <c r="AD57" i="17"/>
  <c r="AD41" i="17"/>
  <c r="AD10" i="17"/>
  <c r="AD59" i="17"/>
  <c r="AD31" i="17"/>
  <c r="AD20" i="17"/>
  <c r="AD11" i="17"/>
  <c r="AD42" i="17"/>
  <c r="AD21" i="17"/>
  <c r="AD12" i="17"/>
  <c r="AD4" i="17"/>
  <c r="AK41" i="17"/>
  <c r="AK29" i="17"/>
  <c r="AK28" i="17"/>
  <c r="AK27" i="17"/>
  <c r="AK26" i="17"/>
  <c r="AK25" i="17"/>
  <c r="AK42" i="17"/>
  <c r="AK30" i="17"/>
  <c r="AK16" i="17"/>
  <c r="AK59" i="17"/>
  <c r="AK37" i="17"/>
  <c r="AK36" i="17"/>
  <c r="AK34" i="17"/>
  <c r="AK33" i="17"/>
  <c r="AK32" i="17"/>
  <c r="AK12" i="17"/>
  <c r="AK61" i="17"/>
  <c r="AK60" i="17"/>
  <c r="AK38" i="17"/>
  <c r="AK14" i="17"/>
  <c r="AK6" i="17"/>
  <c r="AK2" i="17"/>
  <c r="AK40" i="17"/>
  <c r="AK17" i="17"/>
  <c r="AK19" i="17"/>
  <c r="AK47" i="17"/>
  <c r="AK46" i="17"/>
  <c r="AK45" i="17"/>
  <c r="AK21" i="17"/>
  <c r="AK20" i="17"/>
  <c r="AK7" i="17"/>
  <c r="AJ26" i="18"/>
  <c r="AJ24" i="18"/>
  <c r="AJ13" i="18"/>
  <c r="AJ6" i="18"/>
  <c r="AJ3" i="18"/>
  <c r="AJ9" i="18"/>
  <c r="AK4" i="18"/>
  <c r="AK8" i="17"/>
  <c r="AK4" i="17"/>
  <c r="AJ3" i="17"/>
  <c r="AJ34" i="18"/>
  <c r="AJ32" i="18"/>
  <c r="AK27" i="18"/>
  <c r="AJ21" i="18"/>
  <c r="AJ18" i="18"/>
  <c r="AJ11" i="18"/>
  <c r="AJ7" i="18"/>
  <c r="AJ4" i="18"/>
  <c r="AJ8" i="17"/>
  <c r="AJ4" i="17"/>
  <c r="AK18" i="17"/>
  <c r="AK15" i="17"/>
  <c r="AK9" i="17"/>
  <c r="AK5" i="17"/>
  <c r="AJ9" i="17"/>
  <c r="AJ5" i="17"/>
  <c r="AK19" i="18"/>
  <c r="AJ12" i="18"/>
  <c r="AJ10" i="18"/>
  <c r="AJ8" i="18"/>
  <c r="AJ5" i="18"/>
  <c r="AJ31" i="18"/>
  <c r="AK28" i="18"/>
  <c r="AK22" i="18"/>
  <c r="AE60" i="18"/>
  <c r="AE55" i="18"/>
  <c r="AE45" i="18"/>
  <c r="AE42" i="18"/>
  <c r="AE39" i="18"/>
  <c r="AE28" i="18"/>
  <c r="AE16" i="18"/>
  <c r="AE11" i="18"/>
  <c r="AE9" i="18"/>
  <c r="AE6" i="18"/>
  <c r="AE48" i="18"/>
  <c r="AE57" i="18"/>
  <c r="AE30" i="18"/>
  <c r="AE22" i="18"/>
  <c r="AE19" i="18"/>
  <c r="AE14" i="18"/>
  <c r="AF12" i="18"/>
  <c r="AF13" i="18"/>
  <c r="AF34" i="18"/>
  <c r="AF33" i="18"/>
  <c r="AF14" i="18"/>
  <c r="AF56" i="18"/>
  <c r="AF18" i="18"/>
  <c r="AF27" i="18"/>
  <c r="AF11" i="18"/>
  <c r="AF3" i="18"/>
  <c r="AF22" i="18"/>
  <c r="AF19" i="18"/>
  <c r="AF57" i="18"/>
  <c r="AF58" i="18"/>
  <c r="AF30" i="18"/>
  <c r="AF51" i="18"/>
  <c r="AF50" i="18"/>
  <c r="AF49" i="18"/>
  <c r="AF46" i="18"/>
  <c r="AF45" i="18"/>
  <c r="AF44" i="18"/>
  <c r="AF43" i="18"/>
  <c r="AF41" i="18"/>
  <c r="AF31" i="18"/>
  <c r="AF5" i="18"/>
  <c r="AF16" i="18"/>
  <c r="AF15" i="18"/>
  <c r="AF23" i="18"/>
  <c r="AF59" i="18"/>
  <c r="AF28" i="18"/>
  <c r="AF29" i="18"/>
  <c r="AF2" i="18"/>
  <c r="AF47" i="18"/>
  <c r="AF52" i="18"/>
  <c r="AF42" i="18"/>
  <c r="AF40" i="18"/>
  <c r="AF32" i="18"/>
  <c r="AF9" i="18"/>
  <c r="AF8" i="18"/>
  <c r="AF7" i="18"/>
  <c r="AF20" i="18"/>
  <c r="AF17" i="18"/>
  <c r="AF24" i="18"/>
  <c r="AF25" i="18"/>
  <c r="AF26" i="18"/>
  <c r="AF61" i="18"/>
  <c r="AF60" i="18"/>
  <c r="AF48" i="18"/>
  <c r="AF55" i="18"/>
  <c r="AF54" i="18"/>
  <c r="AF53" i="18"/>
  <c r="AF39" i="18"/>
  <c r="AF38" i="18"/>
  <c r="AF37" i="18"/>
  <c r="AF36" i="18"/>
  <c r="AF35" i="18"/>
  <c r="AF10" i="18"/>
  <c r="AD33" i="18"/>
  <c r="AD30" i="18"/>
  <c r="AD57" i="18"/>
  <c r="AD56" i="18"/>
  <c r="AD34" i="18"/>
  <c r="AD32" i="18"/>
  <c r="AD31" i="18"/>
  <c r="AD2" i="18"/>
  <c r="AD61" i="18"/>
  <c r="AD58" i="18"/>
  <c r="AD59" i="18"/>
  <c r="AD60" i="18"/>
  <c r="AD23" i="18"/>
  <c r="AC15" i="18"/>
  <c r="AC14" i="18"/>
  <c r="AC42" i="18"/>
  <c r="AC41" i="18"/>
  <c r="AC13" i="18"/>
  <c r="AC12" i="18"/>
  <c r="AC40" i="18"/>
  <c r="AC11" i="18"/>
  <c r="AC10" i="18"/>
  <c r="AC9" i="18"/>
  <c r="AC60" i="18"/>
  <c r="AC52" i="18"/>
  <c r="AC26" i="18"/>
  <c r="AC25" i="18"/>
  <c r="AC23" i="18"/>
  <c r="AC22" i="18"/>
  <c r="AC21" i="18"/>
  <c r="AC50" i="18"/>
  <c r="AC59" i="18"/>
  <c r="AC58" i="18"/>
  <c r="AC57" i="18"/>
  <c r="AC33" i="18"/>
  <c r="AC32" i="18"/>
  <c r="AC56" i="18"/>
  <c r="AC55" i="18"/>
  <c r="AC31" i="18"/>
  <c r="AC30" i="18"/>
  <c r="AC29" i="18"/>
  <c r="AC28" i="18"/>
  <c r="AC54" i="18"/>
  <c r="AC27" i="18"/>
  <c r="AC53" i="18"/>
  <c r="AC51" i="18"/>
  <c r="AC24" i="18"/>
  <c r="AC49" i="18"/>
  <c r="AC48" i="18"/>
  <c r="AC43" i="17"/>
  <c r="AC42" i="17"/>
  <c r="AC41" i="17"/>
  <c r="AC40" i="17"/>
  <c r="AC39" i="17"/>
  <c r="AC38" i="17"/>
  <c r="AC37" i="17"/>
  <c r="AC36" i="17"/>
  <c r="AC61" i="17"/>
  <c r="AC32" i="17"/>
  <c r="AC30" i="17"/>
  <c r="AC29" i="17"/>
  <c r="AC2" i="17"/>
  <c r="AC60" i="17"/>
  <c r="AC58" i="17"/>
  <c r="AC27" i="17"/>
  <c r="AC56" i="17"/>
  <c r="AC55" i="17"/>
  <c r="AC52" i="17"/>
  <c r="AC24" i="17"/>
  <c r="AC17" i="17"/>
  <c r="AC34" i="17"/>
  <c r="AC33" i="17"/>
  <c r="AC31" i="17"/>
  <c r="AC28" i="17"/>
  <c r="AC59" i="17"/>
  <c r="AC57" i="17"/>
  <c r="AC26" i="17"/>
  <c r="AC54" i="17"/>
  <c r="AC53" i="17"/>
  <c r="AC25" i="17"/>
  <c r="AC23" i="17"/>
  <c r="AC51" i="17"/>
  <c r="AC22" i="17"/>
  <c r="AC21" i="17"/>
  <c r="AC50" i="17"/>
  <c r="AC49" i="17"/>
  <c r="AC20" i="17"/>
  <c r="AC19" i="17"/>
  <c r="AC18" i="17"/>
  <c r="AC16" i="17"/>
  <c r="AC48" i="17"/>
  <c r="AC47" i="17"/>
  <c r="AC15" i="17"/>
  <c r="AC46" i="17"/>
  <c r="AC14" i="17"/>
  <c r="AC45" i="17"/>
  <c r="AC44" i="17"/>
  <c r="AC13" i="17"/>
  <c r="AC12" i="17"/>
  <c r="AC11" i="17"/>
  <c r="AC10" i="17"/>
  <c r="AA60" i="18"/>
  <c r="AA30" i="18"/>
  <c r="AA9" i="18"/>
  <c r="AA48" i="18"/>
  <c r="AA19" i="18"/>
  <c r="AA39" i="18"/>
  <c r="AA8" i="18"/>
  <c r="AA47" i="18"/>
  <c r="AA6" i="18"/>
  <c r="AA50" i="18"/>
  <c r="AA31" i="18"/>
  <c r="AA11" i="18"/>
  <c r="AA40" i="18"/>
  <c r="AA20" i="18"/>
  <c r="AA10" i="18"/>
  <c r="AA59" i="18"/>
  <c r="AA49" i="18"/>
  <c r="AA29" i="18"/>
  <c r="AA58" i="18"/>
  <c r="AA28" i="18"/>
  <c r="AA57" i="18"/>
  <c r="AA18" i="18"/>
  <c r="AA38" i="18"/>
  <c r="AA27" i="18"/>
  <c r="AA17" i="18"/>
  <c r="AA7" i="18"/>
  <c r="AA56" i="18"/>
  <c r="AA37" i="18"/>
  <c r="AA16" i="18"/>
  <c r="AA55" i="18"/>
  <c r="AA46" i="18"/>
  <c r="AA36" i="18"/>
  <c r="AA26" i="18"/>
  <c r="AA45" i="18"/>
  <c r="AA35" i="18"/>
  <c r="AA25" i="18"/>
  <c r="AA15" i="18"/>
  <c r="AA54" i="18"/>
  <c r="AA44" i="18"/>
  <c r="AA24" i="18"/>
  <c r="AA5" i="18"/>
  <c r="AA43" i="18"/>
  <c r="AA34" i="18"/>
  <c r="AA23" i="18"/>
  <c r="AA4" i="18"/>
  <c r="AA53" i="18"/>
  <c r="AA22" i="18"/>
  <c r="AA13" i="18"/>
  <c r="AA3" i="18"/>
  <c r="AA2" i="18"/>
  <c r="AA52" i="18"/>
  <c r="AA42" i="18"/>
  <c r="AA33" i="18"/>
  <c r="AA14" i="18"/>
  <c r="AA5" i="17"/>
  <c r="AA4" i="17"/>
  <c r="AA53" i="17"/>
  <c r="AA23" i="17"/>
  <c r="AA45" i="17"/>
  <c r="AA25" i="17"/>
  <c r="AA46" i="17"/>
  <c r="AA24" i="17"/>
  <c r="AA44" i="17"/>
  <c r="AA56" i="17"/>
  <c r="AA36" i="17"/>
  <c r="AA55" i="17"/>
  <c r="AA35" i="17"/>
  <c r="AA54" i="17"/>
  <c r="AA15" i="17"/>
  <c r="AA34" i="17"/>
  <c r="AA14" i="17"/>
  <c r="AA60" i="17"/>
  <c r="AA52" i="17"/>
  <c r="AA13" i="17"/>
  <c r="AA43" i="17"/>
  <c r="AA33" i="17"/>
  <c r="AA22" i="17"/>
  <c r="AA12" i="17"/>
  <c r="AA2" i="17"/>
  <c r="AA61" i="17"/>
  <c r="AA51" i="17"/>
  <c r="AA42" i="17"/>
  <c r="AA21" i="17"/>
  <c r="AA11" i="17"/>
  <c r="AA41" i="17"/>
  <c r="AA32" i="17"/>
  <c r="AA10" i="17"/>
  <c r="AA50" i="17"/>
  <c r="AA40" i="17"/>
  <c r="AA31" i="17"/>
  <c r="AA20" i="17"/>
  <c r="AA9" i="17"/>
  <c r="AA59" i="17"/>
  <c r="AA49" i="17"/>
  <c r="AA39" i="17"/>
  <c r="AA30" i="17"/>
  <c r="AA19" i="17"/>
  <c r="AA58" i="17"/>
  <c r="AA38" i="17"/>
  <c r="AA29" i="17"/>
  <c r="AA18" i="17"/>
  <c r="AA8" i="17"/>
  <c r="AA48" i="17"/>
  <c r="AA37" i="17"/>
  <c r="AA28" i="17"/>
  <c r="AA17" i="17"/>
  <c r="AA7" i="17"/>
  <c r="AA57" i="17"/>
  <c r="AA47" i="17"/>
  <c r="AA16" i="17"/>
  <c r="W29" i="18"/>
  <c r="W36" i="18"/>
  <c r="W22" i="18"/>
  <c r="W56" i="18"/>
  <c r="W49" i="18"/>
  <c r="W42" i="18"/>
  <c r="W15" i="18"/>
  <c r="W8" i="18"/>
  <c r="W33" i="18"/>
  <c r="W26" i="18"/>
  <c r="W60" i="18"/>
  <c r="W53" i="18"/>
  <c r="W46" i="18"/>
  <c r="W19" i="18"/>
  <c r="W12" i="18"/>
  <c r="W5" i="18"/>
  <c r="W39" i="18"/>
  <c r="W32" i="18"/>
  <c r="W25" i="18"/>
  <c r="W59" i="18"/>
  <c r="W52" i="18"/>
  <c r="W45" i="18"/>
  <c r="W18" i="18"/>
  <c r="W11" i="18"/>
  <c r="W4" i="18"/>
  <c r="W38" i="18"/>
  <c r="W31" i="18"/>
  <c r="W24" i="18"/>
  <c r="W58" i="18"/>
  <c r="W51" i="18"/>
  <c r="W44" i="18"/>
  <c r="W17" i="18"/>
  <c r="W10" i="18"/>
  <c r="W3" i="18"/>
  <c r="W37" i="18"/>
  <c r="W30" i="18"/>
  <c r="W3" i="17"/>
  <c r="W40" i="17"/>
  <c r="W21" i="17"/>
  <c r="W58" i="17"/>
  <c r="W29" i="17"/>
  <c r="W39" i="17"/>
  <c r="W33" i="17"/>
  <c r="W45" i="17"/>
  <c r="W8" i="17"/>
  <c r="W38" i="17"/>
  <c r="W20" i="17"/>
  <c r="W56" i="17"/>
  <c r="W50" i="17"/>
  <c r="W44" i="17"/>
  <c r="W32" i="17"/>
  <c r="W7" i="17"/>
  <c r="W37" i="17"/>
  <c r="W25" i="17"/>
  <c r="W19" i="17"/>
  <c r="W13" i="17"/>
  <c r="W61" i="17"/>
  <c r="W49" i="17"/>
  <c r="W31" i="17"/>
  <c r="W6" i="17"/>
  <c r="W55" i="17"/>
  <c r="W43" i="17"/>
  <c r="W24" i="17"/>
  <c r="W18" i="17"/>
  <c r="W12" i="17"/>
  <c r="W36" i="17"/>
  <c r="W30" i="17"/>
  <c r="W5" i="17"/>
  <c r="W51" i="17"/>
  <c r="W27" i="17"/>
  <c r="W57" i="17"/>
  <c r="W14" i="17"/>
  <c r="W26" i="17"/>
  <c r="W2" i="17"/>
  <c r="W60" i="17"/>
  <c r="W54" i="17"/>
  <c r="W48" i="17"/>
  <c r="W42" i="17"/>
  <c r="W23" i="17"/>
  <c r="W17" i="17"/>
  <c r="W11" i="17"/>
  <c r="W59" i="17"/>
  <c r="W53" i="17"/>
  <c r="W47" i="17"/>
  <c r="W41" i="17"/>
  <c r="W16" i="17"/>
  <c r="W10" i="17"/>
  <c r="W28" i="17"/>
  <c r="W22" i="17"/>
  <c r="V26" i="18"/>
  <c r="V35" i="18"/>
  <c r="V3" i="18"/>
  <c r="V12" i="18"/>
  <c r="V30" i="18"/>
  <c r="V58" i="18"/>
  <c r="V7" i="18"/>
  <c r="V44" i="18"/>
  <c r="V39" i="18"/>
  <c r="V11" i="18"/>
  <c r="V34" i="18"/>
  <c r="V29" i="18"/>
  <c r="V24" i="18"/>
  <c r="V61" i="18"/>
  <c r="V5" i="18"/>
  <c r="V14" i="18"/>
  <c r="V51" i="18"/>
  <c r="V37" i="18"/>
  <c r="V23" i="18"/>
  <c r="V9" i="18"/>
  <c r="V60" i="18"/>
  <c r="V46" i="18"/>
  <c r="V32" i="18"/>
  <c r="V18" i="18"/>
  <c r="V4" i="18"/>
  <c r="V25" i="18"/>
  <c r="V6" i="18"/>
  <c r="V43" i="18"/>
  <c r="V15" i="18"/>
  <c r="V52" i="18"/>
  <c r="V10" i="18"/>
  <c r="V33" i="18"/>
  <c r="V19" i="18"/>
  <c r="V56" i="18"/>
  <c r="V28" i="18"/>
  <c r="V55" i="18"/>
  <c r="V41" i="18"/>
  <c r="V27" i="18"/>
  <c r="V13" i="18"/>
  <c r="V50" i="18"/>
  <c r="V36" i="18"/>
  <c r="V22" i="18"/>
  <c r="V8" i="18"/>
  <c r="V16" i="18"/>
  <c r="V53" i="18"/>
  <c r="V48" i="18"/>
  <c r="V20" i="18"/>
  <c r="V2" i="18"/>
  <c r="V57" i="18"/>
  <c r="V38" i="18"/>
  <c r="V47" i="18"/>
  <c r="V42" i="18"/>
  <c r="V59" i="18"/>
  <c r="V45" i="18"/>
  <c r="V31" i="18"/>
  <c r="V17" i="18"/>
  <c r="V5" i="17"/>
  <c r="V7" i="17"/>
  <c r="V19" i="17"/>
  <c r="V42" i="17"/>
  <c r="V55" i="17"/>
  <c r="V41" i="17"/>
  <c r="V27" i="17"/>
  <c r="V13" i="17"/>
  <c r="V60" i="17"/>
  <c r="V46" i="17"/>
  <c r="V32" i="17"/>
  <c r="V18" i="17"/>
  <c r="V4" i="17"/>
  <c r="V50" i="17"/>
  <c r="V36" i="17"/>
  <c r="V22" i="17"/>
  <c r="V8" i="17"/>
  <c r="V59" i="17"/>
  <c r="V45" i="17"/>
  <c r="V31" i="17"/>
  <c r="V17" i="17"/>
  <c r="V3" i="17"/>
  <c r="V54" i="17"/>
  <c r="V40" i="17"/>
  <c r="V26" i="17"/>
  <c r="V12" i="17"/>
  <c r="V53" i="17"/>
  <c r="V39" i="17"/>
  <c r="V25" i="17"/>
  <c r="V11" i="17"/>
  <c r="V48" i="17"/>
  <c r="V34" i="17"/>
  <c r="V20" i="17"/>
  <c r="V6" i="17"/>
  <c r="V2" i="17"/>
  <c r="V57" i="17"/>
  <c r="V43" i="17"/>
  <c r="V29" i="17"/>
  <c r="V15" i="17"/>
  <c r="V52" i="17"/>
  <c r="V38" i="17"/>
  <c r="V24" i="17"/>
  <c r="R54" i="17"/>
  <c r="S41" i="17"/>
  <c r="S6" i="17"/>
  <c r="D43" i="17"/>
  <c r="S47" i="17"/>
  <c r="S10" i="17"/>
  <c r="R48" i="17"/>
  <c r="S37" i="17"/>
  <c r="R24" i="17"/>
  <c r="P46" i="17"/>
  <c r="S58" i="17"/>
  <c r="R55" i="17"/>
  <c r="R47" i="17"/>
  <c r="R40" i="17"/>
  <c r="R10" i="17"/>
  <c r="R5" i="17"/>
  <c r="R60" i="17"/>
  <c r="R46" i="17"/>
  <c r="S24" i="17"/>
  <c r="S16" i="17"/>
  <c r="S13" i="17"/>
  <c r="S55" i="17"/>
  <c r="R16" i="17"/>
  <c r="R13" i="17"/>
  <c r="R58" i="17"/>
  <c r="S52" i="17"/>
  <c r="R49" i="17"/>
  <c r="S34" i="17"/>
  <c r="S31" i="17"/>
  <c r="S19" i="17"/>
  <c r="S18" i="17"/>
  <c r="R41" i="17"/>
  <c r="R25" i="17"/>
  <c r="N59" i="17"/>
  <c r="S35" i="17"/>
  <c r="R22" i="17"/>
  <c r="R28" i="17"/>
  <c r="R57" i="17"/>
  <c r="E25" i="17"/>
  <c r="D25" i="17"/>
  <c r="S15" i="17"/>
  <c r="S32" i="17"/>
  <c r="S8" i="17"/>
  <c r="S3" i="17"/>
  <c r="P5" i="17"/>
  <c r="S61" i="17"/>
  <c r="R59" i="17"/>
  <c r="R38" i="17"/>
  <c r="R35" i="17"/>
  <c r="R32" i="17"/>
  <c r="R29" i="17"/>
  <c r="S27" i="17"/>
  <c r="S11" i="17"/>
  <c r="R8" i="17"/>
  <c r="G43" i="17"/>
  <c r="S25" i="17"/>
  <c r="R7" i="17"/>
  <c r="S22" i="17"/>
  <c r="R6" i="17"/>
  <c r="S38" i="17"/>
  <c r="S29" i="17"/>
  <c r="O49" i="17"/>
  <c r="D59" i="17"/>
  <c r="R61" i="17"/>
  <c r="S50" i="17"/>
  <c r="R43" i="17"/>
  <c r="R27" i="17"/>
  <c r="B2" i="17"/>
  <c r="P39" i="17"/>
  <c r="K59" i="17"/>
  <c r="M58" i="17"/>
  <c r="P32" i="17"/>
  <c r="I7" i="17"/>
  <c r="K58" i="17"/>
  <c r="K25" i="17"/>
  <c r="D55" i="17"/>
  <c r="R34" i="17"/>
  <c r="R31" i="17"/>
  <c r="R15" i="17"/>
  <c r="R12" i="17"/>
  <c r="P34" i="17"/>
  <c r="L10" i="17"/>
  <c r="P30" i="17"/>
  <c r="R9" i="17"/>
  <c r="P21" i="17"/>
  <c r="J54" i="17"/>
  <c r="S57" i="17"/>
  <c r="S54" i="17"/>
  <c r="R51" i="17"/>
  <c r="S49" i="17"/>
  <c r="S46" i="17"/>
  <c r="S43" i="17"/>
  <c r="S40" i="17"/>
  <c r="R37" i="17"/>
  <c r="R21" i="17"/>
  <c r="R18" i="17"/>
  <c r="S5" i="17"/>
  <c r="R11" i="17"/>
  <c r="C47" i="17"/>
  <c r="S56" i="17"/>
  <c r="S42" i="17"/>
  <c r="S39" i="17"/>
  <c r="R36" i="17"/>
  <c r="R33" i="17"/>
  <c r="S20" i="17"/>
  <c r="S17" i="17"/>
  <c r="R14" i="17"/>
  <c r="S4" i="17"/>
  <c r="N34" i="17"/>
  <c r="R50" i="17"/>
  <c r="R56" i="17"/>
  <c r="R53" i="17"/>
  <c r="S45" i="17"/>
  <c r="R39" i="17"/>
  <c r="S23" i="17"/>
  <c r="R20" i="17"/>
  <c r="R17" i="17"/>
  <c r="S7" i="17"/>
  <c r="R4" i="17"/>
  <c r="D40" i="17"/>
  <c r="D33" i="17"/>
  <c r="K23" i="17"/>
  <c r="S59" i="17"/>
  <c r="R45" i="17"/>
  <c r="R23" i="17"/>
  <c r="U3" i="17"/>
  <c r="U38" i="18"/>
  <c r="U52" i="18"/>
  <c r="U18" i="18"/>
  <c r="U39" i="18"/>
  <c r="U17" i="18"/>
  <c r="U58" i="18"/>
  <c r="U51" i="18"/>
  <c r="U44" i="18"/>
  <c r="U37" i="18"/>
  <c r="U30" i="18"/>
  <c r="U23" i="18"/>
  <c r="U16" i="18"/>
  <c r="U9" i="18"/>
  <c r="U2" i="18"/>
  <c r="U57" i="18"/>
  <c r="U50" i="18"/>
  <c r="U43" i="18"/>
  <c r="U36" i="18"/>
  <c r="U29" i="18"/>
  <c r="U22" i="18"/>
  <c r="U15" i="18"/>
  <c r="U8" i="18"/>
  <c r="U56" i="18"/>
  <c r="U35" i="18"/>
  <c r="U21" i="18"/>
  <c r="U7" i="18"/>
  <c r="U48" i="18"/>
  <c r="U34" i="18"/>
  <c r="U13" i="18"/>
  <c r="U6" i="18"/>
  <c r="U49" i="18"/>
  <c r="U42" i="18"/>
  <c r="U28" i="18"/>
  <c r="U14" i="18"/>
  <c r="U55" i="18"/>
  <c r="U41" i="18"/>
  <c r="U27" i="18"/>
  <c r="U20" i="18"/>
  <c r="U61" i="18"/>
  <c r="U54" i="18"/>
  <c r="U47" i="18"/>
  <c r="U40" i="18"/>
  <c r="U33" i="18"/>
  <c r="U26" i="18"/>
  <c r="U19" i="18"/>
  <c r="U12" i="18"/>
  <c r="N40" i="18"/>
  <c r="P12" i="18"/>
  <c r="G57" i="18"/>
  <c r="P19" i="18"/>
  <c r="G47" i="18"/>
  <c r="C17" i="18"/>
  <c r="H53" i="18"/>
  <c r="N42" i="18"/>
  <c r="H51" i="18"/>
  <c r="G18" i="18"/>
  <c r="G51" i="18"/>
  <c r="G17" i="18"/>
  <c r="L38" i="18"/>
  <c r="B4" i="18"/>
  <c r="P30" i="18"/>
  <c r="G20" i="18"/>
  <c r="B60" i="18"/>
  <c r="G16" i="18"/>
  <c r="N54" i="18"/>
  <c r="N17" i="18"/>
  <c r="M14" i="18"/>
  <c r="H12" i="18"/>
  <c r="B38" i="18"/>
  <c r="F29" i="18"/>
  <c r="G12" i="18"/>
  <c r="N2" i="18"/>
  <c r="G39" i="18"/>
  <c r="B40" i="18"/>
  <c r="S8" i="18"/>
  <c r="K31" i="18"/>
  <c r="P28" i="18"/>
  <c r="C42" i="18"/>
  <c r="O27" i="18"/>
  <c r="C40" i="18"/>
  <c r="R60" i="18"/>
  <c r="H61" i="18"/>
  <c r="B46" i="18"/>
  <c r="H13" i="18"/>
  <c r="G23" i="18"/>
  <c r="C37" i="18"/>
  <c r="L6" i="18"/>
  <c r="K4" i="18"/>
  <c r="C29" i="18"/>
  <c r="G8" i="18"/>
  <c r="B16" i="18"/>
  <c r="D52" i="18"/>
  <c r="J18" i="18"/>
  <c r="B18" i="18"/>
  <c r="G26" i="18"/>
  <c r="G4" i="18"/>
  <c r="P32" i="18"/>
  <c r="I57" i="18"/>
  <c r="B17" i="18"/>
  <c r="G22" i="18"/>
  <c r="N55" i="18"/>
  <c r="P31" i="18"/>
  <c r="S5" i="18"/>
  <c r="V49" i="18"/>
  <c r="V21" i="18"/>
  <c r="V40" i="18"/>
  <c r="V54" i="18"/>
  <c r="S48" i="18"/>
  <c r="S41" i="18"/>
  <c r="S27" i="18"/>
  <c r="S20" i="18"/>
  <c r="S58" i="18"/>
  <c r="S44" i="18"/>
  <c r="S30" i="18"/>
  <c r="S57" i="18"/>
  <c r="S50" i="18"/>
  <c r="S36" i="18"/>
  <c r="S29" i="18"/>
  <c r="S15" i="18"/>
  <c r="S60" i="18"/>
  <c r="S53" i="18"/>
  <c r="S46" i="18"/>
  <c r="S39" i="18"/>
  <c r="S32" i="18"/>
  <c r="S25" i="18"/>
  <c r="S18" i="18"/>
  <c r="S11" i="18"/>
  <c r="S4" i="18"/>
  <c r="S56" i="18"/>
  <c r="S49" i="18"/>
  <c r="S42" i="18"/>
  <c r="S35" i="18"/>
  <c r="S28" i="18"/>
  <c r="S21" i="18"/>
  <c r="S14" i="18"/>
  <c r="S7" i="18"/>
  <c r="S55" i="18"/>
  <c r="S34" i="18"/>
  <c r="S13" i="18"/>
  <c r="S51" i="18"/>
  <c r="S37" i="18"/>
  <c r="S43" i="18"/>
  <c r="S22" i="18"/>
  <c r="S59" i="18"/>
  <c r="S52" i="18"/>
  <c r="S45" i="18"/>
  <c r="S38" i="18"/>
  <c r="S31" i="18"/>
  <c r="S24" i="18"/>
  <c r="S17" i="18"/>
  <c r="S10" i="18"/>
  <c r="S3" i="18"/>
  <c r="S6" i="18"/>
  <c r="S61" i="18"/>
  <c r="S23" i="18"/>
  <c r="S16" i="18"/>
  <c r="S9" i="18"/>
  <c r="S2" i="18"/>
  <c r="S54" i="18"/>
  <c r="S47" i="18"/>
  <c r="S40" i="18"/>
  <c r="S33" i="18"/>
  <c r="S26" i="18"/>
  <c r="S19" i="18"/>
  <c r="S12" i="18"/>
  <c r="L20" i="17"/>
  <c r="L54" i="17"/>
  <c r="I18" i="17"/>
  <c r="B43" i="17"/>
  <c r="I39" i="17"/>
  <c r="I38" i="17"/>
  <c r="K16" i="17"/>
  <c r="H11" i="17"/>
  <c r="I52" i="17"/>
  <c r="I37" i="17"/>
  <c r="K15" i="17"/>
  <c r="P14" i="17"/>
  <c r="L39" i="17"/>
  <c r="N38" i="17"/>
  <c r="K54" i="17"/>
  <c r="G4" i="17"/>
  <c r="I51" i="17"/>
  <c r="I15" i="17"/>
  <c r="I21" i="17"/>
  <c r="F16" i="17"/>
  <c r="K49" i="17"/>
  <c r="L32" i="17"/>
  <c r="D13" i="17"/>
  <c r="I32" i="17"/>
  <c r="L8" i="17"/>
  <c r="D14" i="17"/>
  <c r="D48" i="17"/>
  <c r="D32" i="17"/>
  <c r="D8" i="17"/>
  <c r="M34" i="17"/>
  <c r="I49" i="17"/>
  <c r="K10" i="17"/>
  <c r="K45" i="17"/>
  <c r="N4" i="17"/>
  <c r="N5" i="17"/>
  <c r="E5" i="17"/>
  <c r="I30" i="17"/>
  <c r="P27" i="17"/>
  <c r="K44" i="17"/>
  <c r="D30" i="17"/>
  <c r="I4" i="17"/>
  <c r="S53" i="17"/>
  <c r="S12" i="17"/>
  <c r="B36" i="18"/>
  <c r="G59" i="18"/>
  <c r="I49" i="18"/>
  <c r="J37" i="18"/>
  <c r="D27" i="18"/>
  <c r="I16" i="18"/>
  <c r="G11" i="18"/>
  <c r="G2" i="18"/>
  <c r="O49" i="18"/>
  <c r="K38" i="18"/>
  <c r="O26" i="18"/>
  <c r="O12" i="18"/>
  <c r="B57" i="18"/>
  <c r="B15" i="18"/>
  <c r="I20" i="18"/>
  <c r="Q60" i="18"/>
  <c r="B56" i="18"/>
  <c r="B34" i="18"/>
  <c r="B14" i="18"/>
  <c r="G49" i="18"/>
  <c r="G37" i="18"/>
  <c r="C27" i="18"/>
  <c r="H20" i="18"/>
  <c r="J10" i="18"/>
  <c r="E2" i="18"/>
  <c r="O48" i="18"/>
  <c r="O37" i="18"/>
  <c r="N26" i="18"/>
  <c r="O9" i="18"/>
  <c r="Q50" i="18"/>
  <c r="R37" i="18"/>
  <c r="D2" i="18"/>
  <c r="R47" i="18"/>
  <c r="H57" i="18"/>
  <c r="O47" i="18"/>
  <c r="B32" i="18"/>
  <c r="E35" i="18"/>
  <c r="I25" i="18"/>
  <c r="H15" i="18"/>
  <c r="H10" i="18"/>
  <c r="K59" i="18"/>
  <c r="N47" i="18"/>
  <c r="O35" i="18"/>
  <c r="O6" i="18"/>
  <c r="B54" i="18"/>
  <c r="B33" i="18"/>
  <c r="B13" i="18"/>
  <c r="H47" i="18"/>
  <c r="B10" i="18"/>
  <c r="I18" i="18"/>
  <c r="B50" i="18"/>
  <c r="B31" i="18"/>
  <c r="B11" i="18"/>
  <c r="I55" i="18"/>
  <c r="D47" i="18"/>
  <c r="D35" i="18"/>
  <c r="J24" i="18"/>
  <c r="G19" i="18"/>
  <c r="G15" i="18"/>
  <c r="G10" i="18"/>
  <c r="O58" i="18"/>
  <c r="O34" i="18"/>
  <c r="M21" i="18"/>
  <c r="P11" i="18"/>
  <c r="I59" i="18"/>
  <c r="I10" i="18"/>
  <c r="N37" i="18"/>
  <c r="O23" i="18"/>
  <c r="N9" i="18"/>
  <c r="B53" i="18"/>
  <c r="B12" i="18"/>
  <c r="H19" i="18"/>
  <c r="H55" i="18"/>
  <c r="O5" i="18"/>
  <c r="H2" i="18"/>
  <c r="N51" i="18"/>
  <c r="N13" i="18"/>
  <c r="N23" i="18"/>
  <c r="H9" i="18"/>
  <c r="B49" i="18"/>
  <c r="B29" i="18"/>
  <c r="B9" i="18"/>
  <c r="C46" i="18"/>
  <c r="C35" i="18"/>
  <c r="H24" i="18"/>
  <c r="C19" i="18"/>
  <c r="J14" i="18"/>
  <c r="G9" i="18"/>
  <c r="N58" i="18"/>
  <c r="K45" i="18"/>
  <c r="O33" i="18"/>
  <c r="O20" i="18"/>
  <c r="B28" i="18"/>
  <c r="G55" i="18"/>
  <c r="I33" i="18"/>
  <c r="O44" i="18"/>
  <c r="Q52" i="18"/>
  <c r="H59" i="18"/>
  <c r="I27" i="18"/>
  <c r="B48" i="18"/>
  <c r="B8" i="18"/>
  <c r="H45" i="18"/>
  <c r="G24" i="18"/>
  <c r="I14" i="18"/>
  <c r="I8" i="18"/>
  <c r="N56" i="18"/>
  <c r="N33" i="18"/>
  <c r="O19" i="18"/>
  <c r="N5" i="18"/>
  <c r="B47" i="18"/>
  <c r="B27" i="18"/>
  <c r="B5" i="18"/>
  <c r="I53" i="18"/>
  <c r="G43" i="18"/>
  <c r="C33" i="18"/>
  <c r="I23" i="18"/>
  <c r="H18" i="18"/>
  <c r="G14" i="18"/>
  <c r="H8" i="18"/>
  <c r="O55" i="18"/>
  <c r="N44" i="18"/>
  <c r="N31" i="18"/>
  <c r="N19" i="18"/>
  <c r="O13" i="18"/>
  <c r="I22" i="18"/>
  <c r="R12" i="18"/>
  <c r="B45" i="18"/>
  <c r="B24" i="18"/>
  <c r="I61" i="18"/>
  <c r="G53" i="18"/>
  <c r="G41" i="18"/>
  <c r="H22" i="18"/>
  <c r="H17" i="18"/>
  <c r="D13" i="18"/>
  <c r="C7" i="18"/>
  <c r="M55" i="18"/>
  <c r="O41" i="18"/>
  <c r="O30" i="18"/>
  <c r="O16" i="18"/>
  <c r="P54" i="18"/>
  <c r="Q58" i="18"/>
  <c r="H6" i="18"/>
  <c r="O54" i="18"/>
  <c r="N41" i="18"/>
  <c r="N30" i="18"/>
  <c r="N16" i="18"/>
  <c r="B43" i="18"/>
  <c r="B21" i="18"/>
  <c r="E41" i="18"/>
  <c r="J6" i="18"/>
  <c r="P9" i="18"/>
  <c r="B41" i="18"/>
  <c r="B20" i="18"/>
  <c r="I51" i="18"/>
  <c r="D41" i="18"/>
  <c r="D29" i="18"/>
  <c r="I21" i="18"/>
  <c r="I12" i="18"/>
  <c r="H4" i="18"/>
  <c r="O40" i="18"/>
  <c r="P47" i="18"/>
  <c r="T47" i="18"/>
  <c r="T59" i="18"/>
  <c r="T34" i="18"/>
  <c r="T2" i="18"/>
  <c r="T58" i="18"/>
  <c r="T44" i="18"/>
  <c r="T30" i="18"/>
  <c r="T16" i="18"/>
  <c r="R25" i="18"/>
  <c r="R5" i="18"/>
  <c r="T57" i="18"/>
  <c r="T43" i="18"/>
  <c r="T29" i="18"/>
  <c r="R58" i="18"/>
  <c r="T56" i="18"/>
  <c r="T42" i="18"/>
  <c r="T28" i="18"/>
  <c r="T14" i="18"/>
  <c r="T27" i="18"/>
  <c r="T25" i="18"/>
  <c r="T18" i="18"/>
  <c r="T55" i="18"/>
  <c r="T41" i="18"/>
  <c r="T13" i="18"/>
  <c r="T40" i="18"/>
  <c r="T53" i="18"/>
  <c r="T11" i="18"/>
  <c r="R17" i="18"/>
  <c r="T52" i="18"/>
  <c r="T24" i="18"/>
  <c r="T10" i="18"/>
  <c r="R30" i="18"/>
  <c r="T37" i="18"/>
  <c r="R18" i="18"/>
  <c r="R54" i="18"/>
  <c r="R51" i="18"/>
  <c r="R42" i="18"/>
  <c r="R39" i="18"/>
  <c r="R10" i="18"/>
  <c r="T50" i="18"/>
  <c r="T8" i="18"/>
  <c r="R3" i="18"/>
  <c r="R56" i="18"/>
  <c r="R35" i="18"/>
  <c r="R32" i="18"/>
  <c r="T32" i="18"/>
  <c r="R44" i="18"/>
  <c r="T49" i="18"/>
  <c r="T15" i="18"/>
  <c r="T7" i="18"/>
  <c r="T61" i="18"/>
  <c r="T31" i="18"/>
  <c r="T23" i="18"/>
  <c r="T12" i="18"/>
  <c r="T51" i="18"/>
  <c r="T36" i="18"/>
  <c r="T20" i="18"/>
  <c r="T4" i="18"/>
  <c r="T17" i="18"/>
  <c r="T46" i="18"/>
  <c r="T33" i="18"/>
  <c r="T9" i="18"/>
  <c r="T38" i="18"/>
  <c r="T6" i="18"/>
  <c r="T60" i="18"/>
  <c r="T48" i="18"/>
  <c r="T22" i="18"/>
  <c r="T35" i="18"/>
  <c r="T19" i="18"/>
  <c r="T3" i="18"/>
  <c r="T45" i="18"/>
  <c r="T5" i="18"/>
  <c r="T21" i="18"/>
  <c r="R53" i="18"/>
  <c r="R7" i="18"/>
  <c r="R46" i="18"/>
  <c r="R24" i="18"/>
  <c r="R19" i="18"/>
  <c r="R2" i="18"/>
  <c r="R55" i="18"/>
  <c r="R48" i="18"/>
  <c r="R14" i="18"/>
  <c r="R31" i="18"/>
  <c r="R26" i="18"/>
  <c r="R9" i="18"/>
  <c r="R4" i="18"/>
  <c r="R57" i="18"/>
  <c r="R21" i="18"/>
  <c r="R38" i="18"/>
  <c r="R33" i="18"/>
  <c r="R16" i="18"/>
  <c r="R11" i="18"/>
  <c r="R28" i="18"/>
  <c r="R8" i="18"/>
  <c r="R40" i="18"/>
  <c r="R23" i="18"/>
  <c r="R59" i="18"/>
  <c r="R50" i="18"/>
  <c r="R41" i="18"/>
  <c r="R34" i="18"/>
  <c r="R27" i="18"/>
  <c r="R20" i="18"/>
  <c r="R13" i="18"/>
  <c r="R6" i="18"/>
  <c r="R61" i="18"/>
  <c r="R52" i="18"/>
  <c r="R43" i="18"/>
  <c r="R36" i="18"/>
  <c r="R29" i="18"/>
  <c r="R22" i="18"/>
  <c r="R15" i="18"/>
  <c r="G20" i="17"/>
  <c r="N14" i="17"/>
  <c r="F54" i="17"/>
  <c r="N47" i="17"/>
  <c r="I42" i="17"/>
  <c r="H37" i="17"/>
  <c r="F30" i="17"/>
  <c r="L23" i="17"/>
  <c r="N18" i="17"/>
  <c r="I8" i="17"/>
  <c r="G3" i="17"/>
  <c r="P17" i="17"/>
  <c r="G24" i="17"/>
  <c r="E14" i="17"/>
  <c r="H3" i="17"/>
  <c r="F8" i="17"/>
  <c r="G48" i="17"/>
  <c r="N37" i="17"/>
  <c r="N24" i="17"/>
  <c r="E54" i="17"/>
  <c r="L47" i="17"/>
  <c r="F42" i="17"/>
  <c r="G37" i="17"/>
  <c r="N13" i="17"/>
  <c r="N2" i="17"/>
  <c r="G58" i="17"/>
  <c r="N52" i="17"/>
  <c r="G47" i="17"/>
  <c r="E42" i="17"/>
  <c r="N35" i="17"/>
  <c r="N28" i="17"/>
  <c r="I23" i="17"/>
  <c r="H18" i="17"/>
  <c r="L13" i="17"/>
  <c r="E8" i="17"/>
  <c r="P6" i="17"/>
  <c r="G59" i="17"/>
  <c r="N19" i="17"/>
  <c r="B49" i="17"/>
  <c r="N57" i="17"/>
  <c r="G35" i="17"/>
  <c r="G10" i="17"/>
  <c r="N42" i="17"/>
  <c r="M3" i="17"/>
  <c r="G13" i="17"/>
  <c r="F35" i="17"/>
  <c r="E23" i="17"/>
  <c r="P53" i="17"/>
  <c r="M59" i="17"/>
  <c r="G61" i="17"/>
  <c r="D57" i="17"/>
  <c r="F52" i="17"/>
  <c r="G45" i="17"/>
  <c r="F40" i="17"/>
  <c r="L27" i="17"/>
  <c r="M22" i="17"/>
  <c r="K17" i="17"/>
  <c r="K11" i="17"/>
  <c r="F6" i="17"/>
  <c r="P49" i="17"/>
  <c r="G9" i="17"/>
  <c r="G19" i="17"/>
  <c r="G41" i="17"/>
  <c r="G28" i="17"/>
  <c r="F23" i="17"/>
  <c r="E18" i="17"/>
  <c r="G29" i="17"/>
  <c r="N9" i="17"/>
  <c r="N61" i="17"/>
  <c r="G57" i="17"/>
  <c r="G52" i="17"/>
  <c r="N40" i="17"/>
  <c r="N27" i="17"/>
  <c r="N17" i="17"/>
  <c r="N6" i="17"/>
  <c r="E61" i="17"/>
  <c r="L56" i="17"/>
  <c r="N51" i="17"/>
  <c r="N44" i="17"/>
  <c r="I34" i="17"/>
  <c r="I27" i="17"/>
  <c r="G22" i="17"/>
  <c r="E6" i="17"/>
  <c r="N46" i="17"/>
  <c r="D61" i="17"/>
  <c r="K56" i="17"/>
  <c r="L51" i="17"/>
  <c r="M44" i="17"/>
  <c r="M39" i="17"/>
  <c r="G33" i="17"/>
  <c r="N25" i="17"/>
  <c r="N21" i="17"/>
  <c r="G16" i="17"/>
  <c r="D11" i="17"/>
  <c r="P45" i="17"/>
  <c r="N60" i="17"/>
  <c r="G56" i="17"/>
  <c r="M25" i="17"/>
  <c r="N10" i="17"/>
  <c r="K60" i="17"/>
  <c r="I55" i="17"/>
  <c r="E50" i="17"/>
  <c r="G44" i="17"/>
  <c r="N32" i="17"/>
  <c r="M20" i="17"/>
  <c r="L15" i="17"/>
  <c r="G5" i="17"/>
  <c r="P35" i="17"/>
  <c r="T58" i="17"/>
  <c r="T44" i="17"/>
  <c r="T51" i="17"/>
  <c r="T48" i="17"/>
  <c r="T59" i="17"/>
  <c r="T56" i="17"/>
  <c r="T45" i="17"/>
  <c r="T53" i="17"/>
  <c r="T42" i="17"/>
  <c r="T50" i="17"/>
  <c r="T61" i="17"/>
  <c r="T47" i="17"/>
  <c r="T52" i="17"/>
  <c r="T49" i="17"/>
  <c r="T60" i="17"/>
  <c r="T57" i="17"/>
  <c r="T46" i="17"/>
  <c r="R3" i="17"/>
  <c r="R42" i="17"/>
  <c r="F57" i="18"/>
  <c r="O3" i="17"/>
  <c r="O26" i="17"/>
  <c r="O45" i="17"/>
  <c r="O4" i="17"/>
  <c r="O27" i="17"/>
  <c r="O46" i="17"/>
  <c r="O22" i="17"/>
  <c r="O54" i="17"/>
  <c r="O25" i="17"/>
  <c r="O57" i="17"/>
  <c r="O28" i="17"/>
  <c r="O58" i="17"/>
  <c r="O29" i="17"/>
  <c r="O60" i="17"/>
  <c r="O41" i="17"/>
  <c r="O44" i="17"/>
  <c r="O30" i="17"/>
  <c r="O31" i="17"/>
  <c r="O2" i="17"/>
  <c r="O37" i="17"/>
  <c r="O8" i="17"/>
  <c r="O38" i="17"/>
  <c r="O9" i="17"/>
  <c r="O12" i="17"/>
  <c r="O10" i="17"/>
  <c r="O42" i="17"/>
  <c r="H5" i="17"/>
  <c r="H12" i="17"/>
  <c r="H19" i="17"/>
  <c r="H26" i="17"/>
  <c r="H33" i="17"/>
  <c r="H40" i="17"/>
  <c r="H47" i="17"/>
  <c r="H56" i="17"/>
  <c r="H61" i="17"/>
  <c r="H2" i="17"/>
  <c r="H6" i="17"/>
  <c r="H17" i="17"/>
  <c r="H21" i="17"/>
  <c r="H32" i="17"/>
  <c r="H36" i="17"/>
  <c r="H51" i="17"/>
  <c r="H54" i="17"/>
  <c r="H8" i="17"/>
  <c r="H20" i="17"/>
  <c r="H27" i="17"/>
  <c r="H53" i="17"/>
  <c r="H10" i="17"/>
  <c r="H24" i="17"/>
  <c r="H29" i="17"/>
  <c r="H43" i="17"/>
  <c r="H48" i="17"/>
  <c r="H52" i="17"/>
  <c r="H4" i="17"/>
  <c r="H16" i="17"/>
  <c r="H23" i="17"/>
  <c r="H35" i="17"/>
  <c r="H42" i="17"/>
  <c r="H28" i="17"/>
  <c r="H45" i="17"/>
  <c r="H59" i="17"/>
  <c r="H38" i="17"/>
  <c r="H50" i="17"/>
  <c r="H9" i="17"/>
  <c r="H57" i="17"/>
  <c r="H31" i="17"/>
  <c r="H55" i="17"/>
  <c r="H22" i="17"/>
  <c r="H14" i="17"/>
  <c r="H7" i="17"/>
  <c r="H58" i="17"/>
  <c r="H41" i="17"/>
  <c r="H46" i="17"/>
  <c r="H60" i="17"/>
  <c r="H34" i="17"/>
  <c r="H39" i="17"/>
  <c r="H15" i="17"/>
  <c r="H44" i="17"/>
  <c r="H49" i="17"/>
  <c r="H13" i="17"/>
  <c r="Q6" i="17"/>
  <c r="Q34" i="17"/>
  <c r="Q28" i="17"/>
  <c r="Q56" i="17"/>
  <c r="Q22" i="17"/>
  <c r="Q50" i="17"/>
  <c r="Q18" i="17"/>
  <c r="Q46" i="17"/>
  <c r="Q16" i="17"/>
  <c r="Q44" i="17"/>
  <c r="Q38" i="17"/>
  <c r="Q58" i="17"/>
  <c r="Q36" i="17"/>
  <c r="Q14" i="17"/>
  <c r="Q54" i="17"/>
  <c r="Q12" i="17"/>
  <c r="Q32" i="17"/>
  <c r="Q52" i="17"/>
  <c r="Q10" i="17"/>
  <c r="Q30" i="17"/>
  <c r="Q26" i="17"/>
  <c r="Q8" i="17"/>
  <c r="Q48" i="17"/>
  <c r="Q4" i="17"/>
  <c r="Q24" i="17"/>
  <c r="J6" i="17"/>
  <c r="J13" i="17"/>
  <c r="J20" i="17"/>
  <c r="J27" i="17"/>
  <c r="J34" i="17"/>
  <c r="J41" i="17"/>
  <c r="J48" i="17"/>
  <c r="J10" i="17"/>
  <c r="J14" i="17"/>
  <c r="J25" i="17"/>
  <c r="J29" i="17"/>
  <c r="J40" i="17"/>
  <c r="J44" i="17"/>
  <c r="J61" i="17"/>
  <c r="J39" i="17"/>
  <c r="J46" i="17"/>
  <c r="J56" i="17"/>
  <c r="J15" i="17"/>
  <c r="J19" i="17"/>
  <c r="J38" i="17"/>
  <c r="J55" i="17"/>
  <c r="J2" i="17"/>
  <c r="J7" i="17"/>
  <c r="J21" i="17"/>
  <c r="J18" i="17"/>
  <c r="J23" i="17"/>
  <c r="J52" i="17"/>
  <c r="J11" i="17"/>
  <c r="J16" i="17"/>
  <c r="J28" i="17"/>
  <c r="J45" i="17"/>
  <c r="J59" i="17"/>
  <c r="J4" i="17"/>
  <c r="J33" i="17"/>
  <c r="J50" i="17"/>
  <c r="J9" i="17"/>
  <c r="J26" i="17"/>
  <c r="J57" i="17"/>
  <c r="J5" i="17"/>
  <c r="J31" i="17"/>
  <c r="J43" i="17"/>
  <c r="J36" i="17"/>
  <c r="J51" i="17"/>
  <c r="J12" i="17"/>
  <c r="J24" i="17"/>
  <c r="J53" i="17"/>
  <c r="J17" i="17"/>
  <c r="J60" i="17"/>
  <c r="J22" i="17"/>
  <c r="J58" i="17"/>
  <c r="C28" i="17"/>
  <c r="M3" i="18"/>
  <c r="M17" i="18"/>
  <c r="M31" i="18"/>
  <c r="M42" i="18"/>
  <c r="M49" i="18"/>
  <c r="M56" i="18"/>
  <c r="M32" i="18"/>
  <c r="M39" i="18"/>
  <c r="M46" i="18"/>
  <c r="M53" i="18"/>
  <c r="M60" i="18"/>
  <c r="M18" i="18"/>
  <c r="M25" i="18"/>
  <c r="M4" i="18"/>
  <c r="M11" i="18"/>
  <c r="M40" i="18"/>
  <c r="M54" i="18"/>
  <c r="M29" i="18"/>
  <c r="M36" i="18"/>
  <c r="M43" i="18"/>
  <c r="M50" i="18"/>
  <c r="M57" i="18"/>
  <c r="M19" i="18"/>
  <c r="M26" i="18"/>
  <c r="M33" i="18"/>
  <c r="M47" i="18"/>
  <c r="M61" i="18"/>
  <c r="M5" i="18"/>
  <c r="M12" i="18"/>
  <c r="M16" i="18"/>
  <c r="M30" i="18"/>
  <c r="M44" i="18"/>
  <c r="F2" i="18"/>
  <c r="F9" i="18"/>
  <c r="F16" i="18"/>
  <c r="F23" i="18"/>
  <c r="F30" i="18"/>
  <c r="F37" i="18"/>
  <c r="F44" i="18"/>
  <c r="F51" i="18"/>
  <c r="F58" i="18"/>
  <c r="F15" i="18"/>
  <c r="F32" i="18"/>
  <c r="F47" i="18"/>
  <c r="F17" i="18"/>
  <c r="F19" i="18"/>
  <c r="F21" i="18"/>
  <c r="F11" i="18"/>
  <c r="F13" i="18"/>
  <c r="F5" i="18"/>
  <c r="F60" i="18"/>
  <c r="F48" i="18"/>
  <c r="F52" i="18"/>
  <c r="F56" i="18"/>
  <c r="F8" i="18"/>
  <c r="F3" i="18"/>
  <c r="F46" i="18"/>
  <c r="F50" i="18"/>
  <c r="F54" i="18"/>
  <c r="F22" i="18"/>
  <c r="F34" i="18"/>
  <c r="F36" i="18"/>
  <c r="F38" i="18"/>
  <c r="F40" i="18"/>
  <c r="F42" i="18"/>
  <c r="F20" i="18"/>
  <c r="F24" i="18"/>
  <c r="F26" i="18"/>
  <c r="F18" i="18"/>
  <c r="F28" i="18"/>
  <c r="F10" i="18"/>
  <c r="F12" i="18"/>
  <c r="F14" i="18"/>
  <c r="F6" i="18"/>
  <c r="L13" i="18"/>
  <c r="L27" i="18"/>
  <c r="L41" i="18"/>
  <c r="L55" i="18"/>
  <c r="L9" i="18"/>
  <c r="L19" i="18"/>
  <c r="L32" i="18"/>
  <c r="L45" i="18"/>
  <c r="L42" i="18"/>
  <c r="L49" i="18"/>
  <c r="L56" i="18"/>
  <c r="L7" i="18"/>
  <c r="L14" i="18"/>
  <c r="L21" i="18"/>
  <c r="L28" i="18"/>
  <c r="L35" i="18"/>
  <c r="L4" i="18"/>
  <c r="L11" i="18"/>
  <c r="L18" i="18"/>
  <c r="L25" i="18"/>
  <c r="L16" i="18"/>
  <c r="L2" i="18"/>
  <c r="L29" i="18"/>
  <c r="L36" i="18"/>
  <c r="L43" i="18"/>
  <c r="L50" i="18"/>
  <c r="L57" i="18"/>
  <c r="L8" i="18"/>
  <c r="L15" i="18"/>
  <c r="L22" i="18"/>
  <c r="L33" i="18"/>
  <c r="L47" i="18"/>
  <c r="L61" i="18"/>
  <c r="L5" i="18"/>
  <c r="L30" i="18"/>
  <c r="L58" i="18"/>
  <c r="L23" i="18"/>
  <c r="L44" i="18"/>
  <c r="L37" i="18"/>
  <c r="L51" i="18"/>
  <c r="E17" i="18"/>
  <c r="E34" i="18"/>
  <c r="E49" i="18"/>
  <c r="E11" i="18"/>
  <c r="E13" i="18"/>
  <c r="E15" i="18"/>
  <c r="E7" i="18"/>
  <c r="E9" i="18"/>
  <c r="E3" i="18"/>
  <c r="E46" i="18"/>
  <c r="E48" i="18"/>
  <c r="E50" i="18"/>
  <c r="E52" i="18"/>
  <c r="E54" i="18"/>
  <c r="E56" i="18"/>
  <c r="E58" i="18"/>
  <c r="E36" i="18"/>
  <c r="E40" i="18"/>
  <c r="E44" i="18"/>
  <c r="E4" i="18"/>
  <c r="E59" i="18"/>
  <c r="E38" i="18"/>
  <c r="E42" i="18"/>
  <c r="E14" i="18"/>
  <c r="E32" i="18"/>
  <c r="E8" i="18"/>
  <c r="E12" i="18"/>
  <c r="E16" i="18"/>
  <c r="E18" i="18"/>
  <c r="E20" i="18"/>
  <c r="E22" i="18"/>
  <c r="E24" i="18"/>
  <c r="E26" i="18"/>
  <c r="E28" i="18"/>
  <c r="E30" i="18"/>
  <c r="E10" i="18"/>
  <c r="E55" i="18"/>
  <c r="E6" i="18"/>
  <c r="E61" i="18"/>
  <c r="E53" i="18"/>
  <c r="E57" i="18"/>
  <c r="F45" i="18"/>
  <c r="M28" i="18"/>
  <c r="M20" i="18"/>
  <c r="K39" i="18"/>
  <c r="K46" i="18"/>
  <c r="K53" i="18"/>
  <c r="K60" i="18"/>
  <c r="K37" i="18"/>
  <c r="K12" i="18"/>
  <c r="K51" i="18"/>
  <c r="K9" i="18"/>
  <c r="K23" i="18"/>
  <c r="D4" i="18"/>
  <c r="D11" i="18"/>
  <c r="D18" i="18"/>
  <c r="D25" i="18"/>
  <c r="D32" i="18"/>
  <c r="D39" i="18"/>
  <c r="D46" i="18"/>
  <c r="D53" i="18"/>
  <c r="D60" i="18"/>
  <c r="D19" i="18"/>
  <c r="D36" i="18"/>
  <c r="D51" i="18"/>
  <c r="D7" i="18"/>
  <c r="D9" i="18"/>
  <c r="D5" i="18"/>
  <c r="D38" i="18"/>
  <c r="D40" i="18"/>
  <c r="D42" i="18"/>
  <c r="D44" i="18"/>
  <c r="D57" i="18"/>
  <c r="D61" i="18"/>
  <c r="D34" i="18"/>
  <c r="D6" i="18"/>
  <c r="D20" i="18"/>
  <c r="D22" i="18"/>
  <c r="D24" i="18"/>
  <c r="D26" i="18"/>
  <c r="D28" i="18"/>
  <c r="D30" i="18"/>
  <c r="D8" i="18"/>
  <c r="D10" i="18"/>
  <c r="D12" i="18"/>
  <c r="D14" i="18"/>
  <c r="D16" i="18"/>
  <c r="D55" i="18"/>
  <c r="D59" i="18"/>
  <c r="D56" i="18"/>
  <c r="E51" i="18"/>
  <c r="E45" i="18"/>
  <c r="F39" i="18"/>
  <c r="F33" i="18"/>
  <c r="E23" i="18"/>
  <c r="L60" i="18"/>
  <c r="L20" i="18"/>
  <c r="K13" i="18"/>
  <c r="L3" i="18"/>
  <c r="J47" i="17"/>
  <c r="Q2" i="18"/>
  <c r="Q4" i="18"/>
  <c r="Q6" i="18"/>
  <c r="Q8" i="18"/>
  <c r="Q10" i="18"/>
  <c r="Q12" i="18"/>
  <c r="Q14" i="18"/>
  <c r="Q16" i="18"/>
  <c r="Q18" i="18"/>
  <c r="Q20" i="18"/>
  <c r="Q22" i="18"/>
  <c r="Q24" i="18"/>
  <c r="Q26" i="18"/>
  <c r="Q28" i="18"/>
  <c r="Q30" i="18"/>
  <c r="Q32" i="18"/>
  <c r="Q34" i="18"/>
  <c r="Q36" i="18"/>
  <c r="Q38" i="18"/>
  <c r="Q40" i="18"/>
  <c r="Q42" i="18"/>
  <c r="Q44" i="18"/>
  <c r="Q46" i="18"/>
  <c r="Q17" i="18"/>
  <c r="Q23" i="18"/>
  <c r="Q25" i="18"/>
  <c r="Q49" i="18"/>
  <c r="Q53" i="18"/>
  <c r="Q55" i="18"/>
  <c r="Q27" i="18"/>
  <c r="Q31" i="18"/>
  <c r="Q41" i="18"/>
  <c r="Q45" i="18"/>
  <c r="Q47" i="18"/>
  <c r="Q61" i="18"/>
  <c r="Q15" i="18"/>
  <c r="Q33" i="18"/>
  <c r="Q35" i="18"/>
  <c r="Q57" i="18"/>
  <c r="Q59" i="18"/>
  <c r="Q3" i="18"/>
  <c r="Q5" i="18"/>
  <c r="Q7" i="18"/>
  <c r="Q9" i="18"/>
  <c r="Q11" i="18"/>
  <c r="Q13" i="18"/>
  <c r="Q19" i="18"/>
  <c r="Q21" i="18"/>
  <c r="Q29" i="18"/>
  <c r="Q37" i="18"/>
  <c r="Q39" i="18"/>
  <c r="Q43" i="18"/>
  <c r="Q51" i="18"/>
  <c r="D50" i="18"/>
  <c r="D45" i="18"/>
  <c r="E39" i="18"/>
  <c r="E33" i="18"/>
  <c r="F27" i="18"/>
  <c r="D23" i="18"/>
  <c r="M59" i="18"/>
  <c r="L52" i="18"/>
  <c r="K20" i="18"/>
  <c r="K3" i="18"/>
  <c r="P14" i="18"/>
  <c r="Q54" i="18"/>
  <c r="J37" i="17"/>
  <c r="J32" i="17"/>
  <c r="O53" i="17"/>
  <c r="J42" i="17"/>
  <c r="J2" i="18"/>
  <c r="J41" i="18"/>
  <c r="J43" i="18"/>
  <c r="J45" i="18"/>
  <c r="J11" i="18"/>
  <c r="J15" i="18"/>
  <c r="J44" i="18"/>
  <c r="J50" i="18"/>
  <c r="J28" i="18"/>
  <c r="J36" i="18"/>
  <c r="J9" i="18"/>
  <c r="J13" i="18"/>
  <c r="J17" i="18"/>
  <c r="J3" i="18"/>
  <c r="J42" i="18"/>
  <c r="J48" i="18"/>
  <c r="J32" i="18"/>
  <c r="J34" i="18"/>
  <c r="J46" i="18"/>
  <c r="J52" i="18"/>
  <c r="J30" i="18"/>
  <c r="J38" i="18"/>
  <c r="C3" i="18"/>
  <c r="C21" i="18"/>
  <c r="C38" i="18"/>
  <c r="C53" i="18"/>
  <c r="C55" i="18"/>
  <c r="C5" i="18"/>
  <c r="C48" i="18"/>
  <c r="C50" i="18"/>
  <c r="C52" i="18"/>
  <c r="C54" i="18"/>
  <c r="C56" i="18"/>
  <c r="C58" i="18"/>
  <c r="C60" i="18"/>
  <c r="C34" i="18"/>
  <c r="C36" i="18"/>
  <c r="C20" i="18"/>
  <c r="C24" i="18"/>
  <c r="C28" i="18"/>
  <c r="C32" i="18"/>
  <c r="C43" i="18"/>
  <c r="C51" i="18"/>
  <c r="C22" i="18"/>
  <c r="C26" i="18"/>
  <c r="C30" i="18"/>
  <c r="C8" i="18"/>
  <c r="C10" i="18"/>
  <c r="C12" i="18"/>
  <c r="C14" i="18"/>
  <c r="C16" i="18"/>
  <c r="C18" i="18"/>
  <c r="C57" i="18"/>
  <c r="C61" i="18"/>
  <c r="C6" i="18"/>
  <c r="C59" i="18"/>
  <c r="C4" i="18"/>
  <c r="C2" i="18"/>
  <c r="C41" i="18"/>
  <c r="C45" i="18"/>
  <c r="C49" i="18"/>
  <c r="C47" i="18"/>
  <c r="C44" i="18"/>
  <c r="C39" i="18"/>
  <c r="D33" i="18"/>
  <c r="E27" i="18"/>
  <c r="C23" i="18"/>
  <c r="E19" i="18"/>
  <c r="C11" i="18"/>
  <c r="I6" i="18"/>
  <c r="L59" i="18"/>
  <c r="K52" i="18"/>
  <c r="M34" i="18"/>
  <c r="M27" i="18"/>
  <c r="K11" i="18"/>
  <c r="P13" i="18"/>
  <c r="Q56" i="18"/>
  <c r="O52" i="17"/>
  <c r="Q40" i="17"/>
  <c r="B38" i="17"/>
  <c r="B53" i="17"/>
  <c r="B28" i="17"/>
  <c r="B21" i="17"/>
  <c r="B41" i="17"/>
  <c r="B60" i="17"/>
  <c r="B16" i="17"/>
  <c r="B45" i="17"/>
  <c r="B20" i="17"/>
  <c r="B30" i="17"/>
  <c r="B48" i="17"/>
  <c r="B27" i="17"/>
  <c r="B6" i="17"/>
  <c r="B33" i="17"/>
  <c r="B52" i="17"/>
  <c r="B10" i="17"/>
  <c r="B50" i="17"/>
  <c r="B15" i="17"/>
  <c r="B55" i="17"/>
  <c r="B18" i="17"/>
  <c r="B56" i="17"/>
  <c r="B19" i="17"/>
  <c r="B31" i="17"/>
  <c r="B57" i="17"/>
  <c r="B4" i="17"/>
  <c r="B32" i="17"/>
  <c r="B58" i="17"/>
  <c r="B5" i="17"/>
  <c r="B34" i="17"/>
  <c r="B61" i="17"/>
  <c r="B40" i="17"/>
  <c r="B35" i="17"/>
  <c r="B36" i="17"/>
  <c r="B26" i="17"/>
  <c r="B42" i="17"/>
  <c r="B8" i="17"/>
  <c r="C5" i="17"/>
  <c r="C20" i="17"/>
  <c r="C24" i="17"/>
  <c r="C35" i="17"/>
  <c r="C39" i="17"/>
  <c r="C50" i="17"/>
  <c r="C10" i="17"/>
  <c r="C43" i="17"/>
  <c r="C14" i="17"/>
  <c r="C33" i="17"/>
  <c r="C52" i="17"/>
  <c r="C60" i="17"/>
  <c r="C49" i="17"/>
  <c r="C6" i="17"/>
  <c r="C25" i="17"/>
  <c r="C56" i="17"/>
  <c r="C4" i="17"/>
  <c r="C38" i="17"/>
  <c r="C31" i="17"/>
  <c r="C48" i="17"/>
  <c r="C55" i="17"/>
  <c r="C19" i="17"/>
  <c r="C36" i="17"/>
  <c r="C53" i="17"/>
  <c r="C12" i="17"/>
  <c r="C29" i="17"/>
  <c r="C46" i="17"/>
  <c r="C42" i="17"/>
  <c r="C18" i="17"/>
  <c r="C34" i="17"/>
  <c r="C17" i="17"/>
  <c r="C27" i="17"/>
  <c r="C15" i="17"/>
  <c r="C8" i="17"/>
  <c r="C32" i="17"/>
  <c r="C3" i="17"/>
  <c r="C13" i="17"/>
  <c r="J8" i="17"/>
  <c r="Q20" i="17"/>
  <c r="M2" i="18"/>
  <c r="F49" i="18"/>
  <c r="K10" i="18"/>
  <c r="C61" i="17"/>
  <c r="J30" i="17"/>
  <c r="H25" i="17"/>
  <c r="C21" i="17"/>
  <c r="O21" i="17"/>
  <c r="D54" i="18"/>
  <c r="D49" i="18"/>
  <c r="E43" i="18"/>
  <c r="E37" i="18"/>
  <c r="F31" i="18"/>
  <c r="C15" i="18"/>
  <c r="J4" i="18"/>
  <c r="K49" i="18"/>
  <c r="M41" i="18"/>
  <c r="P51" i="18"/>
  <c r="P2" i="18"/>
  <c r="B14" i="17"/>
  <c r="O15" i="17"/>
  <c r="B47" i="17"/>
  <c r="J3" i="17"/>
  <c r="M45" i="18"/>
  <c r="B46" i="17"/>
  <c r="F61" i="18"/>
  <c r="L34" i="18"/>
  <c r="Q42" i="17"/>
  <c r="E60" i="18"/>
  <c r="F55" i="18"/>
  <c r="F43" i="18"/>
  <c r="D15" i="18"/>
  <c r="E5" i="18"/>
  <c r="K18" i="18"/>
  <c r="D43" i="18"/>
  <c r="D37" i="18"/>
  <c r="E31" i="18"/>
  <c r="K41" i="18"/>
  <c r="L17" i="18"/>
  <c r="H30" i="17"/>
  <c r="Q60" i="17"/>
  <c r="D31" i="18"/>
  <c r="K56" i="18"/>
  <c r="K32" i="18"/>
  <c r="K17" i="18"/>
  <c r="B11" i="17"/>
  <c r="J58" i="18"/>
  <c r="F59" i="18"/>
  <c r="J35" i="18"/>
  <c r="C31" i="18"/>
  <c r="E25" i="18"/>
  <c r="E21" i="18"/>
  <c r="C9" i="18"/>
  <c r="F4" i="18"/>
  <c r="K48" i="18"/>
  <c r="K24" i="18"/>
  <c r="P46" i="18"/>
  <c r="B9" i="17"/>
  <c r="J49" i="17"/>
  <c r="C40" i="17"/>
  <c r="L10" i="18"/>
  <c r="K34" i="18"/>
  <c r="D48" i="18"/>
  <c r="K25" i="18"/>
  <c r="B13" i="17"/>
  <c r="J35" i="17"/>
  <c r="O14" i="17"/>
  <c r="K33" i="18"/>
  <c r="F25" i="18"/>
  <c r="L48" i="18"/>
  <c r="L24" i="18"/>
  <c r="M7" i="18"/>
  <c r="I4" i="18"/>
  <c r="I3" i="18"/>
  <c r="I5" i="18"/>
  <c r="I9" i="18"/>
  <c r="I24" i="18"/>
  <c r="I41" i="18"/>
  <c r="I58" i="18"/>
  <c r="I2" i="18"/>
  <c r="I43" i="18"/>
  <c r="I45" i="18"/>
  <c r="I47" i="18"/>
  <c r="I35" i="18"/>
  <c r="I37" i="18"/>
  <c r="I39" i="18"/>
  <c r="I11" i="18"/>
  <c r="I13" i="18"/>
  <c r="I15" i="18"/>
  <c r="I17" i="18"/>
  <c r="I19" i="18"/>
  <c r="I7" i="18"/>
  <c r="I30" i="18"/>
  <c r="I36" i="18"/>
  <c r="I40" i="18"/>
  <c r="I46" i="18"/>
  <c r="I54" i="18"/>
  <c r="I60" i="18"/>
  <c r="I42" i="18"/>
  <c r="I48" i="18"/>
  <c r="I50" i="18"/>
  <c r="I56" i="18"/>
  <c r="I44" i="18"/>
  <c r="I52" i="18"/>
  <c r="I28" i="18"/>
  <c r="I32" i="18"/>
  <c r="I38" i="18"/>
  <c r="I26" i="18"/>
  <c r="I34" i="18"/>
  <c r="D58" i="18"/>
  <c r="F53" i="18"/>
  <c r="E47" i="18"/>
  <c r="F41" i="18"/>
  <c r="F35" i="18"/>
  <c r="I29" i="18"/>
  <c r="C25" i="18"/>
  <c r="D21" i="18"/>
  <c r="J8" i="18"/>
  <c r="D3" i="18"/>
  <c r="L39" i="18"/>
  <c r="L31" i="18"/>
  <c r="M6" i="18"/>
  <c r="F4" i="17"/>
  <c r="F11" i="17"/>
  <c r="F18" i="17"/>
  <c r="F25" i="17"/>
  <c r="F32" i="17"/>
  <c r="F39" i="17"/>
  <c r="F46" i="17"/>
  <c r="F9" i="17"/>
  <c r="F13" i="17"/>
  <c r="F24" i="17"/>
  <c r="F28" i="17"/>
  <c r="F43" i="17"/>
  <c r="F47" i="17"/>
  <c r="F55" i="17"/>
  <c r="F60" i="17"/>
  <c r="F58" i="17"/>
  <c r="F3" i="17"/>
  <c r="F22" i="17"/>
  <c r="F41" i="17"/>
  <c r="F61" i="17"/>
  <c r="F5" i="17"/>
  <c r="F38" i="17"/>
  <c r="F45" i="17"/>
  <c r="F14" i="17"/>
  <c r="F33" i="17"/>
  <c r="F57" i="17"/>
  <c r="F37" i="17"/>
  <c r="F59" i="17"/>
  <c r="F56" i="17"/>
  <c r="F20" i="17"/>
  <c r="M5" i="17"/>
  <c r="P10" i="18"/>
  <c r="O3" i="18"/>
  <c r="O17" i="18"/>
  <c r="O31" i="18"/>
  <c r="O45" i="18"/>
  <c r="O59" i="18"/>
  <c r="O4" i="18"/>
  <c r="O18" i="18"/>
  <c r="O32" i="18"/>
  <c r="O46" i="18"/>
  <c r="O60" i="18"/>
  <c r="O2" i="18"/>
  <c r="O15" i="18"/>
  <c r="O28" i="18"/>
  <c r="O38" i="18"/>
  <c r="O51" i="18"/>
  <c r="P15" i="18"/>
  <c r="P29" i="18"/>
  <c r="P43" i="18"/>
  <c r="P57" i="18"/>
  <c r="P6" i="18"/>
  <c r="P20" i="18"/>
  <c r="P34" i="18"/>
  <c r="P48" i="18"/>
  <c r="P17" i="18"/>
  <c r="P33" i="18"/>
  <c r="P50" i="18"/>
  <c r="P45" i="18"/>
  <c r="O61" i="18"/>
  <c r="P61" i="18"/>
  <c r="P26" i="18"/>
  <c r="L6" i="17"/>
  <c r="L11" i="17"/>
  <c r="L25" i="17"/>
  <c r="L30" i="17"/>
  <c r="L44" i="17"/>
  <c r="L59" i="17"/>
  <c r="L34" i="17"/>
  <c r="L61" i="17"/>
  <c r="L5" i="17"/>
  <c r="L17" i="17"/>
  <c r="L24" i="17"/>
  <c r="L36" i="17"/>
  <c r="L43" i="17"/>
  <c r="L58" i="17"/>
  <c r="L26" i="17"/>
  <c r="L40" i="17"/>
  <c r="L45" i="17"/>
  <c r="E56" i="17"/>
  <c r="E37" i="17"/>
  <c r="L29" i="17"/>
  <c r="M12" i="17"/>
  <c r="N6" i="18"/>
  <c r="N20" i="18"/>
  <c r="N34" i="18"/>
  <c r="N48" i="18"/>
  <c r="N7" i="18"/>
  <c r="N21" i="18"/>
  <c r="N35" i="18"/>
  <c r="N49" i="18"/>
  <c r="N12" i="18"/>
  <c r="N25" i="18"/>
  <c r="N61" i="18"/>
  <c r="H36" i="18"/>
  <c r="O22" i="18"/>
  <c r="P25" i="18"/>
  <c r="K32" i="17"/>
  <c r="K51" i="17"/>
  <c r="K8" i="17"/>
  <c r="K53" i="17"/>
  <c r="K12" i="17"/>
  <c r="K31" i="17"/>
  <c r="K50" i="17"/>
  <c r="K14" i="17"/>
  <c r="K47" i="17"/>
  <c r="D3" i="17"/>
  <c r="D10" i="17"/>
  <c r="D17" i="17"/>
  <c r="D24" i="17"/>
  <c r="D31" i="17"/>
  <c r="D38" i="17"/>
  <c r="D45" i="17"/>
  <c r="D52" i="17"/>
  <c r="D5" i="17"/>
  <c r="D16" i="17"/>
  <c r="D20" i="17"/>
  <c r="D35" i="17"/>
  <c r="D39" i="17"/>
  <c r="D50" i="17"/>
  <c r="D36" i="17"/>
  <c r="D7" i="17"/>
  <c r="D19" i="17"/>
  <c r="D26" i="17"/>
  <c r="D9" i="17"/>
  <c r="D23" i="17"/>
  <c r="D28" i="17"/>
  <c r="D42" i="17"/>
  <c r="D47" i="17"/>
  <c r="D54" i="17"/>
  <c r="D4" i="17"/>
  <c r="D18" i="17"/>
  <c r="D51" i="17"/>
  <c r="D56" i="17"/>
  <c r="L53" i="17"/>
  <c r="D49" i="17"/>
  <c r="K46" i="17"/>
  <c r="F44" i="17"/>
  <c r="L41" i="17"/>
  <c r="D37" i="17"/>
  <c r="K29" i="17"/>
  <c r="E27" i="17"/>
  <c r="M24" i="17"/>
  <c r="D15" i="17"/>
  <c r="L12" i="17"/>
  <c r="F10" i="17"/>
  <c r="L2" i="17"/>
  <c r="M9" i="18"/>
  <c r="M23" i="18"/>
  <c r="M37" i="18"/>
  <c r="M51" i="18"/>
  <c r="M10" i="18"/>
  <c r="M24" i="18"/>
  <c r="M38" i="18"/>
  <c r="M52" i="18"/>
  <c r="M22" i="18"/>
  <c r="M35" i="18"/>
  <c r="M48" i="18"/>
  <c r="M58" i="18"/>
  <c r="B59" i="18"/>
  <c r="B42" i="18"/>
  <c r="B26" i="18"/>
  <c r="J60" i="18"/>
  <c r="H54" i="18"/>
  <c r="H52" i="18"/>
  <c r="H50" i="18"/>
  <c r="H48" i="18"/>
  <c r="H46" i="18"/>
  <c r="H44" i="18"/>
  <c r="G42" i="18"/>
  <c r="G40" i="18"/>
  <c r="G38" i="18"/>
  <c r="G36" i="18"/>
  <c r="G34" i="18"/>
  <c r="G32" i="18"/>
  <c r="H3" i="18"/>
  <c r="N57" i="18"/>
  <c r="K54" i="18"/>
  <c r="N50" i="18"/>
  <c r="N43" i="18"/>
  <c r="K40" i="18"/>
  <c r="N36" i="18"/>
  <c r="N29" i="18"/>
  <c r="K26" i="18"/>
  <c r="N22" i="18"/>
  <c r="K19" i="18"/>
  <c r="M15" i="18"/>
  <c r="O11" i="18"/>
  <c r="M8" i="18"/>
  <c r="K5" i="18"/>
  <c r="P59" i="18"/>
  <c r="P41" i="18"/>
  <c r="P24" i="18"/>
  <c r="P7" i="18"/>
  <c r="D58" i="17"/>
  <c r="N55" i="17"/>
  <c r="F51" i="17"/>
  <c r="N48" i="17"/>
  <c r="D44" i="17"/>
  <c r="E39" i="17"/>
  <c r="K36" i="17"/>
  <c r="F34" i="17"/>
  <c r="M31" i="17"/>
  <c r="D27" i="17"/>
  <c r="E22" i="17"/>
  <c r="L19" i="17"/>
  <c r="F17" i="17"/>
  <c r="K2" i="17"/>
  <c r="E3" i="17"/>
  <c r="E10" i="17"/>
  <c r="E17" i="17"/>
  <c r="E24" i="17"/>
  <c r="E31" i="17"/>
  <c r="E38" i="17"/>
  <c r="E45" i="17"/>
  <c r="E52" i="17"/>
  <c r="E59" i="17"/>
  <c r="E9" i="17"/>
  <c r="E13" i="17"/>
  <c r="E28" i="17"/>
  <c r="E32" i="17"/>
  <c r="E43" i="17"/>
  <c r="E47" i="17"/>
  <c r="E55" i="17"/>
  <c r="E60" i="17"/>
  <c r="E4" i="17"/>
  <c r="E15" i="17"/>
  <c r="E19" i="17"/>
  <c r="E30" i="17"/>
  <c r="E34" i="17"/>
  <c r="E49" i="17"/>
  <c r="E53" i="17"/>
  <c r="E29" i="17"/>
  <c r="E48" i="17"/>
  <c r="E58" i="17"/>
  <c r="E12" i="17"/>
  <c r="E2" i="17"/>
  <c r="E16" i="17"/>
  <c r="E21" i="17"/>
  <c r="E35" i="17"/>
  <c r="E40" i="17"/>
  <c r="E11" i="17"/>
  <c r="E44" i="17"/>
  <c r="L46" i="17"/>
  <c r="E20" i="17"/>
  <c r="H40" i="18"/>
  <c r="H34" i="18"/>
  <c r="H32" i="18"/>
  <c r="O57" i="18"/>
  <c r="O50" i="18"/>
  <c r="O43" i="18"/>
  <c r="O36" i="18"/>
  <c r="O29" i="18"/>
  <c r="N8" i="18"/>
  <c r="P60" i="18"/>
  <c r="P42" i="18"/>
  <c r="P8" i="18"/>
  <c r="L12" i="18"/>
  <c r="H58" i="18"/>
  <c r="G56" i="18"/>
  <c r="G54" i="18"/>
  <c r="G52" i="18"/>
  <c r="G50" i="18"/>
  <c r="G48" i="18"/>
  <c r="G46" i="18"/>
  <c r="G44" i="18"/>
  <c r="H5" i="18"/>
  <c r="G3" i="18"/>
  <c r="K61" i="18"/>
  <c r="O53" i="18"/>
  <c r="K47" i="18"/>
  <c r="O39" i="18"/>
  <c r="O25" i="18"/>
  <c r="N18" i="18"/>
  <c r="N11" i="18"/>
  <c r="N4" i="18"/>
  <c r="P58" i="18"/>
  <c r="P40" i="18"/>
  <c r="P23" i="18"/>
  <c r="P5" i="18"/>
  <c r="I3" i="17"/>
  <c r="I17" i="17"/>
  <c r="I22" i="17"/>
  <c r="I36" i="17"/>
  <c r="I41" i="17"/>
  <c r="I58" i="17"/>
  <c r="I45" i="17"/>
  <c r="I60" i="17"/>
  <c r="I2" i="17"/>
  <c r="I9" i="17"/>
  <c r="I28" i="17"/>
  <c r="I57" i="17"/>
  <c r="P7" i="17"/>
  <c r="P8" i="17"/>
  <c r="P9" i="17"/>
  <c r="P23" i="17"/>
  <c r="P37" i="17"/>
  <c r="P51" i="17"/>
  <c r="P10" i="17"/>
  <c r="P24" i="17"/>
  <c r="P38" i="17"/>
  <c r="P52" i="17"/>
  <c r="P15" i="17"/>
  <c r="P29" i="17"/>
  <c r="P43" i="17"/>
  <c r="P57" i="17"/>
  <c r="P3" i="17"/>
  <c r="P22" i="17"/>
  <c r="P41" i="17"/>
  <c r="P59" i="17"/>
  <c r="P4" i="17"/>
  <c r="P25" i="17"/>
  <c r="P42" i="17"/>
  <c r="P60" i="17"/>
  <c r="P13" i="17"/>
  <c r="P31" i="17"/>
  <c r="P48" i="17"/>
  <c r="P28" i="17"/>
  <c r="P50" i="17"/>
  <c r="P11" i="17"/>
  <c r="P33" i="17"/>
  <c r="P55" i="17"/>
  <c r="P16" i="17"/>
  <c r="P36" i="17"/>
  <c r="P61" i="17"/>
  <c r="P18" i="17"/>
  <c r="P40" i="17"/>
  <c r="P19" i="17"/>
  <c r="P44" i="17"/>
  <c r="D60" i="17"/>
  <c r="M55" i="17"/>
  <c r="I53" i="17"/>
  <c r="E51" i="17"/>
  <c r="M48" i="17"/>
  <c r="E46" i="17"/>
  <c r="M43" i="17"/>
  <c r="D34" i="17"/>
  <c r="L31" i="17"/>
  <c r="F29" i="17"/>
  <c r="I24" i="17"/>
  <c r="D22" i="17"/>
  <c r="K19" i="17"/>
  <c r="F12" i="17"/>
  <c r="M9" i="17"/>
  <c r="F2" i="17"/>
  <c r="P58" i="17"/>
  <c r="P26" i="17"/>
  <c r="H38" i="18"/>
  <c r="H30" i="18"/>
  <c r="N15" i="18"/>
  <c r="K15" i="18"/>
  <c r="K29" i="18"/>
  <c r="K43" i="18"/>
  <c r="K57" i="18"/>
  <c r="K2" i="18"/>
  <c r="K16" i="18"/>
  <c r="K30" i="18"/>
  <c r="K44" i="18"/>
  <c r="K58" i="18"/>
  <c r="K6" i="18"/>
  <c r="K42" i="18"/>
  <c r="K55" i="18"/>
  <c r="G58" i="18"/>
  <c r="K22" i="18"/>
  <c r="P22" i="18"/>
  <c r="M57" i="17"/>
  <c r="F53" i="17"/>
  <c r="M50" i="17"/>
  <c r="D46" i="17"/>
  <c r="E41" i="17"/>
  <c r="L38" i="17"/>
  <c r="F36" i="17"/>
  <c r="D29" i="17"/>
  <c r="K26" i="17"/>
  <c r="M16" i="17"/>
  <c r="D12" i="17"/>
  <c r="L9" i="17"/>
  <c r="F7" i="17"/>
  <c r="L4" i="17"/>
  <c r="D2" i="17"/>
  <c r="P27" i="18"/>
  <c r="O8" i="18"/>
  <c r="P44" i="18"/>
  <c r="M53" i="17"/>
  <c r="F49" i="17"/>
  <c r="F27" i="17"/>
  <c r="F15" i="17"/>
  <c r="G60" i="18"/>
  <c r="G5" i="18"/>
  <c r="N60" i="18"/>
  <c r="N53" i="18"/>
  <c r="N46" i="18"/>
  <c r="N39" i="18"/>
  <c r="N32" i="18"/>
  <c r="O14" i="18"/>
  <c r="K8" i="18"/>
  <c r="P56" i="18"/>
  <c r="P39" i="18"/>
  <c r="P4" i="18"/>
  <c r="B7" i="18"/>
  <c r="B22" i="18"/>
  <c r="B37" i="18"/>
  <c r="B52" i="18"/>
  <c r="J5" i="18"/>
  <c r="J12" i="18"/>
  <c r="J19" i="18"/>
  <c r="J26" i="18"/>
  <c r="J33" i="18"/>
  <c r="J40" i="18"/>
  <c r="J47" i="18"/>
  <c r="J54" i="18"/>
  <c r="J61" i="18"/>
  <c r="J7" i="18"/>
  <c r="J22" i="18"/>
  <c r="J39" i="18"/>
  <c r="J56" i="18"/>
  <c r="B55" i="18"/>
  <c r="B39" i="18"/>
  <c r="B23" i="18"/>
  <c r="B6" i="18"/>
  <c r="J31" i="18"/>
  <c r="J29" i="18"/>
  <c r="J27" i="18"/>
  <c r="J25" i="18"/>
  <c r="J23" i="18"/>
  <c r="J21" i="18"/>
  <c r="G7" i="18"/>
  <c r="O56" i="18"/>
  <c r="K50" i="18"/>
  <c r="O42" i="18"/>
  <c r="K36" i="18"/>
  <c r="N28" i="18"/>
  <c r="O21" i="18"/>
  <c r="N14" i="18"/>
  <c r="O7" i="18"/>
  <c r="P55" i="18"/>
  <c r="P38" i="18"/>
  <c r="P21" i="18"/>
  <c r="P3" i="18"/>
  <c r="G6" i="17"/>
  <c r="G17" i="17"/>
  <c r="G21" i="17"/>
  <c r="G36" i="17"/>
  <c r="G40" i="17"/>
  <c r="G51" i="17"/>
  <c r="G8" i="17"/>
  <c r="G12" i="17"/>
  <c r="G23" i="17"/>
  <c r="G27" i="17"/>
  <c r="G38" i="17"/>
  <c r="G42" i="17"/>
  <c r="G15" i="17"/>
  <c r="G34" i="17"/>
  <c r="G31" i="17"/>
  <c r="G50" i="17"/>
  <c r="G55" i="17"/>
  <c r="G7" i="17"/>
  <c r="G26" i="17"/>
  <c r="G30" i="17"/>
  <c r="G49" i="17"/>
  <c r="G54" i="17"/>
  <c r="N8" i="17"/>
  <c r="N15" i="17"/>
  <c r="N22" i="17"/>
  <c r="N29" i="17"/>
  <c r="N36" i="17"/>
  <c r="N43" i="17"/>
  <c r="N50" i="17"/>
  <c r="N53" i="17"/>
  <c r="N58" i="17"/>
  <c r="N7" i="17"/>
  <c r="N11" i="17"/>
  <c r="N26" i="17"/>
  <c r="N30" i="17"/>
  <c r="N41" i="17"/>
  <c r="N45" i="17"/>
  <c r="N16" i="17"/>
  <c r="N49" i="17"/>
  <c r="N54" i="17"/>
  <c r="N20" i="17"/>
  <c r="N39" i="17"/>
  <c r="N56" i="17"/>
  <c r="N3" i="17"/>
  <c r="N12" i="17"/>
  <c r="N31" i="17"/>
  <c r="D53" i="17"/>
  <c r="L50" i="17"/>
  <c r="F48" i="17"/>
  <c r="I43" i="17"/>
  <c r="D41" i="17"/>
  <c r="K38" i="17"/>
  <c r="E36" i="17"/>
  <c r="N33" i="17"/>
  <c r="N23" i="17"/>
  <c r="K21" i="17"/>
  <c r="F19" i="17"/>
  <c r="L16" i="17"/>
  <c r="G14" i="17"/>
  <c r="E7" i="17"/>
  <c r="K4" i="17"/>
  <c r="P54" i="17"/>
  <c r="P20" i="17"/>
  <c r="M7" i="17"/>
  <c r="M14" i="17"/>
  <c r="M21" i="17"/>
  <c r="M28" i="17"/>
  <c r="M35" i="17"/>
  <c r="M42" i="17"/>
  <c r="M49" i="17"/>
  <c r="M56" i="17"/>
  <c r="M11" i="17"/>
  <c r="M15" i="17"/>
  <c r="M26" i="17"/>
  <c r="M30" i="17"/>
  <c r="M41" i="17"/>
  <c r="M45" i="17"/>
  <c r="M2" i="17"/>
  <c r="M13" i="17"/>
  <c r="M17" i="17"/>
  <c r="M32" i="17"/>
  <c r="M36" i="17"/>
  <c r="M47" i="17"/>
  <c r="M51" i="17"/>
  <c r="M4" i="17"/>
  <c r="M18" i="17"/>
  <c r="M23" i="17"/>
  <c r="M37" i="17"/>
  <c r="M27" i="17"/>
  <c r="M46" i="17"/>
  <c r="M10" i="17"/>
  <c r="M29" i="17"/>
  <c r="M19" i="17"/>
  <c r="M33" i="17"/>
  <c r="M38" i="17"/>
  <c r="M52" i="17"/>
  <c r="M60" i="17"/>
  <c r="F31" i="17"/>
  <c r="F26" i="17"/>
  <c r="H7" i="18"/>
  <c r="H14" i="18"/>
  <c r="H21" i="18"/>
  <c r="H28" i="18"/>
  <c r="H35" i="18"/>
  <c r="H42" i="18"/>
  <c r="H49" i="18"/>
  <c r="H56" i="18"/>
  <c r="H11" i="18"/>
  <c r="H26" i="18"/>
  <c r="H43" i="18"/>
  <c r="H60" i="18"/>
  <c r="H33" i="18"/>
  <c r="H31" i="18"/>
  <c r="H29" i="18"/>
  <c r="H27" i="18"/>
  <c r="H25" i="18"/>
  <c r="H23" i="18"/>
  <c r="O24" i="18"/>
  <c r="O10" i="18"/>
  <c r="N3" i="18"/>
  <c r="P53" i="18"/>
  <c r="P36" i="18"/>
  <c r="P18" i="18"/>
  <c r="M61" i="17"/>
  <c r="M40" i="17"/>
  <c r="E26" i="17"/>
  <c r="F21" i="17"/>
  <c r="M6" i="17"/>
  <c r="B51" i="18"/>
  <c r="B35" i="18"/>
  <c r="B19" i="18"/>
  <c r="B3" i="18"/>
  <c r="J59" i="18"/>
  <c r="J57" i="18"/>
  <c r="J55" i="18"/>
  <c r="J53" i="18"/>
  <c r="J51" i="18"/>
  <c r="J49" i="18"/>
  <c r="H41" i="18"/>
  <c r="H39" i="18"/>
  <c r="H37" i="18"/>
  <c r="G35" i="18"/>
  <c r="G33" i="18"/>
  <c r="G31" i="18"/>
  <c r="G29" i="18"/>
  <c r="G27" i="18"/>
  <c r="G25" i="18"/>
  <c r="N59" i="18"/>
  <c r="O52" i="18"/>
  <c r="N45" i="18"/>
  <c r="N38" i="18"/>
  <c r="K35" i="18"/>
  <c r="K28" i="18"/>
  <c r="N24" i="18"/>
  <c r="K21" i="18"/>
  <c r="K14" i="18"/>
  <c r="N10" i="18"/>
  <c r="K7" i="18"/>
  <c r="P52" i="18"/>
  <c r="P35" i="18"/>
  <c r="P16" i="18"/>
  <c r="K5" i="17"/>
  <c r="K61" i="17"/>
  <c r="E57" i="17"/>
  <c r="M54" i="17"/>
  <c r="F50" i="17"/>
  <c r="K40" i="17"/>
  <c r="K35" i="17"/>
  <c r="E33" i="17"/>
  <c r="K30" i="17"/>
  <c r="D21" i="17"/>
  <c r="I11" i="17"/>
  <c r="M8" i="17"/>
  <c r="I6" i="17"/>
  <c r="P47" i="17"/>
  <c r="P12" i="17"/>
  <c r="O5" i="17"/>
  <c r="O19" i="17"/>
  <c r="O33" i="17"/>
  <c r="O47" i="17"/>
  <c r="O61" i="17"/>
  <c r="O6" i="17"/>
  <c r="O20" i="17"/>
  <c r="O34" i="17"/>
  <c r="O48" i="17"/>
  <c r="O11" i="17"/>
  <c r="O16" i="17"/>
  <c r="O32" i="17"/>
  <c r="O50" i="17"/>
  <c r="O17" i="17"/>
  <c r="O35" i="17"/>
  <c r="O51" i="17"/>
  <c r="O7" i="17"/>
  <c r="O24" i="17"/>
  <c r="O40" i="17"/>
  <c r="O56" i="17"/>
  <c r="O43" i="17"/>
  <c r="O23" i="17"/>
  <c r="G6" i="18"/>
  <c r="G45" i="18"/>
  <c r="G30" i="18"/>
  <c r="G28" i="18"/>
  <c r="G13" i="18"/>
  <c r="B29" i="17"/>
  <c r="L55" i="17"/>
  <c r="O59" i="17"/>
  <c r="O39" i="17"/>
  <c r="O18" i="17"/>
  <c r="I5" i="17"/>
  <c r="I12" i="17"/>
  <c r="I19" i="17"/>
  <c r="I26" i="17"/>
  <c r="I33" i="17"/>
  <c r="I40" i="17"/>
  <c r="I47" i="17"/>
  <c r="I54" i="17"/>
  <c r="I61" i="17"/>
  <c r="I10" i="17"/>
  <c r="I14" i="17"/>
  <c r="I25" i="17"/>
  <c r="I29" i="17"/>
  <c r="I44" i="17"/>
  <c r="I48" i="17"/>
  <c r="I56" i="17"/>
  <c r="I16" i="17"/>
  <c r="I20" i="17"/>
  <c r="I31" i="17"/>
  <c r="I35" i="17"/>
  <c r="I46" i="17"/>
  <c r="I50" i="17"/>
  <c r="I59" i="17"/>
  <c r="I13" i="17"/>
  <c r="O55" i="17"/>
  <c r="O36" i="17"/>
  <c r="O13" i="17"/>
  <c r="Q3" i="17"/>
  <c r="C2" i="17"/>
  <c r="C9" i="17"/>
  <c r="C16" i="17"/>
  <c r="C23" i="17"/>
  <c r="C30" i="17"/>
  <c r="C37" i="17"/>
  <c r="C44" i="17"/>
  <c r="C51" i="17"/>
  <c r="C58" i="17"/>
  <c r="B12" i="17"/>
  <c r="B59" i="17"/>
  <c r="B44" i="17"/>
  <c r="L60" i="17"/>
  <c r="C57" i="17"/>
  <c r="C45" i="17"/>
  <c r="K43" i="17"/>
  <c r="C41" i="17"/>
  <c r="K39" i="17"/>
  <c r="K28" i="17"/>
  <c r="C26" i="17"/>
  <c r="K24" i="17"/>
  <c r="C22" i="17"/>
  <c r="C11" i="17"/>
  <c r="K9" i="17"/>
  <c r="C7" i="17"/>
  <c r="Q61" i="17"/>
  <c r="Q59" i="17"/>
  <c r="Q57" i="17"/>
  <c r="Q55" i="17"/>
  <c r="Q53" i="17"/>
  <c r="Q51" i="17"/>
  <c r="Q49" i="17"/>
  <c r="Q47" i="17"/>
  <c r="Q45" i="17"/>
  <c r="Q43" i="17"/>
  <c r="Q41" i="17"/>
  <c r="Q39" i="17"/>
  <c r="Q37" i="17"/>
  <c r="Q35" i="17"/>
  <c r="Q33" i="17"/>
  <c r="Q31" i="17"/>
  <c r="Q29" i="17"/>
  <c r="Q27" i="17"/>
  <c r="Q25" i="17"/>
  <c r="Q23" i="17"/>
  <c r="Q21" i="17"/>
  <c r="Q19" i="17"/>
  <c r="Q17" i="17"/>
  <c r="Q15" i="17"/>
  <c r="Q13" i="17"/>
  <c r="Q11" i="17"/>
  <c r="Q9" i="17"/>
  <c r="Q7" i="17"/>
  <c r="Q5" i="17"/>
  <c r="B58" i="18"/>
  <c r="B44" i="18"/>
  <c r="B30" i="18"/>
  <c r="L54" i="18"/>
  <c r="L40" i="18"/>
  <c r="L26" i="18"/>
  <c r="B37" i="17"/>
  <c r="B51" i="17"/>
  <c r="B25" i="17"/>
  <c r="B17" i="17"/>
  <c r="L7" i="17"/>
  <c r="L14" i="17"/>
  <c r="L21" i="17"/>
  <c r="L28" i="17"/>
  <c r="L35" i="17"/>
  <c r="L42" i="17"/>
  <c r="L49" i="17"/>
  <c r="B3" i="17"/>
  <c r="B7" i="17"/>
  <c r="B54" i="17"/>
  <c r="B39" i="17"/>
  <c r="C59" i="17"/>
  <c r="L57" i="17"/>
  <c r="C54" i="17"/>
  <c r="L52" i="17"/>
  <c r="L48" i="17"/>
  <c r="L37" i="17"/>
  <c r="L33" i="17"/>
  <c r="L22" i="17"/>
  <c r="L18" i="17"/>
  <c r="L3" i="17"/>
  <c r="K6" i="17"/>
  <c r="K13" i="17"/>
  <c r="K20" i="17"/>
  <c r="K27" i="17"/>
  <c r="K34" i="17"/>
  <c r="K41" i="17"/>
  <c r="K48" i="17"/>
  <c r="K55" i="17"/>
  <c r="K57" i="17"/>
  <c r="K52" i="17"/>
  <c r="K37" i="17"/>
  <c r="K33" i="17"/>
  <c r="K22" i="17"/>
  <c r="K18" i="17"/>
  <c r="K7" i="17"/>
  <c r="K3" i="17"/>
  <c r="Q2" i="17"/>
  <c r="G60" i="17"/>
  <c r="G53" i="17"/>
  <c r="G46" i="17"/>
  <c r="G39" i="17"/>
  <c r="G32" i="17"/>
  <c r="G25" i="17"/>
  <c r="G18" i="17"/>
  <c r="G11" i="17"/>
  <c r="B2" i="18"/>
  <c r="T10" i="17" l="1"/>
  <c r="T13" i="17"/>
  <c r="T29" i="17"/>
  <c r="T32" i="17"/>
  <c r="T35" i="17"/>
  <c r="T17" i="17"/>
  <c r="T20" i="17"/>
  <c r="T14" i="17"/>
  <c r="T11" i="17"/>
  <c r="T25" i="17"/>
  <c r="T26" i="17"/>
  <c r="T16" i="17"/>
  <c r="T7" i="17"/>
  <c r="T23" i="17"/>
  <c r="T4" i="17"/>
  <c r="T39" i="17"/>
  <c r="T33" i="17"/>
  <c r="T36" i="17"/>
  <c r="T30" i="17"/>
  <c r="T8" i="17"/>
  <c r="T24" i="17"/>
  <c r="T27" i="17"/>
  <c r="T18" i="17"/>
  <c r="T21" i="17"/>
  <c r="T2" i="17"/>
  <c r="T12" i="17"/>
  <c r="T15" i="17"/>
  <c r="T6" i="17"/>
  <c r="T22" i="17"/>
  <c r="T5" i="17"/>
  <c r="T37" i="17"/>
  <c r="T31" i="17"/>
  <c r="T34" i="17"/>
  <c r="T9" i="17"/>
  <c r="T28" i="17"/>
  <c r="T3" i="17"/>
  <c r="T19" i="17"/>
  <c r="T38" i="17"/>
  <c r="B61" i="18"/>
  <c r="R45" i="18"/>
</calcChain>
</file>

<file path=xl/sharedStrings.xml><?xml version="1.0" encoding="utf-8"?>
<sst xmlns="http://schemas.openxmlformats.org/spreadsheetml/2006/main" count="424" uniqueCount="154">
  <si>
    <t>fluid</t>
  </si>
  <si>
    <t>ID</t>
  </si>
  <si>
    <t>date</t>
  </si>
  <si>
    <t>ON</t>
  </si>
  <si>
    <t>OFF</t>
  </si>
  <si>
    <t>consumed</t>
  </si>
  <si>
    <t>why suspicious?</t>
  </si>
  <si>
    <t>transcription good?</t>
  </si>
  <si>
    <t>Problem</t>
  </si>
  <si>
    <t>fix</t>
  </si>
  <si>
    <t>W</t>
  </si>
  <si>
    <t>9/17</t>
  </si>
  <si>
    <t>negative consumed</t>
  </si>
  <si>
    <t>yes</t>
  </si>
  <si>
    <t xml:space="preserve"> suspect OFF weight should have been 393.7, not 493.7</t>
  </si>
  <si>
    <t>9/10</t>
  </si>
  <si>
    <t>?? Guessing OFF should have been 445.2</t>
  </si>
  <si>
    <t>8/04</t>
  </si>
  <si>
    <t>no audio</t>
  </si>
  <si>
    <t>?? Guessing ON should have been 465.6</t>
  </si>
  <si>
    <t>unusually high consumed</t>
  </si>
  <si>
    <t>?? Guessing  OFF weight is actually ethanol bottle</t>
  </si>
  <si>
    <t>E</t>
  </si>
  <si>
    <t>?? Guessing  OFF weight is actually water bottle</t>
  </si>
  <si>
    <t xml:space="preserve"> suspect OFF weight should have been 384, not 484</t>
  </si>
  <si>
    <t>9/29</t>
  </si>
  <si>
    <t>08/04</t>
  </si>
  <si>
    <t>08/06</t>
  </si>
  <si>
    <t>08/08</t>
  </si>
  <si>
    <t>08/11</t>
  </si>
  <si>
    <t>08/13</t>
  </si>
  <si>
    <t>08/15</t>
  </si>
  <si>
    <t>08/18</t>
  </si>
  <si>
    <t>08/20</t>
  </si>
  <si>
    <t>08/22</t>
  </si>
  <si>
    <t>8/25</t>
  </si>
  <si>
    <t>8/27</t>
  </si>
  <si>
    <t>8/29</t>
  </si>
  <si>
    <t>9/1</t>
  </si>
  <si>
    <t>9/3</t>
  </si>
  <si>
    <t>9/5</t>
  </si>
  <si>
    <t>9/8</t>
  </si>
  <si>
    <t>9/12</t>
  </si>
  <si>
    <t>9/15</t>
  </si>
  <si>
    <t>9/19</t>
  </si>
  <si>
    <t>9/22</t>
  </si>
  <si>
    <t>9/24</t>
  </si>
  <si>
    <t>9/26</t>
  </si>
  <si>
    <t>10/1</t>
  </si>
  <si>
    <t>10/3</t>
  </si>
  <si>
    <t>10/6</t>
  </si>
  <si>
    <t>10/8</t>
  </si>
  <si>
    <t>10/10</t>
  </si>
  <si>
    <t>10/13</t>
  </si>
  <si>
    <t>10/15</t>
  </si>
  <si>
    <t>10/17</t>
  </si>
  <si>
    <t>10/20</t>
  </si>
  <si>
    <t>10/22</t>
  </si>
  <si>
    <t>10/24</t>
  </si>
  <si>
    <t>Left fluid (cages 1-30)</t>
  </si>
  <si>
    <t>water</t>
  </si>
  <si>
    <t>20% ethanol</t>
  </si>
  <si>
    <t>Right fluid (cages 1-30)</t>
  </si>
  <si>
    <t>20%ethanol</t>
  </si>
  <si>
    <t>bottles ON time</t>
  </si>
  <si>
    <t>10:56-11:14</t>
  </si>
  <si>
    <t>10:56:11:06</t>
  </si>
  <si>
    <t>10:14-10:31</t>
  </si>
  <si>
    <t>10:30-10:50</t>
  </si>
  <si>
    <t>10:15-10:37</t>
  </si>
  <si>
    <t>10:15-10:46</t>
  </si>
  <si>
    <t>10:17-10:47</t>
  </si>
  <si>
    <t>10:20-10:40</t>
  </si>
  <si>
    <t>10:34-10:55</t>
  </si>
  <si>
    <t>10:17-10:32</t>
  </si>
  <si>
    <t>8:45-9:37</t>
  </si>
  <si>
    <t>10:08-10:25</t>
  </si>
  <si>
    <t>10:05-10:18</t>
  </si>
  <si>
    <t>10:04-10:17</t>
  </si>
  <si>
    <t>9:44-9:59</t>
  </si>
  <si>
    <t>10:02 - 10:18</t>
  </si>
  <si>
    <t>10:03-10:17</t>
  </si>
  <si>
    <t>10:02-10:17</t>
  </si>
  <si>
    <t>9:51-10:06</t>
  </si>
  <si>
    <t>10:02-10:16</t>
  </si>
  <si>
    <t>10:11-10:22</t>
  </si>
  <si>
    <t>10:00-10:14</t>
  </si>
  <si>
    <t>10:03-10:19</t>
  </si>
  <si>
    <t>10:10-10:22</t>
  </si>
  <si>
    <t>10:02-10:14</t>
  </si>
  <si>
    <t>10:11-10:23</t>
  </si>
  <si>
    <t>10:00-10:12</t>
  </si>
  <si>
    <t>9:57:10:10</t>
  </si>
  <si>
    <t>10:07-10:19</t>
  </si>
  <si>
    <t>10:09-10:23</t>
  </si>
  <si>
    <t>10:12-10:25</t>
  </si>
  <si>
    <t>bottles OFF time</t>
  </si>
  <si>
    <t>9:51-10:00</t>
  </si>
  <si>
    <t>10:10-10:19</t>
  </si>
  <si>
    <t>10:00-10:08</t>
  </si>
  <si>
    <t>10:09-10:19</t>
  </si>
  <si>
    <t>other notes</t>
  </si>
  <si>
    <t>23W bottle cap came off during insertion and dumped into cage. Swapped lids and re-weighed.</t>
  </si>
  <si>
    <t>24E &amp; 24W were switched after pulling bottles off. So the transcripted weights needed to be swapped.</t>
  </si>
  <si>
    <t>Washed all bottles at the end of 8/12/25</t>
  </si>
  <si>
    <t>48 ate the rubber stopper and dumped water bottle in cage</t>
  </si>
  <si>
    <t>48 ate the rubber stopper and dumped water bottle in cage - AGAIN!</t>
  </si>
  <si>
    <t>Rat 24 cage seemed wet, so swapped for clean</t>
  </si>
  <si>
    <t>2.7g scale offset when putting bottle ON. Corrected values.</t>
  </si>
  <si>
    <t>Anna did IAP.</t>
  </si>
  <si>
    <t>did not weigh rats (moving to once per week on Wed), will copy Wed weights from now on.</t>
  </si>
  <si>
    <t>2.7 offset in the scale when weighing the off bottles.</t>
  </si>
  <si>
    <t>2.8 offset</t>
  </si>
  <si>
    <t>#48 chewed through normal water bottle and dumped water in his cage on Sunday. 3rd Time</t>
  </si>
  <si>
    <t>#48 normal water bottle had leaked into his cage. Did cage change before putting bottles ON.</t>
  </si>
  <si>
    <t>changed the acrylic backing on #47 because it was chewed up.</t>
  </si>
  <si>
    <t>#48 chewed the stopper and dumped his normal water again. Cage was changed before putting bottled ON.</t>
  </si>
  <si>
    <t>#48 lifted the normal water bottle above acrylic and pulled acrylic through bars. David put bottle back into place for ~40 minutes and when he checked back, the rat had chewed through the stopper and dumped water into the cage.</t>
  </si>
  <si>
    <t>#47 chewed through water bottle stopper, changed cage before putting bottles on</t>
  </si>
  <si>
    <t>Rat #40 had porphorin around eyes on 10/22/25</t>
  </si>
  <si>
    <t>21E, top came off and dumped into cage</t>
  </si>
  <si>
    <t>14e ,25e, 37e, 40e, 30e, 48e, 52e, 53e, 54e, 55e, 60e, 60w had w/e leaking on the stopper.</t>
  </si>
  <si>
    <t>bottle scale had -3.3g offset that would not zero out. (fixed)</t>
  </si>
  <si>
    <t>scale had +0.1 offset for bottle ON (fixed)</t>
  </si>
  <si>
    <t>Audio failure for Ethanol OFF bottles #39-L2. Estimated leak from averaging previous 10 days.</t>
  </si>
  <si>
    <t>48E had -14g consumption, maybe flipped with 48W?</t>
  </si>
  <si>
    <t>#37 has #45W and #45 has #37W, swapped  ON values and labels to make correct</t>
  </si>
  <si>
    <t>scale had +1g offset for bottle OFF (fixed)</t>
  </si>
  <si>
    <t>no scale offset for ON or OFF</t>
  </si>
  <si>
    <t>60W has -12g consumption, but doesn't make sense for it to be flipped with 60E</t>
  </si>
  <si>
    <t>leak 1</t>
  </si>
  <si>
    <t>leak 2</t>
  </si>
  <si>
    <t>500g calibration weight</t>
  </si>
  <si>
    <t>nan</t>
  </si>
  <si>
    <t>NAN</t>
  </si>
  <si>
    <t>leak1</t>
  </si>
  <si>
    <t>leak2</t>
  </si>
  <si>
    <t>9:56-10:08</t>
  </si>
  <si>
    <t>broke Leak1 Ethonal before putting ON. New bottle weighed 449.4</t>
  </si>
  <si>
    <t>Scale offset</t>
  </si>
  <si>
    <t>X</t>
  </si>
  <si>
    <t>AF</t>
  </si>
  <si>
    <t>AJ</t>
  </si>
  <si>
    <t>No</t>
  </si>
  <si>
    <t>On was actually 484.6</t>
  </si>
  <si>
    <t>Yes</t>
  </si>
  <si>
    <t>?? Guessing Acciddentaly repeated 8 instead of 4 in off weight (488.2 -&gt; 448.2)</t>
  </si>
  <si>
    <t>High value + comes right after low value</t>
  </si>
  <si>
    <t>expected</t>
  </si>
  <si>
    <t>Spoke row 28 (below)</t>
  </si>
  <si>
    <t>Weirdly low starting, maybe bottle leak??</t>
  </si>
  <si>
    <t>Not sure. Maybe just mispoke row? W_g value actually looks normal</t>
  </si>
  <si>
    <t>Maybe repeated 6 instead of 4? (446.6-&gt;466.6)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</si>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</sst>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/d;@"/>
  </numFmts>
  <fonts count="6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sz val="11"/>
      <color theme="1" tint="0.499984740745262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quotePrefix="1"/>
    <xf numFmtId="0" fontId="0" fillId="0" borderId="1" xfId="0" applyBorder="1"/>
    <xf numFmtId="49" fontId="0" fillId="0" borderId="2" xfId="0" applyNumberFormat="1" applyBorder="1"/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8" fontId="0" fillId="0" borderId="0" xfId="0" quotePrefix="1" applyNumberForma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20" fontId="0" fillId="0" borderId="0" xfId="0" applyNumberFormat="1" applyAlignment="1">
      <alignment horizontal="left" vertical="top" wrapText="1"/>
    </xf>
    <xf numFmtId="0" fontId="0" fillId="0" borderId="4" xfId="0" applyBorder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5" xfId="0" applyBorder="1" applyAlignment="1">
      <alignment horizontal="left" vertical="top" wrapText="1"/>
    </xf>
    <xf numFmtId="20" fontId="0" fillId="0" borderId="5" xfId="0" applyNumberFormat="1" applyBorder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0" borderId="2" xfId="0" applyBorder="1"/>
    <xf numFmtId="0" fontId="3" fillId="0" borderId="0" xfId="0" applyFont="1"/>
    <xf numFmtId="0" fontId="1" fillId="0" borderId="2" xfId="0" applyFont="1" applyBorder="1"/>
    <xf numFmtId="0" fontId="0" fillId="0" borderId="2" xfId="0" quotePrefix="1" applyBorder="1"/>
    <xf numFmtId="1" fontId="0" fillId="0" borderId="2" xfId="0" applyNumberFormat="1" applyBorder="1"/>
    <xf numFmtId="1" fontId="0" fillId="0" borderId="1" xfId="0" applyNumberFormat="1" applyBorder="1"/>
    <xf numFmtId="164" fontId="0" fillId="0" borderId="2" xfId="0" applyNumberFormat="1" applyBorder="1"/>
    <xf numFmtId="0" fontId="0" fillId="3" borderId="0" xfId="0" applyFill="1"/>
    <xf numFmtId="0" fontId="0" fillId="4" borderId="0" xfId="0" applyFill="1"/>
    <xf numFmtId="49" fontId="0" fillId="0" borderId="6" xfId="0" applyNumberFormat="1" applyBorder="1"/>
    <xf numFmtId="1" fontId="0" fillId="0" borderId="3" xfId="0" applyNumberFormat="1" applyBorder="1"/>
    <xf numFmtId="0" fontId="0" fillId="0" borderId="3" xfId="0" applyBorder="1"/>
    <xf numFmtId="0" fontId="0" fillId="0" borderId="3" xfId="0" quotePrefix="1" applyBorder="1"/>
    <xf numFmtId="0" fontId="0" fillId="0" borderId="7" xfId="0" applyBorder="1"/>
    <xf numFmtId="0" fontId="0" fillId="0" borderId="6" xfId="0" applyBorder="1"/>
    <xf numFmtId="0" fontId="0" fillId="0" borderId="6" xfId="0" quotePrefix="1" applyBorder="1"/>
    <xf numFmtId="0" fontId="0" fillId="0" borderId="8" xfId="0" quotePrefix="1" applyBorder="1"/>
    <xf numFmtId="0" fontId="5" fillId="0" borderId="0" xfId="0" applyFont="1"/>
    <xf numFmtId="0" fontId="0" fillId="0" borderId="0" xfId="0" applyFill="1" applyBorder="1"/>
    <xf numFmtId="165" fontId="0" fillId="0" borderId="0" xfId="0" applyNumberFormat="1"/>
    <xf numFmtId="165" fontId="0" fillId="0" borderId="2" xfId="0" applyNumberFormat="1" applyBorder="1"/>
    <xf numFmtId="164" fontId="0" fillId="0" borderId="1" xfId="0" applyNumberFormat="1" applyBorder="1"/>
    <xf numFmtId="166" fontId="0" fillId="0" borderId="2" xfId="0" applyNumberFormat="1" applyBorder="1"/>
    <xf numFmtId="166" fontId="0" fillId="0" borderId="0" xfId="0" applyNumberFormat="1"/>
    <xf numFmtId="166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997E-A789-48EC-802B-34FC6B26363C}">
  <dimension ref="A1:K14"/>
  <sheetViews>
    <sheetView workbookViewId="0">
      <selection activeCell="D18" sqref="D18"/>
    </sheetView>
  </sheetViews>
  <sheetFormatPr defaultColWidth="8.81640625" defaultRowHeight="14.5"/>
  <cols>
    <col min="3" max="3" width="10.08984375" style="41" bestFit="1" customWidth="1"/>
    <col min="4" max="4" width="8" customWidth="1"/>
    <col min="5" max="6" width="7.453125" customWidth="1"/>
    <col min="7" max="7" width="12" customWidth="1"/>
    <col min="8" max="8" width="30" customWidth="1"/>
    <col min="9" max="9" width="18.6328125" customWidth="1"/>
    <col min="10" max="10" width="52.453125" customWidth="1"/>
  </cols>
  <sheetData>
    <row r="1" spans="1:11" s="18" customFormat="1">
      <c r="A1" s="18" t="s">
        <v>0</v>
      </c>
      <c r="B1" s="18" t="s">
        <v>1</v>
      </c>
      <c r="C1" s="40" t="s">
        <v>2</v>
      </c>
      <c r="D1" s="18" t="s">
        <v>3</v>
      </c>
      <c r="E1" s="18" t="s">
        <v>4</v>
      </c>
      <c r="F1" s="18" t="s">
        <v>148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1:11">
      <c r="A2" t="s">
        <v>10</v>
      </c>
      <c r="B2">
        <v>40</v>
      </c>
      <c r="C2" s="41" t="s">
        <v>11</v>
      </c>
      <c r="D2">
        <v>464.1</v>
      </c>
      <c r="E2" s="26">
        <v>493.7</v>
      </c>
      <c r="F2" s="26"/>
      <c r="G2">
        <v>-30.1</v>
      </c>
      <c r="H2" t="s">
        <v>12</v>
      </c>
      <c r="I2" t="s">
        <v>13</v>
      </c>
      <c r="J2" t="s">
        <v>14</v>
      </c>
      <c r="K2" t="s">
        <v>13</v>
      </c>
    </row>
    <row r="3" spans="1:11">
      <c r="A3" t="s">
        <v>10</v>
      </c>
      <c r="B3">
        <v>44</v>
      </c>
      <c r="C3" s="41" t="s">
        <v>15</v>
      </c>
      <c r="D3">
        <v>449.8</v>
      </c>
      <c r="E3" s="26">
        <v>454.20000000000005</v>
      </c>
      <c r="F3" s="26"/>
      <c r="G3">
        <v>-4.6500000000000909</v>
      </c>
      <c r="H3" t="s">
        <v>12</v>
      </c>
      <c r="I3" t="s">
        <v>13</v>
      </c>
      <c r="J3" t="s">
        <v>16</v>
      </c>
      <c r="K3" t="s">
        <v>13</v>
      </c>
    </row>
    <row r="4" spans="1:11">
      <c r="A4" t="s">
        <v>10</v>
      </c>
      <c r="B4">
        <v>60</v>
      </c>
      <c r="C4" s="41" t="s">
        <v>17</v>
      </c>
      <c r="D4">
        <v>456.6</v>
      </c>
      <c r="E4" s="26">
        <v>468.3</v>
      </c>
      <c r="F4" s="26"/>
      <c r="G4">
        <v>-8.6499999999999204</v>
      </c>
      <c r="H4" t="s">
        <v>12</v>
      </c>
      <c r="I4" t="s">
        <v>18</v>
      </c>
      <c r="J4" t="s">
        <v>19</v>
      </c>
      <c r="K4" t="s">
        <v>13</v>
      </c>
    </row>
    <row r="5" spans="1:11">
      <c r="A5" t="s">
        <v>10</v>
      </c>
      <c r="B5">
        <v>48</v>
      </c>
      <c r="C5" s="41">
        <v>45873</v>
      </c>
      <c r="D5">
        <v>463.6</v>
      </c>
      <c r="E5" s="26">
        <v>426.1</v>
      </c>
      <c r="F5" s="26"/>
      <c r="G5">
        <v>40.5</v>
      </c>
      <c r="H5" t="s">
        <v>20</v>
      </c>
      <c r="I5" t="s">
        <v>18</v>
      </c>
      <c r="J5" t="s">
        <v>21</v>
      </c>
      <c r="K5" t="s">
        <v>13</v>
      </c>
    </row>
    <row r="6" spans="1:11">
      <c r="A6" t="s">
        <v>22</v>
      </c>
      <c r="B6">
        <v>48</v>
      </c>
      <c r="C6" s="41">
        <v>45873</v>
      </c>
      <c r="D6">
        <v>438.7</v>
      </c>
      <c r="E6" s="26">
        <v>452.7</v>
      </c>
      <c r="F6" s="26"/>
      <c r="G6">
        <v>-11</v>
      </c>
      <c r="H6" t="s">
        <v>12</v>
      </c>
      <c r="I6" t="s">
        <v>18</v>
      </c>
      <c r="J6" t="s">
        <v>23</v>
      </c>
      <c r="K6" t="s">
        <v>13</v>
      </c>
    </row>
    <row r="7" spans="1:11">
      <c r="A7" t="s">
        <v>10</v>
      </c>
      <c r="B7">
        <v>9</v>
      </c>
      <c r="C7" s="41">
        <v>45919</v>
      </c>
      <c r="D7">
        <v>454.9</v>
      </c>
      <c r="E7" s="25">
        <v>484</v>
      </c>
      <c r="F7" s="25"/>
      <c r="G7" s="11">
        <v>-29.450000000000045</v>
      </c>
      <c r="H7" t="s">
        <v>12</v>
      </c>
      <c r="I7" t="s">
        <v>13</v>
      </c>
      <c r="J7" t="s">
        <v>24</v>
      </c>
      <c r="K7" t="s">
        <v>13</v>
      </c>
    </row>
    <row r="8" spans="1:11" s="2" customFormat="1">
      <c r="A8" s="2" t="s">
        <v>22</v>
      </c>
      <c r="B8" s="2">
        <v>41</v>
      </c>
      <c r="C8" s="42" t="s">
        <v>140</v>
      </c>
      <c r="D8" s="2">
        <v>463.3</v>
      </c>
      <c r="E8" s="2">
        <v>468.2</v>
      </c>
      <c r="G8" s="2">
        <v>-5.5</v>
      </c>
      <c r="H8" s="2" t="s">
        <v>12</v>
      </c>
      <c r="I8" s="2" t="s">
        <v>13</v>
      </c>
    </row>
    <row r="9" spans="1:11">
      <c r="A9" s="36" t="s">
        <v>22</v>
      </c>
      <c r="B9" s="36">
        <v>3</v>
      </c>
      <c r="C9" s="41" t="s">
        <v>141</v>
      </c>
      <c r="D9" s="2">
        <v>484.6</v>
      </c>
      <c r="E9" s="2">
        <v>477.3</v>
      </c>
      <c r="F9" s="44"/>
      <c r="G9">
        <f>D9-E9</f>
        <v>7.3000000000000114</v>
      </c>
      <c r="H9" s="2" t="s">
        <v>12</v>
      </c>
      <c r="I9" s="36" t="s">
        <v>143</v>
      </c>
      <c r="J9" s="36" t="s">
        <v>144</v>
      </c>
      <c r="K9" s="36" t="s">
        <v>145</v>
      </c>
    </row>
    <row r="10" spans="1:11">
      <c r="A10" s="36" t="s">
        <v>22</v>
      </c>
      <c r="B10" s="36">
        <v>8</v>
      </c>
      <c r="C10" s="41" t="s">
        <v>142</v>
      </c>
      <c r="D10" s="2">
        <v>467.8</v>
      </c>
      <c r="E10" s="2">
        <v>488.2</v>
      </c>
      <c r="F10" s="44"/>
      <c r="G10">
        <f>D10-E10</f>
        <v>-20.399999999999977</v>
      </c>
      <c r="H10" s="2" t="s">
        <v>12</v>
      </c>
      <c r="I10" s="36" t="s">
        <v>145</v>
      </c>
      <c r="J10" s="36" t="s">
        <v>146</v>
      </c>
      <c r="K10" s="36" t="s">
        <v>145</v>
      </c>
    </row>
    <row r="11" spans="1:11" s="2" customFormat="1">
      <c r="A11" s="2" t="s">
        <v>10</v>
      </c>
      <c r="B11" s="43">
        <v>24</v>
      </c>
      <c r="C11" s="42" t="s">
        <v>142</v>
      </c>
      <c r="D11" s="43">
        <f>water_ON!AJ24</f>
        <v>462.7</v>
      </c>
      <c r="E11" s="2">
        <f>water_OFF!AJ24</f>
        <v>445.1</v>
      </c>
      <c r="G11" s="2">
        <f>D11-E11</f>
        <v>17.599999999999966</v>
      </c>
      <c r="H11" s="43" t="s">
        <v>149</v>
      </c>
      <c r="I11" s="2" t="s">
        <v>13</v>
      </c>
      <c r="J11" s="2" t="s">
        <v>151</v>
      </c>
      <c r="K11" s="2" t="s">
        <v>153</v>
      </c>
    </row>
    <row r="12" spans="1:11">
      <c r="A12" s="36" t="s">
        <v>10</v>
      </c>
      <c r="B12" s="36">
        <v>29</v>
      </c>
      <c r="C12" s="41" t="s">
        <v>142</v>
      </c>
      <c r="D12" s="36">
        <v>451.5</v>
      </c>
      <c r="E12">
        <v>466.6</v>
      </c>
      <c r="G12">
        <f>D12-E12</f>
        <v>-15.100000000000023</v>
      </c>
      <c r="H12" s="2" t="s">
        <v>12</v>
      </c>
      <c r="I12" s="36" t="s">
        <v>13</v>
      </c>
      <c r="J12" s="36" t="s">
        <v>152</v>
      </c>
      <c r="K12" s="2" t="s">
        <v>153</v>
      </c>
    </row>
    <row r="13" spans="1:11">
      <c r="A13" s="36" t="s">
        <v>10</v>
      </c>
      <c r="B13" s="36">
        <v>30</v>
      </c>
      <c r="C13" s="41" t="s">
        <v>142</v>
      </c>
      <c r="D13" s="36">
        <f>water_ON!AJ30</f>
        <v>438.6</v>
      </c>
      <c r="E13">
        <f>water_OFF!AJ30</f>
        <v>395.5</v>
      </c>
      <c r="G13">
        <f>D13-E13</f>
        <v>43.100000000000023</v>
      </c>
      <c r="H13" s="36" t="s">
        <v>147</v>
      </c>
      <c r="I13" s="36" t="s">
        <v>13</v>
      </c>
      <c r="J13" t="s">
        <v>150</v>
      </c>
      <c r="K13" s="2" t="s">
        <v>153</v>
      </c>
    </row>
    <row r="14" spans="1:11">
      <c r="D14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D07B-532D-4FF6-A7CB-72C77E1DD8E6}">
  <dimension ref="A1:AK21"/>
  <sheetViews>
    <sheetView workbookViewId="0">
      <pane xSplit="1" topLeftCell="AB1" activePane="topRight" state="frozen"/>
      <selection pane="topRight" sqref="A1:XFD1"/>
    </sheetView>
  </sheetViews>
  <sheetFormatPr defaultColWidth="8.6328125" defaultRowHeight="14.5"/>
  <cols>
    <col min="1" max="1" width="22.1796875" style="4" customWidth="1"/>
    <col min="2" max="4" width="34.6328125" style="5" customWidth="1"/>
    <col min="5" max="5" width="34.6328125" style="13" customWidth="1"/>
    <col min="6" max="57" width="34.6328125" style="5" customWidth="1"/>
    <col min="58" max="16384" width="8.6328125" style="5"/>
  </cols>
  <sheetData>
    <row r="1" spans="1:37" s="3" customFormat="1">
      <c r="A1" s="3" t="s">
        <v>1</v>
      </c>
      <c r="B1" s="45">
        <v>45873</v>
      </c>
      <c r="C1" s="45">
        <v>45875</v>
      </c>
      <c r="D1" s="45">
        <v>45877</v>
      </c>
      <c r="E1" s="45">
        <v>45880</v>
      </c>
      <c r="F1" s="45">
        <v>45882</v>
      </c>
      <c r="G1" s="45">
        <v>45884</v>
      </c>
      <c r="H1" s="45">
        <v>45887</v>
      </c>
      <c r="I1" s="45">
        <v>45889</v>
      </c>
      <c r="J1" s="45">
        <v>45891</v>
      </c>
      <c r="K1" s="45">
        <v>45894</v>
      </c>
      <c r="L1" s="45">
        <v>45896</v>
      </c>
      <c r="M1" s="45">
        <v>45898</v>
      </c>
      <c r="N1" s="45">
        <v>45901</v>
      </c>
      <c r="O1" s="45">
        <v>45903</v>
      </c>
      <c r="P1" s="45">
        <v>45905</v>
      </c>
      <c r="Q1" s="45">
        <v>45908</v>
      </c>
      <c r="R1" s="45">
        <v>45910</v>
      </c>
      <c r="S1" s="45">
        <v>45912</v>
      </c>
      <c r="T1" s="45">
        <v>45915</v>
      </c>
      <c r="U1" s="45">
        <v>45917</v>
      </c>
      <c r="V1" s="45">
        <v>45919</v>
      </c>
      <c r="W1" s="45">
        <v>45922</v>
      </c>
      <c r="X1" s="45">
        <v>45924</v>
      </c>
      <c r="Y1" s="45">
        <v>45926</v>
      </c>
      <c r="Z1" s="45">
        <v>45929</v>
      </c>
      <c r="AA1" s="45">
        <v>45931</v>
      </c>
      <c r="AB1" s="45">
        <v>45933</v>
      </c>
      <c r="AC1" s="45">
        <v>45936</v>
      </c>
      <c r="AD1" s="45">
        <v>45938</v>
      </c>
      <c r="AE1" s="45">
        <v>45940</v>
      </c>
      <c r="AF1" s="45">
        <v>45943</v>
      </c>
      <c r="AG1" s="45">
        <v>45945</v>
      </c>
      <c r="AH1" s="45">
        <v>45947</v>
      </c>
      <c r="AI1" s="45">
        <v>45950</v>
      </c>
      <c r="AJ1" s="45">
        <v>45952</v>
      </c>
      <c r="AK1" s="45">
        <v>45954</v>
      </c>
    </row>
    <row r="2" spans="1:37">
      <c r="A2" s="4" t="s">
        <v>59</v>
      </c>
      <c r="B2" s="5" t="s">
        <v>60</v>
      </c>
      <c r="C2" s="5" t="s">
        <v>61</v>
      </c>
      <c r="D2" s="5" t="s">
        <v>60</v>
      </c>
      <c r="E2" s="13" t="s">
        <v>61</v>
      </c>
      <c r="F2" s="5" t="s">
        <v>60</v>
      </c>
      <c r="G2" s="5" t="s">
        <v>61</v>
      </c>
      <c r="H2" s="5" t="s">
        <v>60</v>
      </c>
      <c r="I2" s="5" t="s">
        <v>61</v>
      </c>
      <c r="J2" s="5" t="s">
        <v>60</v>
      </c>
      <c r="K2" s="5" t="s">
        <v>61</v>
      </c>
      <c r="L2" s="5" t="s">
        <v>60</v>
      </c>
      <c r="M2" s="5" t="s">
        <v>61</v>
      </c>
      <c r="N2" s="5" t="s">
        <v>60</v>
      </c>
      <c r="O2" s="5" t="s">
        <v>61</v>
      </c>
      <c r="P2" s="5" t="s">
        <v>60</v>
      </c>
      <c r="Q2" s="5" t="s">
        <v>61</v>
      </c>
      <c r="R2" s="5" t="s">
        <v>60</v>
      </c>
      <c r="S2" s="5" t="s">
        <v>61</v>
      </c>
      <c r="T2" s="5" t="s">
        <v>60</v>
      </c>
      <c r="U2" s="5" t="s">
        <v>61</v>
      </c>
      <c r="V2" s="5" t="s">
        <v>60</v>
      </c>
      <c r="W2" s="5" t="s">
        <v>61</v>
      </c>
      <c r="X2" s="5" t="s">
        <v>60</v>
      </c>
      <c r="Y2" s="5" t="s">
        <v>61</v>
      </c>
      <c r="Z2" s="5" t="s">
        <v>60</v>
      </c>
      <c r="AA2" s="5" t="s">
        <v>61</v>
      </c>
      <c r="AB2" s="5" t="s">
        <v>60</v>
      </c>
      <c r="AC2" s="5" t="s">
        <v>61</v>
      </c>
      <c r="AD2" s="5" t="s">
        <v>60</v>
      </c>
      <c r="AE2" s="5" t="s">
        <v>61</v>
      </c>
      <c r="AF2" s="5" t="s">
        <v>60</v>
      </c>
      <c r="AG2" s="5" t="s">
        <v>61</v>
      </c>
      <c r="AH2" s="5" t="s">
        <v>60</v>
      </c>
      <c r="AI2" s="5" t="s">
        <v>61</v>
      </c>
      <c r="AJ2" s="5" t="s">
        <v>60</v>
      </c>
      <c r="AK2" s="5" t="s">
        <v>61</v>
      </c>
    </row>
    <row r="3" spans="1:37">
      <c r="A3" s="4" t="s">
        <v>62</v>
      </c>
      <c r="B3" s="5" t="s">
        <v>61</v>
      </c>
      <c r="C3" s="5" t="s">
        <v>60</v>
      </c>
      <c r="D3" s="5" t="s">
        <v>63</v>
      </c>
      <c r="E3" s="13" t="s">
        <v>60</v>
      </c>
      <c r="F3" s="5" t="s">
        <v>61</v>
      </c>
      <c r="G3" s="5" t="s">
        <v>60</v>
      </c>
      <c r="H3" s="5" t="s">
        <v>63</v>
      </c>
      <c r="I3" s="5" t="s">
        <v>60</v>
      </c>
      <c r="J3" s="5" t="s">
        <v>61</v>
      </c>
      <c r="K3" s="5" t="s">
        <v>60</v>
      </c>
      <c r="L3" s="5" t="s">
        <v>61</v>
      </c>
      <c r="M3" s="5" t="s">
        <v>60</v>
      </c>
      <c r="N3" s="5" t="s">
        <v>61</v>
      </c>
      <c r="O3" s="5" t="s">
        <v>60</v>
      </c>
      <c r="P3" s="5" t="s">
        <v>61</v>
      </c>
      <c r="Q3" s="5" t="s">
        <v>60</v>
      </c>
      <c r="R3" s="5" t="s">
        <v>61</v>
      </c>
      <c r="S3" s="5" t="s">
        <v>60</v>
      </c>
      <c r="T3" s="5" t="s">
        <v>61</v>
      </c>
      <c r="U3" s="5" t="s">
        <v>60</v>
      </c>
      <c r="V3" s="5" t="s">
        <v>61</v>
      </c>
      <c r="W3" s="5" t="s">
        <v>60</v>
      </c>
      <c r="X3" s="5" t="s">
        <v>61</v>
      </c>
      <c r="Y3" s="5" t="s">
        <v>60</v>
      </c>
      <c r="Z3" s="5" t="s">
        <v>61</v>
      </c>
      <c r="AA3" s="5" t="s">
        <v>60</v>
      </c>
      <c r="AB3" s="5" t="s">
        <v>61</v>
      </c>
      <c r="AC3" s="5" t="s">
        <v>60</v>
      </c>
      <c r="AD3" s="5" t="s">
        <v>61</v>
      </c>
      <c r="AE3" s="5" t="s">
        <v>60</v>
      </c>
      <c r="AF3" s="5" t="s">
        <v>61</v>
      </c>
      <c r="AG3" s="5" t="s">
        <v>60</v>
      </c>
      <c r="AH3" s="5" t="s">
        <v>61</v>
      </c>
      <c r="AI3" s="5" t="s">
        <v>60</v>
      </c>
      <c r="AJ3" s="5" t="s">
        <v>61</v>
      </c>
      <c r="AK3" s="5" t="s">
        <v>60</v>
      </c>
    </row>
    <row r="4" spans="1:37">
      <c r="A4" s="4" t="s">
        <v>64</v>
      </c>
      <c r="B4" s="6" t="s">
        <v>65</v>
      </c>
      <c r="C4" s="7" t="s">
        <v>66</v>
      </c>
      <c r="D4" s="8" t="s">
        <v>67</v>
      </c>
      <c r="E4" s="14" t="s">
        <v>68</v>
      </c>
      <c r="F4" s="5" t="s">
        <v>69</v>
      </c>
      <c r="G4" s="5" t="s">
        <v>70</v>
      </c>
      <c r="H4" s="8">
        <v>0.42708333333333331</v>
      </c>
      <c r="I4" s="5" t="s">
        <v>71</v>
      </c>
      <c r="J4" s="5" t="s">
        <v>72</v>
      </c>
      <c r="K4" s="8" t="s">
        <v>73</v>
      </c>
      <c r="L4" s="5" t="s">
        <v>74</v>
      </c>
      <c r="M4" s="5" t="s">
        <v>75</v>
      </c>
      <c r="N4" s="5" t="s">
        <v>76</v>
      </c>
      <c r="O4" s="8" t="s">
        <v>77</v>
      </c>
      <c r="P4" s="5" t="s">
        <v>78</v>
      </c>
      <c r="Q4" s="5" t="s">
        <v>79</v>
      </c>
      <c r="R4" s="8" t="s">
        <v>80</v>
      </c>
      <c r="S4" s="8" t="s">
        <v>81</v>
      </c>
      <c r="T4" s="5" t="s">
        <v>82</v>
      </c>
      <c r="U4" s="8" t="s">
        <v>83</v>
      </c>
      <c r="V4" s="8" t="s">
        <v>84</v>
      </c>
      <c r="W4" s="5" t="s">
        <v>85</v>
      </c>
      <c r="X4" s="5" t="s">
        <v>86</v>
      </c>
      <c r="Y4" s="5" t="s">
        <v>87</v>
      </c>
      <c r="Z4" s="5" t="s">
        <v>88</v>
      </c>
      <c r="AA4" s="5" t="s">
        <v>89</v>
      </c>
      <c r="AB4" s="5" t="s">
        <v>81</v>
      </c>
      <c r="AC4" s="5" t="s">
        <v>90</v>
      </c>
      <c r="AD4" s="5" t="s">
        <v>91</v>
      </c>
      <c r="AE4" s="5" t="s">
        <v>92</v>
      </c>
      <c r="AF4" s="5" t="s">
        <v>93</v>
      </c>
      <c r="AG4" s="5" t="s">
        <v>91</v>
      </c>
      <c r="AH4" s="5" t="s">
        <v>87</v>
      </c>
      <c r="AI4" s="5" t="s">
        <v>94</v>
      </c>
      <c r="AJ4" s="5" t="s">
        <v>95</v>
      </c>
      <c r="AK4" s="5" t="s">
        <v>137</v>
      </c>
    </row>
    <row r="5" spans="1:37">
      <c r="A5" s="4" t="s">
        <v>96</v>
      </c>
      <c r="B5" s="8">
        <v>0.45833333333333331</v>
      </c>
      <c r="C5" s="8">
        <v>0.45694444444444443</v>
      </c>
      <c r="D5" s="8">
        <v>0.43055555555555558</v>
      </c>
      <c r="E5" s="14">
        <v>0.44097222222222221</v>
      </c>
      <c r="F5" s="8">
        <v>0.42708333333333331</v>
      </c>
      <c r="H5" s="8">
        <v>0.42708333333333331</v>
      </c>
      <c r="I5" s="8">
        <v>0.4284722222222222</v>
      </c>
      <c r="U5" s="5" t="s">
        <v>97</v>
      </c>
      <c r="Z5" s="5" t="s">
        <v>98</v>
      </c>
      <c r="AB5" s="8">
        <v>0.42152777777777778</v>
      </c>
      <c r="AG5" s="5" t="s">
        <v>99</v>
      </c>
      <c r="AI5" s="5" t="s">
        <v>100</v>
      </c>
    </row>
    <row r="6" spans="1:37" ht="87">
      <c r="A6" s="4" t="s">
        <v>101</v>
      </c>
      <c r="B6" s="5" t="s">
        <v>102</v>
      </c>
      <c r="C6" s="5" t="s">
        <v>103</v>
      </c>
      <c r="E6" s="13" t="s">
        <v>104</v>
      </c>
      <c r="H6" s="5" t="s">
        <v>105</v>
      </c>
      <c r="J6" s="5" t="s">
        <v>106</v>
      </c>
      <c r="K6" s="5" t="s">
        <v>107</v>
      </c>
      <c r="L6" s="5" t="s">
        <v>108</v>
      </c>
      <c r="M6" s="5" t="s">
        <v>109</v>
      </c>
      <c r="N6" s="5" t="s">
        <v>110</v>
      </c>
      <c r="Q6" s="5" t="s">
        <v>111</v>
      </c>
      <c r="R6" s="5" t="s">
        <v>111</v>
      </c>
      <c r="S6" s="5" t="s">
        <v>112</v>
      </c>
      <c r="T6" s="5" t="s">
        <v>113</v>
      </c>
      <c r="Y6" s="5" t="s">
        <v>114</v>
      </c>
      <c r="AA6" s="5" t="s">
        <v>115</v>
      </c>
      <c r="AB6" s="5" t="s">
        <v>116</v>
      </c>
      <c r="AC6" s="5" t="s">
        <v>117</v>
      </c>
      <c r="AI6" s="5" t="s">
        <v>118</v>
      </c>
      <c r="AJ6" s="5" t="s">
        <v>119</v>
      </c>
      <c r="AK6" s="5" t="s">
        <v>138</v>
      </c>
    </row>
    <row r="7" spans="1:37" ht="43.5">
      <c r="B7" s="5" t="s">
        <v>120</v>
      </c>
      <c r="E7" s="13" t="s">
        <v>121</v>
      </c>
      <c r="K7" s="5" t="s">
        <v>122</v>
      </c>
      <c r="M7" s="5" t="s">
        <v>123</v>
      </c>
      <c r="T7" s="5" t="s">
        <v>124</v>
      </c>
    </row>
    <row r="8" spans="1:37" ht="43.5">
      <c r="B8" s="5" t="s">
        <v>125</v>
      </c>
      <c r="E8" s="13" t="s">
        <v>126</v>
      </c>
      <c r="M8" s="5" t="s">
        <v>127</v>
      </c>
      <c r="N8" s="5" t="s">
        <v>128</v>
      </c>
      <c r="O8" s="5" t="s">
        <v>128</v>
      </c>
    </row>
    <row r="9" spans="1:37" ht="29">
      <c r="B9" s="5" t="s">
        <v>129</v>
      </c>
    </row>
    <row r="21" s="17" customFormat="1"/>
  </sheetData>
  <conditionalFormatting sqref="E1">
    <cfRule type="colorScale" priority="1">
      <colorScale>
        <cfvo type="min"/>
        <cfvo type="percentile" val="50"/>
        <cfvo type="max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B7FA-FE03-4F68-AA5C-62CD670E190F}">
  <dimension ref="A1:AK63"/>
  <sheetViews>
    <sheetView workbookViewId="0">
      <selection sqref="A1:XFD1"/>
    </sheetView>
  </sheetViews>
  <sheetFormatPr defaultColWidth="7.453125" defaultRowHeight="14.5"/>
  <cols>
    <col min="1" max="1" width="7.453125" style="29"/>
    <col min="2" max="13" width="7.453125" hidden="1" customWidth="1"/>
    <col min="14" max="14" width="7.453125" style="16" hidden="1" customWidth="1"/>
    <col min="15" max="15" width="7.453125" hidden="1" customWidth="1"/>
    <col min="16" max="16" width="7.453125" style="16" hidden="1" customWidth="1"/>
    <col min="17" max="17" width="7.453125" style="35" hidden="1" customWidth="1"/>
    <col min="18" max="18" width="7.453125" style="19" hidden="1" customWidth="1"/>
    <col min="19" max="19" width="7.453125" style="35" hidden="1" customWidth="1"/>
    <col min="20" max="21" width="7.453125" hidden="1" customWidth="1"/>
    <col min="22" max="23" width="7.453125" style="35" hidden="1" customWidth="1"/>
    <col min="24" max="24" width="7.453125" style="19" hidden="1" customWidth="1"/>
    <col min="25" max="26" width="7.453125" style="35" hidden="1" customWidth="1"/>
    <col min="27" max="27" width="7.453125" style="19" hidden="1" customWidth="1"/>
    <col min="28" max="29" width="7.453125" style="35" hidden="1" customWidth="1"/>
    <col min="30" max="30" width="7.453125" style="19" hidden="1" customWidth="1"/>
    <col min="31" max="32" width="7.453125" style="35" hidden="1" customWidth="1"/>
    <col min="33" max="33" width="7.453125" style="19" hidden="1" customWidth="1"/>
    <col min="34" max="34" width="7.453125" style="35" customWidth="1"/>
    <col min="35" max="37" width="7.453125" customWidth="1"/>
  </cols>
  <sheetData>
    <row r="1" spans="1:37" s="3" customFormat="1">
      <c r="A1" s="3" t="s">
        <v>1</v>
      </c>
      <c r="B1" s="45">
        <v>45873</v>
      </c>
      <c r="C1" s="45">
        <v>45875</v>
      </c>
      <c r="D1" s="45">
        <v>45877</v>
      </c>
      <c r="E1" s="45">
        <v>45880</v>
      </c>
      <c r="F1" s="45">
        <v>45882</v>
      </c>
      <c r="G1" s="45">
        <v>45884</v>
      </c>
      <c r="H1" s="45">
        <v>45887</v>
      </c>
      <c r="I1" s="45">
        <v>45889</v>
      </c>
      <c r="J1" s="45">
        <v>45891</v>
      </c>
      <c r="K1" s="45">
        <v>45894</v>
      </c>
      <c r="L1" s="45">
        <v>45896</v>
      </c>
      <c r="M1" s="45">
        <v>45898</v>
      </c>
      <c r="N1" s="45">
        <v>45901</v>
      </c>
      <c r="O1" s="45">
        <v>45903</v>
      </c>
      <c r="P1" s="45">
        <v>45905</v>
      </c>
      <c r="Q1" s="45">
        <v>45908</v>
      </c>
      <c r="R1" s="45">
        <v>45910</v>
      </c>
      <c r="S1" s="45">
        <v>45912</v>
      </c>
      <c r="T1" s="45">
        <v>45915</v>
      </c>
      <c r="U1" s="45">
        <v>45917</v>
      </c>
      <c r="V1" s="45">
        <v>45919</v>
      </c>
      <c r="W1" s="45">
        <v>45922</v>
      </c>
      <c r="X1" s="45">
        <v>45924</v>
      </c>
      <c r="Y1" s="45">
        <v>45926</v>
      </c>
      <c r="Z1" s="45">
        <v>45929</v>
      </c>
      <c r="AA1" s="45">
        <v>45931</v>
      </c>
      <c r="AB1" s="45">
        <v>45933</v>
      </c>
      <c r="AC1" s="45">
        <v>45936</v>
      </c>
      <c r="AD1" s="45">
        <v>45938</v>
      </c>
      <c r="AE1" s="45">
        <v>45940</v>
      </c>
      <c r="AF1" s="45">
        <v>45943</v>
      </c>
      <c r="AG1" s="45">
        <v>45945</v>
      </c>
      <c r="AH1" s="45">
        <v>45947</v>
      </c>
      <c r="AI1" s="45">
        <v>45950</v>
      </c>
      <c r="AJ1" s="45">
        <v>45952</v>
      </c>
      <c r="AK1" s="45">
        <v>45954</v>
      </c>
    </row>
    <row r="2" spans="1:37">
      <c r="A2" s="30">
        <v>1</v>
      </c>
      <c r="B2">
        <v>253</v>
      </c>
      <c r="C2">
        <v>257</v>
      </c>
      <c r="D2">
        <v>257</v>
      </c>
      <c r="E2">
        <v>256</v>
      </c>
      <c r="F2">
        <v>253</v>
      </c>
      <c r="G2">
        <v>258</v>
      </c>
      <c r="H2">
        <v>259</v>
      </c>
      <c r="I2">
        <v>262</v>
      </c>
      <c r="J2">
        <v>265</v>
      </c>
      <c r="K2" s="15">
        <v>262</v>
      </c>
      <c r="L2">
        <v>261</v>
      </c>
      <c r="M2">
        <v>263</v>
      </c>
      <c r="N2" s="16">
        <v>271</v>
      </c>
      <c r="O2">
        <v>271</v>
      </c>
      <c r="P2" s="16">
        <v>271</v>
      </c>
      <c r="Q2" s="35">
        <v>270</v>
      </c>
      <c r="R2" s="19">
        <v>270</v>
      </c>
      <c r="S2" s="35">
        <v>270</v>
      </c>
      <c r="T2" s="16">
        <v>271</v>
      </c>
      <c r="U2">
        <v>271</v>
      </c>
      <c r="V2" s="35">
        <v>271</v>
      </c>
      <c r="W2" s="35">
        <v>274</v>
      </c>
      <c r="X2" s="19">
        <v>274</v>
      </c>
      <c r="Y2" s="35">
        <v>274</v>
      </c>
      <c r="Z2" s="35">
        <v>278</v>
      </c>
      <c r="AA2" s="19">
        <v>278</v>
      </c>
      <c r="AB2" s="35">
        <v>278</v>
      </c>
      <c r="AC2" s="35">
        <v>285</v>
      </c>
      <c r="AD2" s="19">
        <v>285</v>
      </c>
      <c r="AE2" s="35">
        <v>285</v>
      </c>
      <c r="AF2" s="35">
        <v>287</v>
      </c>
      <c r="AG2" s="19">
        <v>287</v>
      </c>
      <c r="AH2" s="35">
        <v>287</v>
      </c>
      <c r="AI2" s="35">
        <v>292</v>
      </c>
      <c r="AJ2">
        <v>292</v>
      </c>
      <c r="AK2" s="35">
        <v>292</v>
      </c>
    </row>
    <row r="3" spans="1:37">
      <c r="A3" s="30">
        <v>2</v>
      </c>
      <c r="B3">
        <v>162</v>
      </c>
      <c r="C3">
        <v>166</v>
      </c>
      <c r="D3">
        <v>162</v>
      </c>
      <c r="E3">
        <v>170</v>
      </c>
      <c r="F3">
        <v>165</v>
      </c>
      <c r="G3">
        <v>166</v>
      </c>
      <c r="H3">
        <v>163</v>
      </c>
      <c r="I3">
        <v>173</v>
      </c>
      <c r="J3">
        <v>170</v>
      </c>
      <c r="K3" s="15">
        <v>169</v>
      </c>
      <c r="L3">
        <v>165</v>
      </c>
      <c r="M3">
        <v>166</v>
      </c>
      <c r="N3" s="16">
        <v>169</v>
      </c>
      <c r="O3">
        <v>169</v>
      </c>
      <c r="P3" s="16">
        <v>169</v>
      </c>
      <c r="Q3" s="35">
        <v>175</v>
      </c>
      <c r="R3" s="19">
        <v>175</v>
      </c>
      <c r="S3" s="35">
        <v>175</v>
      </c>
      <c r="T3" s="16">
        <v>174</v>
      </c>
      <c r="U3">
        <v>174</v>
      </c>
      <c r="V3" s="35">
        <v>174</v>
      </c>
      <c r="W3" s="35">
        <v>176</v>
      </c>
      <c r="X3" s="19">
        <v>176</v>
      </c>
      <c r="Y3" s="35">
        <v>176</v>
      </c>
      <c r="Z3" s="35">
        <v>180</v>
      </c>
      <c r="AA3" s="19">
        <v>180</v>
      </c>
      <c r="AB3" s="35">
        <v>180</v>
      </c>
      <c r="AC3" s="35">
        <v>185</v>
      </c>
      <c r="AD3" s="19">
        <v>185</v>
      </c>
      <c r="AE3" s="35">
        <v>185</v>
      </c>
      <c r="AF3" s="35">
        <v>181</v>
      </c>
      <c r="AG3" s="19">
        <v>181</v>
      </c>
      <c r="AH3" s="35">
        <v>181</v>
      </c>
      <c r="AI3" s="35">
        <v>181</v>
      </c>
      <c r="AJ3">
        <v>181</v>
      </c>
      <c r="AK3" s="35">
        <v>181</v>
      </c>
    </row>
    <row r="4" spans="1:37">
      <c r="A4" s="30">
        <v>3</v>
      </c>
      <c r="B4">
        <v>502</v>
      </c>
      <c r="C4">
        <v>505</v>
      </c>
      <c r="D4">
        <v>510</v>
      </c>
      <c r="E4">
        <v>519</v>
      </c>
      <c r="F4">
        <v>517</v>
      </c>
      <c r="G4">
        <v>522</v>
      </c>
      <c r="H4">
        <v>529</v>
      </c>
      <c r="I4">
        <v>537</v>
      </c>
      <c r="J4">
        <v>529</v>
      </c>
      <c r="K4" s="15">
        <v>533</v>
      </c>
      <c r="L4">
        <v>539</v>
      </c>
      <c r="M4">
        <v>531</v>
      </c>
      <c r="N4" s="16">
        <v>552</v>
      </c>
      <c r="O4">
        <v>552</v>
      </c>
      <c r="P4" s="16">
        <v>552</v>
      </c>
      <c r="Q4" s="35">
        <v>560</v>
      </c>
      <c r="R4" s="19">
        <v>560</v>
      </c>
      <c r="S4" s="35">
        <v>560</v>
      </c>
      <c r="T4" s="16">
        <v>559</v>
      </c>
      <c r="U4">
        <v>559</v>
      </c>
      <c r="V4" s="35">
        <v>559</v>
      </c>
      <c r="W4" s="35">
        <v>567</v>
      </c>
      <c r="X4" s="19">
        <v>567</v>
      </c>
      <c r="Y4" s="35">
        <v>567</v>
      </c>
      <c r="Z4" s="35">
        <v>563</v>
      </c>
      <c r="AA4" s="19">
        <v>563</v>
      </c>
      <c r="AB4" s="35">
        <v>563</v>
      </c>
      <c r="AC4" s="35">
        <v>575</v>
      </c>
      <c r="AD4" s="19">
        <v>575</v>
      </c>
      <c r="AE4" s="35">
        <v>575</v>
      </c>
      <c r="AF4" s="35">
        <v>580</v>
      </c>
      <c r="AG4" s="19">
        <v>580</v>
      </c>
      <c r="AH4" s="35">
        <v>580</v>
      </c>
      <c r="AI4" s="35">
        <v>587</v>
      </c>
      <c r="AJ4">
        <v>587</v>
      </c>
      <c r="AK4" s="35">
        <v>587</v>
      </c>
    </row>
    <row r="5" spans="1:37">
      <c r="A5" s="30">
        <v>4</v>
      </c>
      <c r="B5">
        <v>280</v>
      </c>
      <c r="C5">
        <v>277</v>
      </c>
      <c r="D5">
        <v>283</v>
      </c>
      <c r="E5">
        <v>290</v>
      </c>
      <c r="F5">
        <v>289</v>
      </c>
      <c r="G5">
        <v>288</v>
      </c>
      <c r="H5">
        <v>292</v>
      </c>
      <c r="I5">
        <v>290</v>
      </c>
      <c r="J5">
        <v>287</v>
      </c>
      <c r="K5" s="15">
        <v>299</v>
      </c>
      <c r="L5">
        <v>295</v>
      </c>
      <c r="M5">
        <v>289</v>
      </c>
      <c r="N5" s="16">
        <v>295</v>
      </c>
      <c r="O5">
        <v>295</v>
      </c>
      <c r="P5" s="16">
        <v>295</v>
      </c>
      <c r="Q5" s="35">
        <v>299</v>
      </c>
      <c r="R5" s="19">
        <v>299</v>
      </c>
      <c r="S5" s="35">
        <v>299</v>
      </c>
      <c r="T5" s="16">
        <v>303</v>
      </c>
      <c r="U5">
        <v>303</v>
      </c>
      <c r="V5" s="35">
        <v>303</v>
      </c>
      <c r="W5" s="35">
        <v>307</v>
      </c>
      <c r="X5" s="19">
        <v>307</v>
      </c>
      <c r="Y5" s="35">
        <v>307</v>
      </c>
      <c r="Z5" s="35">
        <v>313</v>
      </c>
      <c r="AA5" s="19">
        <v>313</v>
      </c>
      <c r="AB5" s="35">
        <v>313</v>
      </c>
      <c r="AC5" s="35">
        <v>315</v>
      </c>
      <c r="AD5" s="19">
        <v>315</v>
      </c>
      <c r="AE5" s="35">
        <v>315</v>
      </c>
      <c r="AF5" s="35">
        <v>313</v>
      </c>
      <c r="AG5" s="19">
        <v>313</v>
      </c>
      <c r="AH5" s="35">
        <v>313</v>
      </c>
      <c r="AI5" s="35">
        <v>317</v>
      </c>
      <c r="AJ5">
        <v>317</v>
      </c>
      <c r="AK5" s="35">
        <v>317</v>
      </c>
    </row>
    <row r="6" spans="1:37">
      <c r="A6" s="30">
        <v>5</v>
      </c>
      <c r="B6">
        <v>483</v>
      </c>
      <c r="C6">
        <v>480</v>
      </c>
      <c r="D6">
        <v>490</v>
      </c>
      <c r="E6">
        <v>498</v>
      </c>
      <c r="F6">
        <v>496</v>
      </c>
      <c r="G6">
        <v>505</v>
      </c>
      <c r="H6">
        <v>508</v>
      </c>
      <c r="I6">
        <v>508</v>
      </c>
      <c r="J6">
        <v>513</v>
      </c>
      <c r="K6">
        <v>520</v>
      </c>
      <c r="L6">
        <v>525</v>
      </c>
      <c r="M6">
        <v>537</v>
      </c>
      <c r="N6" s="16">
        <v>542</v>
      </c>
      <c r="O6">
        <v>542</v>
      </c>
      <c r="P6" s="16">
        <v>542</v>
      </c>
      <c r="Q6" s="35">
        <v>551</v>
      </c>
      <c r="R6" s="19">
        <v>551</v>
      </c>
      <c r="S6" s="35">
        <v>551</v>
      </c>
      <c r="T6" s="16">
        <v>560</v>
      </c>
      <c r="U6">
        <v>560</v>
      </c>
      <c r="V6" s="35">
        <v>560</v>
      </c>
      <c r="W6" s="35">
        <v>581</v>
      </c>
      <c r="X6" s="19">
        <v>581</v>
      </c>
      <c r="Y6" s="35">
        <v>581</v>
      </c>
      <c r="Z6" s="35">
        <v>576</v>
      </c>
      <c r="AA6" s="19">
        <v>576</v>
      </c>
      <c r="AB6" s="35">
        <v>576</v>
      </c>
      <c r="AC6" s="35">
        <v>588</v>
      </c>
      <c r="AD6" s="19">
        <v>588</v>
      </c>
      <c r="AE6" s="35">
        <v>588</v>
      </c>
      <c r="AF6" s="35">
        <v>599</v>
      </c>
      <c r="AG6" s="19">
        <v>599</v>
      </c>
      <c r="AH6" s="35">
        <v>599</v>
      </c>
      <c r="AI6" s="35">
        <v>606</v>
      </c>
      <c r="AJ6">
        <v>606</v>
      </c>
      <c r="AK6" s="35">
        <v>606</v>
      </c>
    </row>
    <row r="7" spans="1:37">
      <c r="A7" s="30">
        <v>6</v>
      </c>
      <c r="B7">
        <v>332</v>
      </c>
      <c r="C7">
        <v>339</v>
      </c>
      <c r="D7">
        <v>330</v>
      </c>
      <c r="E7">
        <v>340</v>
      </c>
      <c r="F7">
        <v>340</v>
      </c>
      <c r="G7">
        <v>354</v>
      </c>
      <c r="H7">
        <v>361</v>
      </c>
      <c r="I7">
        <v>373</v>
      </c>
      <c r="J7">
        <v>378</v>
      </c>
      <c r="K7" s="15">
        <v>390</v>
      </c>
      <c r="L7">
        <v>394</v>
      </c>
      <c r="M7">
        <v>380</v>
      </c>
      <c r="N7" s="16">
        <v>384</v>
      </c>
      <c r="O7">
        <v>384</v>
      </c>
      <c r="P7" s="16">
        <v>384</v>
      </c>
      <c r="Q7" s="35">
        <v>386</v>
      </c>
      <c r="R7" s="19">
        <v>386</v>
      </c>
      <c r="S7" s="35">
        <v>386</v>
      </c>
      <c r="T7" s="16">
        <v>410</v>
      </c>
      <c r="U7">
        <v>410</v>
      </c>
      <c r="V7" s="35">
        <v>410</v>
      </c>
      <c r="W7" s="35">
        <v>415</v>
      </c>
      <c r="X7" s="19">
        <v>415</v>
      </c>
      <c r="Y7" s="35">
        <v>415</v>
      </c>
      <c r="Z7" s="35">
        <v>408</v>
      </c>
      <c r="AA7" s="19">
        <v>408</v>
      </c>
      <c r="AB7" s="35">
        <v>408</v>
      </c>
      <c r="AC7" s="35">
        <v>432</v>
      </c>
      <c r="AD7" s="19">
        <v>432</v>
      </c>
      <c r="AE7" s="35">
        <v>432</v>
      </c>
      <c r="AF7" s="35">
        <v>443</v>
      </c>
      <c r="AG7" s="19">
        <v>443</v>
      </c>
      <c r="AH7" s="35">
        <v>443</v>
      </c>
      <c r="AI7" s="35">
        <v>454</v>
      </c>
      <c r="AJ7">
        <v>454</v>
      </c>
      <c r="AK7" s="35">
        <v>454</v>
      </c>
    </row>
    <row r="8" spans="1:37">
      <c r="A8" s="30">
        <v>7</v>
      </c>
      <c r="B8">
        <v>275</v>
      </c>
      <c r="C8">
        <v>304</v>
      </c>
      <c r="D8">
        <v>273</v>
      </c>
      <c r="E8">
        <v>266</v>
      </c>
      <c r="F8">
        <v>272</v>
      </c>
      <c r="G8">
        <v>277</v>
      </c>
      <c r="H8">
        <v>277</v>
      </c>
      <c r="I8">
        <v>286</v>
      </c>
      <c r="J8">
        <v>280</v>
      </c>
      <c r="K8" s="15">
        <v>287</v>
      </c>
      <c r="L8">
        <v>283</v>
      </c>
      <c r="M8">
        <v>284</v>
      </c>
      <c r="N8" s="16">
        <v>293</v>
      </c>
      <c r="O8">
        <v>293</v>
      </c>
      <c r="P8" s="16">
        <v>293</v>
      </c>
      <c r="Q8" s="35">
        <v>290</v>
      </c>
      <c r="R8" s="19">
        <v>290</v>
      </c>
      <c r="S8" s="35">
        <v>290</v>
      </c>
      <c r="T8" s="16">
        <v>295</v>
      </c>
      <c r="U8">
        <v>295</v>
      </c>
      <c r="V8" s="35">
        <v>295</v>
      </c>
      <c r="W8" s="35">
        <v>296</v>
      </c>
      <c r="X8" s="19">
        <v>296</v>
      </c>
      <c r="Y8" s="35">
        <v>296</v>
      </c>
      <c r="Z8" s="35">
        <v>294</v>
      </c>
      <c r="AA8" s="19">
        <v>294</v>
      </c>
      <c r="AB8" s="35">
        <v>294</v>
      </c>
      <c r="AC8" s="35">
        <v>294</v>
      </c>
      <c r="AD8" s="19">
        <v>294</v>
      </c>
      <c r="AE8" s="35">
        <v>294</v>
      </c>
      <c r="AF8" s="35">
        <v>296</v>
      </c>
      <c r="AG8" s="19">
        <v>296</v>
      </c>
      <c r="AH8" s="35">
        <v>296</v>
      </c>
      <c r="AI8" s="35">
        <v>296</v>
      </c>
      <c r="AJ8">
        <v>296</v>
      </c>
      <c r="AK8" s="35">
        <v>296</v>
      </c>
    </row>
    <row r="9" spans="1:37">
      <c r="A9" s="30">
        <v>8</v>
      </c>
      <c r="B9">
        <v>470</v>
      </c>
      <c r="C9">
        <v>466</v>
      </c>
      <c r="D9">
        <v>472</v>
      </c>
      <c r="E9">
        <v>478</v>
      </c>
      <c r="F9">
        <v>475</v>
      </c>
      <c r="G9">
        <v>485</v>
      </c>
      <c r="H9">
        <v>487</v>
      </c>
      <c r="I9">
        <v>490</v>
      </c>
      <c r="J9">
        <v>491</v>
      </c>
      <c r="K9" s="15">
        <v>494</v>
      </c>
      <c r="L9">
        <v>599</v>
      </c>
      <c r="M9">
        <v>491</v>
      </c>
      <c r="N9" s="16">
        <v>503</v>
      </c>
      <c r="O9">
        <v>503</v>
      </c>
      <c r="P9" s="16">
        <v>503</v>
      </c>
      <c r="Q9" s="35">
        <v>515</v>
      </c>
      <c r="R9" s="19">
        <v>515</v>
      </c>
      <c r="S9" s="35">
        <v>515</v>
      </c>
      <c r="T9" s="16">
        <v>522</v>
      </c>
      <c r="U9">
        <v>522</v>
      </c>
      <c r="V9" s="35">
        <v>522</v>
      </c>
      <c r="W9" s="35">
        <v>534</v>
      </c>
      <c r="X9" s="19">
        <v>534</v>
      </c>
      <c r="Y9" s="35">
        <v>534</v>
      </c>
      <c r="Z9" s="35">
        <v>536</v>
      </c>
      <c r="AA9" s="19">
        <v>536</v>
      </c>
      <c r="AB9" s="35">
        <v>536</v>
      </c>
      <c r="AC9" s="35">
        <v>540</v>
      </c>
      <c r="AD9" s="19">
        <v>540</v>
      </c>
      <c r="AE9" s="35">
        <v>540</v>
      </c>
      <c r="AF9" s="35">
        <v>540</v>
      </c>
      <c r="AG9" s="19">
        <v>540</v>
      </c>
      <c r="AH9" s="35">
        <v>540</v>
      </c>
      <c r="AI9" s="35">
        <v>550</v>
      </c>
      <c r="AJ9">
        <v>550</v>
      </c>
      <c r="AK9" s="35">
        <v>550</v>
      </c>
    </row>
    <row r="10" spans="1:37">
      <c r="A10" s="30">
        <v>9</v>
      </c>
      <c r="B10">
        <v>350</v>
      </c>
      <c r="C10">
        <v>356</v>
      </c>
      <c r="D10">
        <v>354</v>
      </c>
      <c r="E10">
        <v>348</v>
      </c>
      <c r="F10">
        <v>339</v>
      </c>
      <c r="G10">
        <v>345</v>
      </c>
      <c r="H10">
        <v>337</v>
      </c>
      <c r="I10">
        <v>348</v>
      </c>
      <c r="J10">
        <v>332</v>
      </c>
      <c r="K10">
        <v>355</v>
      </c>
      <c r="L10">
        <v>343</v>
      </c>
      <c r="M10">
        <v>366</v>
      </c>
      <c r="N10" s="16">
        <v>363</v>
      </c>
      <c r="O10">
        <v>363</v>
      </c>
      <c r="P10" s="16">
        <v>363</v>
      </c>
      <c r="Q10" s="35">
        <v>371</v>
      </c>
      <c r="R10" s="19">
        <v>371</v>
      </c>
      <c r="S10" s="35">
        <v>371</v>
      </c>
      <c r="T10" s="16">
        <v>396</v>
      </c>
      <c r="U10">
        <v>396</v>
      </c>
      <c r="V10" s="35">
        <v>396</v>
      </c>
      <c r="W10" s="35">
        <v>397</v>
      </c>
      <c r="X10" s="19">
        <v>397</v>
      </c>
      <c r="Y10" s="35">
        <v>397</v>
      </c>
      <c r="Z10" s="35">
        <v>405</v>
      </c>
      <c r="AA10" s="19">
        <v>405</v>
      </c>
      <c r="AB10" s="35">
        <v>405</v>
      </c>
      <c r="AC10" s="35">
        <v>418</v>
      </c>
      <c r="AD10" s="19">
        <v>418</v>
      </c>
      <c r="AE10" s="35">
        <v>418</v>
      </c>
      <c r="AF10" s="35">
        <v>417</v>
      </c>
      <c r="AG10" s="19">
        <v>417</v>
      </c>
      <c r="AH10" s="35">
        <v>417</v>
      </c>
      <c r="AI10" s="35">
        <v>439</v>
      </c>
      <c r="AJ10">
        <v>439</v>
      </c>
      <c r="AK10" s="35">
        <v>439</v>
      </c>
    </row>
    <row r="11" spans="1:37">
      <c r="A11" s="30">
        <v>10</v>
      </c>
      <c r="B11">
        <v>367</v>
      </c>
      <c r="C11">
        <v>470</v>
      </c>
      <c r="D11">
        <v>470</v>
      </c>
      <c r="E11">
        <v>478</v>
      </c>
      <c r="F11">
        <v>474</v>
      </c>
      <c r="G11">
        <v>476</v>
      </c>
      <c r="H11">
        <v>483</v>
      </c>
      <c r="I11">
        <v>495</v>
      </c>
      <c r="J11">
        <v>490</v>
      </c>
      <c r="K11">
        <v>501</v>
      </c>
      <c r="L11">
        <v>505</v>
      </c>
      <c r="M11">
        <v>508</v>
      </c>
      <c r="N11" s="16">
        <v>512</v>
      </c>
      <c r="O11">
        <v>512</v>
      </c>
      <c r="P11" s="16">
        <v>512</v>
      </c>
      <c r="Q11" s="35">
        <v>529</v>
      </c>
      <c r="R11" s="19">
        <v>529</v>
      </c>
      <c r="S11" s="35">
        <v>529</v>
      </c>
      <c r="T11" s="16">
        <v>537</v>
      </c>
      <c r="U11">
        <v>537</v>
      </c>
      <c r="V11" s="35">
        <v>537</v>
      </c>
      <c r="W11" s="35">
        <v>541</v>
      </c>
      <c r="X11" s="19">
        <v>541</v>
      </c>
      <c r="Y11" s="35">
        <v>541</v>
      </c>
      <c r="Z11" s="35">
        <v>547</v>
      </c>
      <c r="AA11" s="19">
        <v>547</v>
      </c>
      <c r="AB11" s="35">
        <v>547</v>
      </c>
      <c r="AC11" s="35">
        <v>554</v>
      </c>
      <c r="AD11" s="19">
        <v>554</v>
      </c>
      <c r="AE11" s="35">
        <v>554</v>
      </c>
      <c r="AF11" s="35">
        <v>556</v>
      </c>
      <c r="AG11" s="19">
        <v>556</v>
      </c>
      <c r="AH11" s="35">
        <v>556</v>
      </c>
      <c r="AI11" s="35">
        <v>572</v>
      </c>
      <c r="AJ11">
        <v>572</v>
      </c>
      <c r="AK11" s="35">
        <v>572</v>
      </c>
    </row>
    <row r="12" spans="1:37">
      <c r="A12" s="30">
        <v>11</v>
      </c>
      <c r="B12">
        <v>160</v>
      </c>
      <c r="C12">
        <v>162</v>
      </c>
      <c r="D12">
        <v>161</v>
      </c>
      <c r="E12">
        <v>165</v>
      </c>
      <c r="F12">
        <v>159</v>
      </c>
      <c r="G12">
        <v>168</v>
      </c>
      <c r="H12">
        <v>169</v>
      </c>
      <c r="I12">
        <v>165</v>
      </c>
      <c r="J12">
        <v>162</v>
      </c>
      <c r="K12">
        <v>163</v>
      </c>
      <c r="L12">
        <v>165</v>
      </c>
      <c r="M12">
        <v>165</v>
      </c>
      <c r="N12" s="16">
        <v>169</v>
      </c>
      <c r="O12">
        <v>169</v>
      </c>
      <c r="P12" s="16">
        <v>169</v>
      </c>
      <c r="Q12" s="35">
        <v>168</v>
      </c>
      <c r="R12" s="19">
        <v>168</v>
      </c>
      <c r="S12" s="35">
        <v>168</v>
      </c>
      <c r="T12" s="16">
        <v>171</v>
      </c>
      <c r="U12">
        <v>171</v>
      </c>
      <c r="V12" s="35">
        <v>171</v>
      </c>
      <c r="W12" s="35">
        <v>171</v>
      </c>
      <c r="X12" s="19">
        <v>171</v>
      </c>
      <c r="Y12" s="35">
        <v>171</v>
      </c>
      <c r="Z12" s="35">
        <v>175</v>
      </c>
      <c r="AA12" s="19">
        <v>175</v>
      </c>
      <c r="AB12" s="35">
        <v>175</v>
      </c>
      <c r="AC12" s="35">
        <v>180</v>
      </c>
      <c r="AD12" s="19">
        <v>180</v>
      </c>
      <c r="AE12" s="35">
        <v>180</v>
      </c>
      <c r="AF12" s="35">
        <v>175</v>
      </c>
      <c r="AG12" s="19">
        <v>175</v>
      </c>
      <c r="AH12" s="35">
        <v>175</v>
      </c>
      <c r="AI12" s="35">
        <v>177</v>
      </c>
      <c r="AJ12">
        <v>177</v>
      </c>
      <c r="AK12" s="35">
        <v>177</v>
      </c>
    </row>
    <row r="13" spans="1:37">
      <c r="A13" s="30">
        <v>12</v>
      </c>
      <c r="B13">
        <v>281</v>
      </c>
      <c r="C13">
        <v>285</v>
      </c>
      <c r="D13">
        <v>289</v>
      </c>
      <c r="E13">
        <v>307</v>
      </c>
      <c r="F13">
        <v>303</v>
      </c>
      <c r="G13">
        <v>306</v>
      </c>
      <c r="H13">
        <v>306</v>
      </c>
      <c r="I13">
        <v>303</v>
      </c>
      <c r="J13">
        <v>295</v>
      </c>
      <c r="K13">
        <v>298</v>
      </c>
      <c r="L13">
        <v>298</v>
      </c>
      <c r="M13">
        <v>297</v>
      </c>
      <c r="N13" s="16">
        <v>301</v>
      </c>
      <c r="O13">
        <v>301</v>
      </c>
      <c r="P13" s="16">
        <v>301</v>
      </c>
      <c r="Q13" s="35">
        <v>309</v>
      </c>
      <c r="R13" s="19">
        <v>309</v>
      </c>
      <c r="S13" s="35">
        <v>309</v>
      </c>
      <c r="T13" s="16">
        <v>316</v>
      </c>
      <c r="U13">
        <v>316</v>
      </c>
      <c r="V13" s="35">
        <v>316</v>
      </c>
      <c r="W13" s="35">
        <v>317</v>
      </c>
      <c r="X13" s="19">
        <v>317</v>
      </c>
      <c r="Y13" s="35">
        <v>317</v>
      </c>
      <c r="Z13" s="35">
        <v>317</v>
      </c>
      <c r="AA13" s="19">
        <v>317</v>
      </c>
      <c r="AB13" s="35">
        <v>317</v>
      </c>
      <c r="AC13" s="35">
        <v>321</v>
      </c>
      <c r="AD13" s="19">
        <v>321</v>
      </c>
      <c r="AE13" s="35">
        <v>321</v>
      </c>
      <c r="AF13" s="35">
        <v>320</v>
      </c>
      <c r="AG13" s="19">
        <v>320</v>
      </c>
      <c r="AH13" s="35">
        <v>320</v>
      </c>
      <c r="AI13" s="35">
        <v>320</v>
      </c>
      <c r="AJ13">
        <v>320</v>
      </c>
      <c r="AK13" s="35">
        <v>320</v>
      </c>
    </row>
    <row r="14" spans="1:37">
      <c r="A14" s="30">
        <v>13</v>
      </c>
      <c r="B14">
        <v>279</v>
      </c>
      <c r="C14">
        <v>274</v>
      </c>
      <c r="D14">
        <v>269</v>
      </c>
      <c r="E14">
        <v>280</v>
      </c>
      <c r="F14">
        <v>274</v>
      </c>
      <c r="G14">
        <v>276</v>
      </c>
      <c r="H14">
        <v>275</v>
      </c>
      <c r="I14">
        <v>274</v>
      </c>
      <c r="J14">
        <v>280</v>
      </c>
      <c r="K14">
        <v>279</v>
      </c>
      <c r="L14">
        <v>281</v>
      </c>
      <c r="M14">
        <v>281</v>
      </c>
      <c r="N14" s="16">
        <v>284</v>
      </c>
      <c r="O14">
        <v>284</v>
      </c>
      <c r="P14" s="16">
        <v>284</v>
      </c>
      <c r="Q14" s="35">
        <v>290</v>
      </c>
      <c r="R14" s="19">
        <v>290</v>
      </c>
      <c r="S14" s="35">
        <v>290</v>
      </c>
      <c r="T14" s="16">
        <v>293</v>
      </c>
      <c r="U14">
        <v>293</v>
      </c>
      <c r="V14" s="35">
        <v>293</v>
      </c>
      <c r="W14" s="35">
        <v>297</v>
      </c>
      <c r="X14" s="19">
        <v>297</v>
      </c>
      <c r="Y14" s="35">
        <v>297</v>
      </c>
      <c r="Z14" s="35">
        <v>303</v>
      </c>
      <c r="AA14" s="19">
        <v>303</v>
      </c>
      <c r="AB14" s="35">
        <v>303</v>
      </c>
      <c r="AC14" s="35">
        <v>304</v>
      </c>
      <c r="AD14" s="19">
        <v>304</v>
      </c>
      <c r="AE14" s="35">
        <v>304</v>
      </c>
      <c r="AF14" s="35">
        <v>305</v>
      </c>
      <c r="AG14" s="19">
        <v>305</v>
      </c>
      <c r="AH14" s="35">
        <v>305</v>
      </c>
      <c r="AI14" s="35">
        <v>307</v>
      </c>
      <c r="AJ14">
        <v>307</v>
      </c>
      <c r="AK14" s="35">
        <v>307</v>
      </c>
    </row>
    <row r="15" spans="1:37">
      <c r="A15" s="30">
        <v>14</v>
      </c>
      <c r="B15">
        <v>170</v>
      </c>
      <c r="C15">
        <v>175</v>
      </c>
      <c r="D15">
        <v>170</v>
      </c>
      <c r="E15">
        <v>174</v>
      </c>
      <c r="F15">
        <v>178</v>
      </c>
      <c r="G15">
        <v>179</v>
      </c>
      <c r="H15">
        <v>185</v>
      </c>
      <c r="I15">
        <v>182</v>
      </c>
      <c r="J15">
        <v>184</v>
      </c>
      <c r="K15">
        <v>185</v>
      </c>
      <c r="L15">
        <v>187</v>
      </c>
      <c r="M15">
        <v>184</v>
      </c>
      <c r="N15" s="16">
        <v>190</v>
      </c>
      <c r="O15">
        <v>190</v>
      </c>
      <c r="P15" s="16">
        <v>190</v>
      </c>
      <c r="Q15" s="35">
        <v>189</v>
      </c>
      <c r="R15" s="19">
        <v>189</v>
      </c>
      <c r="S15" s="35">
        <v>189</v>
      </c>
      <c r="T15" s="16">
        <v>186</v>
      </c>
      <c r="U15">
        <v>186</v>
      </c>
      <c r="V15" s="35">
        <v>186</v>
      </c>
      <c r="W15" s="35">
        <v>190</v>
      </c>
      <c r="X15" s="19">
        <v>190</v>
      </c>
      <c r="Y15" s="35">
        <v>190</v>
      </c>
      <c r="Z15" s="35">
        <v>193</v>
      </c>
      <c r="AA15" s="19">
        <v>193</v>
      </c>
      <c r="AB15" s="35">
        <v>193</v>
      </c>
      <c r="AC15" s="35">
        <v>192</v>
      </c>
      <c r="AD15" s="19">
        <v>192</v>
      </c>
      <c r="AE15" s="35">
        <v>192</v>
      </c>
      <c r="AF15" s="35">
        <v>195</v>
      </c>
      <c r="AG15" s="19">
        <v>195</v>
      </c>
      <c r="AH15" s="35">
        <v>195</v>
      </c>
      <c r="AI15" s="35">
        <v>198</v>
      </c>
      <c r="AJ15">
        <v>198</v>
      </c>
      <c r="AK15" s="35">
        <v>198</v>
      </c>
    </row>
    <row r="16" spans="1:37">
      <c r="A16" s="30">
        <v>15</v>
      </c>
      <c r="B16">
        <v>537</v>
      </c>
      <c r="C16">
        <v>536</v>
      </c>
      <c r="D16">
        <v>551</v>
      </c>
      <c r="E16">
        <v>545</v>
      </c>
      <c r="F16">
        <v>542</v>
      </c>
      <c r="G16">
        <v>553</v>
      </c>
      <c r="H16">
        <v>555</v>
      </c>
      <c r="I16">
        <v>559</v>
      </c>
      <c r="J16">
        <v>560</v>
      </c>
      <c r="K16">
        <v>570</v>
      </c>
      <c r="L16">
        <v>572</v>
      </c>
      <c r="M16">
        <v>557</v>
      </c>
      <c r="N16" s="16">
        <v>589</v>
      </c>
      <c r="O16">
        <v>589</v>
      </c>
      <c r="P16" s="16">
        <v>589</v>
      </c>
      <c r="Q16" s="35">
        <v>600</v>
      </c>
      <c r="R16" s="19">
        <v>600</v>
      </c>
      <c r="S16" s="35">
        <v>600</v>
      </c>
      <c r="T16" s="16">
        <v>605</v>
      </c>
      <c r="U16">
        <v>605</v>
      </c>
      <c r="V16" s="35">
        <v>605</v>
      </c>
      <c r="W16" s="35">
        <v>620</v>
      </c>
      <c r="X16" s="19">
        <v>620</v>
      </c>
      <c r="Y16" s="35">
        <v>620</v>
      </c>
      <c r="Z16" s="35">
        <v>643</v>
      </c>
      <c r="AA16" s="19">
        <v>643</v>
      </c>
      <c r="AB16" s="35">
        <v>643</v>
      </c>
      <c r="AC16" s="35">
        <v>634</v>
      </c>
      <c r="AD16" s="19">
        <v>634</v>
      </c>
      <c r="AE16" s="35">
        <v>634</v>
      </c>
      <c r="AF16" s="35">
        <v>630</v>
      </c>
      <c r="AG16" s="19">
        <v>630</v>
      </c>
      <c r="AH16" s="35">
        <v>630</v>
      </c>
      <c r="AI16" s="35">
        <v>643</v>
      </c>
      <c r="AJ16">
        <v>643</v>
      </c>
      <c r="AK16" s="35">
        <v>643</v>
      </c>
    </row>
    <row r="17" spans="1:37">
      <c r="A17" s="30">
        <v>16</v>
      </c>
      <c r="B17">
        <v>400</v>
      </c>
      <c r="C17">
        <v>386</v>
      </c>
      <c r="D17">
        <v>385</v>
      </c>
      <c r="E17">
        <v>387</v>
      </c>
      <c r="F17">
        <v>395</v>
      </c>
      <c r="G17">
        <v>376</v>
      </c>
      <c r="H17">
        <v>386</v>
      </c>
      <c r="I17">
        <v>392</v>
      </c>
      <c r="J17">
        <v>398</v>
      </c>
      <c r="K17">
        <v>411</v>
      </c>
      <c r="L17">
        <v>413</v>
      </c>
      <c r="M17">
        <v>410</v>
      </c>
      <c r="N17" s="16">
        <v>425</v>
      </c>
      <c r="O17">
        <v>425</v>
      </c>
      <c r="P17" s="16">
        <v>425</v>
      </c>
      <c r="Q17" s="35">
        <v>437</v>
      </c>
      <c r="R17" s="19">
        <v>437</v>
      </c>
      <c r="S17" s="35">
        <v>437</v>
      </c>
      <c r="T17" s="16">
        <v>454</v>
      </c>
      <c r="U17">
        <v>454</v>
      </c>
      <c r="V17" s="35">
        <v>454</v>
      </c>
      <c r="W17" s="35">
        <v>454</v>
      </c>
      <c r="X17" s="19">
        <v>454</v>
      </c>
      <c r="Y17" s="35">
        <v>454</v>
      </c>
      <c r="Z17" s="35">
        <v>470</v>
      </c>
      <c r="AA17" s="19">
        <v>470</v>
      </c>
      <c r="AB17" s="35">
        <v>470</v>
      </c>
      <c r="AC17" s="35">
        <v>474</v>
      </c>
      <c r="AD17" s="19">
        <v>474</v>
      </c>
      <c r="AE17" s="35">
        <v>474</v>
      </c>
      <c r="AF17" s="35">
        <v>487</v>
      </c>
      <c r="AG17" s="19">
        <v>487</v>
      </c>
      <c r="AH17" s="35">
        <v>487</v>
      </c>
      <c r="AI17" s="35">
        <v>495</v>
      </c>
      <c r="AJ17">
        <v>495</v>
      </c>
      <c r="AK17" s="35">
        <v>495</v>
      </c>
    </row>
    <row r="18" spans="1:37">
      <c r="A18" s="30">
        <v>17</v>
      </c>
      <c r="B18">
        <v>464</v>
      </c>
      <c r="C18">
        <v>466</v>
      </c>
      <c r="D18">
        <v>465</v>
      </c>
      <c r="E18">
        <v>479</v>
      </c>
      <c r="F18">
        <v>482</v>
      </c>
      <c r="G18">
        <v>482</v>
      </c>
      <c r="H18">
        <v>492</v>
      </c>
      <c r="I18">
        <v>496</v>
      </c>
      <c r="J18">
        <v>494</v>
      </c>
      <c r="K18">
        <v>505</v>
      </c>
      <c r="L18">
        <v>507</v>
      </c>
      <c r="M18">
        <v>507</v>
      </c>
      <c r="N18" s="16">
        <v>517</v>
      </c>
      <c r="O18">
        <v>517</v>
      </c>
      <c r="P18" s="16">
        <v>517</v>
      </c>
      <c r="Q18" s="35">
        <v>526</v>
      </c>
      <c r="R18" s="19">
        <v>526</v>
      </c>
      <c r="S18" s="35">
        <v>526</v>
      </c>
      <c r="T18" s="16">
        <v>532</v>
      </c>
      <c r="U18">
        <v>532</v>
      </c>
      <c r="V18" s="35">
        <v>532</v>
      </c>
      <c r="W18" s="35">
        <v>541</v>
      </c>
      <c r="X18" s="19">
        <v>541</v>
      </c>
      <c r="Y18" s="35">
        <v>541</v>
      </c>
      <c r="Z18" s="35">
        <v>542</v>
      </c>
      <c r="AA18" s="19">
        <v>542</v>
      </c>
      <c r="AB18" s="35">
        <v>542</v>
      </c>
      <c r="AC18" s="35">
        <v>546</v>
      </c>
      <c r="AD18" s="19">
        <v>546</v>
      </c>
      <c r="AE18" s="35">
        <v>546</v>
      </c>
      <c r="AF18" s="35">
        <v>547</v>
      </c>
      <c r="AG18" s="19">
        <v>547</v>
      </c>
      <c r="AH18" s="35">
        <v>547</v>
      </c>
      <c r="AI18" s="35">
        <v>547</v>
      </c>
      <c r="AJ18">
        <v>547</v>
      </c>
      <c r="AK18" s="35">
        <v>547</v>
      </c>
    </row>
    <row r="19" spans="1:37">
      <c r="A19" s="30">
        <v>18</v>
      </c>
      <c r="B19">
        <v>256</v>
      </c>
      <c r="C19">
        <v>265</v>
      </c>
      <c r="D19">
        <v>263</v>
      </c>
      <c r="E19">
        <v>264</v>
      </c>
      <c r="F19">
        <v>269</v>
      </c>
      <c r="G19">
        <v>274</v>
      </c>
      <c r="H19">
        <v>272</v>
      </c>
      <c r="I19">
        <v>282</v>
      </c>
      <c r="J19">
        <v>275</v>
      </c>
      <c r="K19">
        <v>277</v>
      </c>
      <c r="L19">
        <v>277</v>
      </c>
      <c r="M19">
        <v>278</v>
      </c>
      <c r="N19" s="16">
        <v>283</v>
      </c>
      <c r="O19">
        <v>283</v>
      </c>
      <c r="P19" s="16">
        <v>283</v>
      </c>
      <c r="Q19" s="35">
        <v>285</v>
      </c>
      <c r="R19" s="19">
        <v>285</v>
      </c>
      <c r="S19" s="35">
        <v>285</v>
      </c>
      <c r="T19" s="16">
        <v>288</v>
      </c>
      <c r="U19">
        <v>288</v>
      </c>
      <c r="V19" s="35">
        <v>288</v>
      </c>
      <c r="W19" s="35">
        <v>292</v>
      </c>
      <c r="X19" s="19">
        <v>292</v>
      </c>
      <c r="Y19" s="35">
        <v>292</v>
      </c>
      <c r="Z19" s="35">
        <v>295</v>
      </c>
      <c r="AA19" s="19">
        <v>295</v>
      </c>
      <c r="AB19" s="35">
        <v>295</v>
      </c>
      <c r="AC19" s="35">
        <v>299</v>
      </c>
      <c r="AD19" s="19">
        <v>299</v>
      </c>
      <c r="AE19" s="35">
        <v>299</v>
      </c>
      <c r="AF19" s="35">
        <v>297</v>
      </c>
      <c r="AG19" s="19">
        <v>297</v>
      </c>
      <c r="AH19" s="35">
        <v>297</v>
      </c>
      <c r="AI19" s="35">
        <v>301</v>
      </c>
      <c r="AJ19">
        <v>301</v>
      </c>
      <c r="AK19" s="35">
        <v>301</v>
      </c>
    </row>
    <row r="20" spans="1:37">
      <c r="A20" s="30">
        <v>19</v>
      </c>
      <c r="B20">
        <v>334</v>
      </c>
      <c r="C20">
        <v>331</v>
      </c>
      <c r="D20">
        <v>326</v>
      </c>
      <c r="E20">
        <v>331</v>
      </c>
      <c r="F20">
        <v>341</v>
      </c>
      <c r="G20">
        <v>333</v>
      </c>
      <c r="H20">
        <v>345</v>
      </c>
      <c r="I20">
        <v>341</v>
      </c>
      <c r="J20">
        <v>349</v>
      </c>
      <c r="K20">
        <v>352</v>
      </c>
      <c r="L20">
        <v>347</v>
      </c>
      <c r="M20">
        <v>354</v>
      </c>
      <c r="N20" s="16">
        <v>354</v>
      </c>
      <c r="O20">
        <v>354</v>
      </c>
      <c r="P20" s="16">
        <v>354</v>
      </c>
      <c r="Q20" s="35">
        <v>367</v>
      </c>
      <c r="R20" s="19">
        <v>367</v>
      </c>
      <c r="S20" s="35">
        <v>367</v>
      </c>
      <c r="T20" s="16">
        <v>373</v>
      </c>
      <c r="U20">
        <v>373</v>
      </c>
      <c r="V20" s="35">
        <v>373</v>
      </c>
      <c r="W20" s="35">
        <v>369</v>
      </c>
      <c r="X20" s="19">
        <v>369</v>
      </c>
      <c r="Y20" s="35">
        <v>369</v>
      </c>
      <c r="Z20" s="35">
        <v>381</v>
      </c>
      <c r="AA20" s="19">
        <v>381</v>
      </c>
      <c r="AB20" s="35">
        <v>381</v>
      </c>
      <c r="AC20" s="35">
        <v>386</v>
      </c>
      <c r="AD20" s="19">
        <v>386</v>
      </c>
      <c r="AE20" s="35">
        <v>386</v>
      </c>
      <c r="AF20" s="35">
        <v>380</v>
      </c>
      <c r="AG20" s="19">
        <v>380</v>
      </c>
      <c r="AH20" s="35">
        <v>380</v>
      </c>
      <c r="AI20" s="35">
        <v>408</v>
      </c>
      <c r="AJ20">
        <v>408</v>
      </c>
      <c r="AK20" s="35">
        <v>408</v>
      </c>
    </row>
    <row r="21" spans="1:37">
      <c r="A21" s="30">
        <v>20</v>
      </c>
      <c r="B21">
        <v>444</v>
      </c>
      <c r="C21">
        <v>452</v>
      </c>
      <c r="D21">
        <v>451</v>
      </c>
      <c r="E21">
        <v>454</v>
      </c>
      <c r="F21">
        <v>456</v>
      </c>
      <c r="G21">
        <v>470</v>
      </c>
      <c r="H21">
        <v>473</v>
      </c>
      <c r="I21">
        <v>475</v>
      </c>
      <c r="J21">
        <v>477</v>
      </c>
      <c r="K21">
        <v>483</v>
      </c>
      <c r="L21">
        <v>486</v>
      </c>
      <c r="M21">
        <v>489</v>
      </c>
      <c r="N21" s="16">
        <v>502</v>
      </c>
      <c r="O21">
        <v>502</v>
      </c>
      <c r="P21" s="16">
        <v>502</v>
      </c>
      <c r="Q21" s="35">
        <v>515</v>
      </c>
      <c r="R21" s="19">
        <v>515</v>
      </c>
      <c r="S21" s="35">
        <v>515</v>
      </c>
      <c r="T21" s="16">
        <v>527</v>
      </c>
      <c r="U21">
        <v>527</v>
      </c>
      <c r="V21" s="35">
        <v>527</v>
      </c>
      <c r="W21" s="35">
        <v>531</v>
      </c>
      <c r="X21" s="19">
        <v>531</v>
      </c>
      <c r="Y21" s="35">
        <v>531</v>
      </c>
      <c r="Z21" s="35">
        <v>545</v>
      </c>
      <c r="AA21" s="19">
        <v>545</v>
      </c>
      <c r="AB21" s="35">
        <v>545</v>
      </c>
      <c r="AC21" s="35">
        <v>549</v>
      </c>
      <c r="AD21" s="19">
        <v>549</v>
      </c>
      <c r="AE21" s="35">
        <v>549</v>
      </c>
      <c r="AF21" s="35">
        <v>555</v>
      </c>
      <c r="AG21" s="19">
        <v>555</v>
      </c>
      <c r="AH21" s="35">
        <v>555</v>
      </c>
      <c r="AI21" s="35">
        <v>565</v>
      </c>
      <c r="AJ21">
        <v>565</v>
      </c>
      <c r="AK21" s="35">
        <v>565</v>
      </c>
    </row>
    <row r="22" spans="1:37">
      <c r="A22" s="30">
        <v>21</v>
      </c>
      <c r="B22">
        <v>166</v>
      </c>
      <c r="C22">
        <v>166</v>
      </c>
      <c r="D22">
        <v>164</v>
      </c>
      <c r="E22">
        <v>168</v>
      </c>
      <c r="F22">
        <v>167</v>
      </c>
      <c r="G22">
        <v>174</v>
      </c>
      <c r="H22">
        <v>173</v>
      </c>
      <c r="I22">
        <v>176</v>
      </c>
      <c r="J22">
        <v>175</v>
      </c>
      <c r="K22" s="15">
        <v>178</v>
      </c>
      <c r="L22">
        <v>177</v>
      </c>
      <c r="M22">
        <v>176</v>
      </c>
      <c r="N22" s="16">
        <v>176</v>
      </c>
      <c r="O22">
        <v>176</v>
      </c>
      <c r="P22" s="16">
        <v>176</v>
      </c>
      <c r="Q22" s="35">
        <v>180</v>
      </c>
      <c r="R22" s="19">
        <v>180</v>
      </c>
      <c r="S22" s="35">
        <v>180</v>
      </c>
      <c r="T22" s="16">
        <v>182</v>
      </c>
      <c r="U22">
        <v>182</v>
      </c>
      <c r="V22" s="35">
        <v>182</v>
      </c>
      <c r="W22" s="35">
        <v>178</v>
      </c>
      <c r="X22" s="19">
        <v>178</v>
      </c>
      <c r="Y22" s="35">
        <v>178</v>
      </c>
      <c r="Z22" s="35">
        <v>183</v>
      </c>
      <c r="AA22" s="19">
        <v>183</v>
      </c>
      <c r="AB22" s="35">
        <v>183</v>
      </c>
      <c r="AC22" s="35">
        <v>185</v>
      </c>
      <c r="AD22" s="19">
        <v>185</v>
      </c>
      <c r="AE22" s="35">
        <v>185</v>
      </c>
      <c r="AF22" s="35">
        <v>186</v>
      </c>
      <c r="AG22" s="19">
        <v>186</v>
      </c>
      <c r="AH22" s="35">
        <v>186</v>
      </c>
      <c r="AI22" s="35">
        <v>183</v>
      </c>
      <c r="AJ22">
        <v>183</v>
      </c>
      <c r="AK22" s="35">
        <v>183</v>
      </c>
    </row>
    <row r="23" spans="1:37">
      <c r="A23" s="30">
        <v>22</v>
      </c>
      <c r="B23">
        <v>274</v>
      </c>
      <c r="C23">
        <v>272</v>
      </c>
      <c r="D23">
        <v>276</v>
      </c>
      <c r="E23">
        <v>279</v>
      </c>
      <c r="F23">
        <v>278</v>
      </c>
      <c r="G23">
        <v>281</v>
      </c>
      <c r="H23">
        <v>284</v>
      </c>
      <c r="I23">
        <v>283</v>
      </c>
      <c r="J23">
        <v>279</v>
      </c>
      <c r="K23" s="15">
        <v>283</v>
      </c>
      <c r="L23">
        <v>284</v>
      </c>
      <c r="M23">
        <v>284</v>
      </c>
      <c r="N23" s="16">
        <v>286</v>
      </c>
      <c r="O23">
        <v>286</v>
      </c>
      <c r="P23" s="16">
        <v>286</v>
      </c>
      <c r="Q23" s="35">
        <v>289</v>
      </c>
      <c r="R23" s="19">
        <v>289</v>
      </c>
      <c r="S23" s="35">
        <v>289</v>
      </c>
      <c r="T23" s="16">
        <v>293</v>
      </c>
      <c r="U23">
        <v>293</v>
      </c>
      <c r="V23" s="35">
        <v>293</v>
      </c>
      <c r="W23" s="35">
        <v>297</v>
      </c>
      <c r="X23" s="19">
        <v>297</v>
      </c>
      <c r="Y23" s="35">
        <v>297</v>
      </c>
      <c r="Z23" s="35">
        <v>300</v>
      </c>
      <c r="AA23" s="19">
        <v>300</v>
      </c>
      <c r="AB23" s="35">
        <v>300</v>
      </c>
      <c r="AC23" s="35">
        <v>300</v>
      </c>
      <c r="AD23" s="19">
        <v>300</v>
      </c>
      <c r="AE23" s="35">
        <v>300</v>
      </c>
      <c r="AF23" s="35">
        <v>302</v>
      </c>
      <c r="AG23" s="19">
        <v>302</v>
      </c>
      <c r="AH23" s="35">
        <v>302</v>
      </c>
      <c r="AI23" s="35">
        <v>307</v>
      </c>
      <c r="AJ23">
        <v>307</v>
      </c>
      <c r="AK23" s="35">
        <v>307</v>
      </c>
    </row>
    <row r="24" spans="1:37">
      <c r="A24" s="30">
        <v>23</v>
      </c>
      <c r="B24">
        <v>253</v>
      </c>
      <c r="C24">
        <v>257</v>
      </c>
      <c r="D24">
        <v>260</v>
      </c>
      <c r="E24">
        <v>261</v>
      </c>
      <c r="F24">
        <v>260</v>
      </c>
      <c r="G24">
        <v>258</v>
      </c>
      <c r="H24">
        <v>266</v>
      </c>
      <c r="I24">
        <v>269</v>
      </c>
      <c r="J24">
        <v>269</v>
      </c>
      <c r="K24">
        <v>270</v>
      </c>
      <c r="L24">
        <v>268</v>
      </c>
      <c r="M24">
        <v>271</v>
      </c>
      <c r="N24" s="16">
        <v>277</v>
      </c>
      <c r="O24">
        <v>277</v>
      </c>
      <c r="P24" s="16">
        <v>277</v>
      </c>
      <c r="Q24" s="35">
        <v>274</v>
      </c>
      <c r="R24" s="19">
        <v>274</v>
      </c>
      <c r="S24" s="35">
        <v>274</v>
      </c>
      <c r="T24" s="16">
        <v>272</v>
      </c>
      <c r="U24">
        <v>272</v>
      </c>
      <c r="V24" s="35">
        <v>272</v>
      </c>
      <c r="W24" s="35">
        <v>276</v>
      </c>
      <c r="X24" s="19">
        <v>276</v>
      </c>
      <c r="Y24" s="35">
        <v>276</v>
      </c>
      <c r="Z24" s="35">
        <v>281</v>
      </c>
      <c r="AA24" s="19">
        <v>281</v>
      </c>
      <c r="AB24" s="35">
        <v>281</v>
      </c>
      <c r="AC24" s="35">
        <v>282</v>
      </c>
      <c r="AD24" s="19">
        <v>282</v>
      </c>
      <c r="AE24" s="35">
        <v>282</v>
      </c>
      <c r="AF24" s="35">
        <v>287</v>
      </c>
      <c r="AG24" s="19">
        <v>287</v>
      </c>
      <c r="AH24" s="35">
        <v>287</v>
      </c>
      <c r="AI24" s="35">
        <v>292</v>
      </c>
      <c r="AJ24">
        <v>292</v>
      </c>
      <c r="AK24" s="35">
        <v>292</v>
      </c>
    </row>
    <row r="25" spans="1:37">
      <c r="A25" s="30">
        <v>24</v>
      </c>
      <c r="B25">
        <v>482</v>
      </c>
      <c r="C25">
        <v>491</v>
      </c>
      <c r="D25">
        <v>486</v>
      </c>
      <c r="E25">
        <v>487</v>
      </c>
      <c r="F25">
        <v>483</v>
      </c>
      <c r="G25">
        <v>491</v>
      </c>
      <c r="H25">
        <v>495</v>
      </c>
      <c r="I25">
        <v>497</v>
      </c>
      <c r="J25">
        <v>502</v>
      </c>
      <c r="K25">
        <v>505</v>
      </c>
      <c r="L25">
        <v>508</v>
      </c>
      <c r="M25">
        <v>511</v>
      </c>
      <c r="N25" s="16">
        <v>521</v>
      </c>
      <c r="O25">
        <v>521</v>
      </c>
      <c r="P25" s="16">
        <v>521</v>
      </c>
      <c r="Q25" s="35">
        <v>534</v>
      </c>
      <c r="R25" s="19">
        <v>534</v>
      </c>
      <c r="S25" s="35">
        <v>534</v>
      </c>
      <c r="T25" s="16">
        <v>540</v>
      </c>
      <c r="U25">
        <v>540</v>
      </c>
      <c r="V25" s="35">
        <v>540</v>
      </c>
      <c r="W25" s="35">
        <v>545</v>
      </c>
      <c r="X25" s="19">
        <v>545</v>
      </c>
      <c r="Y25" s="35">
        <v>545</v>
      </c>
      <c r="Z25" s="35">
        <v>547</v>
      </c>
      <c r="AA25" s="19">
        <v>547</v>
      </c>
      <c r="AB25" s="35">
        <v>547</v>
      </c>
      <c r="AC25" s="35">
        <v>552</v>
      </c>
      <c r="AD25" s="19">
        <v>552</v>
      </c>
      <c r="AE25" s="35">
        <v>552</v>
      </c>
      <c r="AF25" s="35">
        <v>552</v>
      </c>
      <c r="AG25" s="19">
        <v>552</v>
      </c>
      <c r="AH25" s="35">
        <v>552</v>
      </c>
      <c r="AI25" s="35">
        <v>562</v>
      </c>
      <c r="AJ25">
        <v>562</v>
      </c>
      <c r="AK25" s="35">
        <v>562</v>
      </c>
    </row>
    <row r="26" spans="1:37">
      <c r="A26" s="30">
        <v>25</v>
      </c>
      <c r="B26">
        <v>490</v>
      </c>
      <c r="C26">
        <v>496</v>
      </c>
      <c r="D26">
        <v>499</v>
      </c>
      <c r="E26">
        <v>496</v>
      </c>
      <c r="F26">
        <v>501</v>
      </c>
      <c r="G26">
        <v>506</v>
      </c>
      <c r="H26">
        <v>513</v>
      </c>
      <c r="I26">
        <v>516</v>
      </c>
      <c r="J26">
        <v>524</v>
      </c>
      <c r="K26" s="15">
        <v>520</v>
      </c>
      <c r="L26">
        <v>526</v>
      </c>
      <c r="M26">
        <v>527</v>
      </c>
      <c r="N26" s="16">
        <v>535</v>
      </c>
      <c r="O26">
        <v>535</v>
      </c>
      <c r="P26" s="16">
        <v>535</v>
      </c>
      <c r="Q26" s="35">
        <v>544</v>
      </c>
      <c r="R26" s="19">
        <v>544</v>
      </c>
      <c r="S26" s="35">
        <v>544</v>
      </c>
      <c r="T26" s="16">
        <v>548</v>
      </c>
      <c r="U26">
        <v>548</v>
      </c>
      <c r="V26" s="35">
        <v>548</v>
      </c>
      <c r="W26" s="35">
        <v>555</v>
      </c>
      <c r="X26" s="19">
        <v>555</v>
      </c>
      <c r="Y26" s="35">
        <v>555</v>
      </c>
      <c r="Z26" s="35">
        <v>563</v>
      </c>
      <c r="AA26" s="19">
        <v>563</v>
      </c>
      <c r="AB26" s="35">
        <v>563</v>
      </c>
      <c r="AC26" s="35">
        <v>563</v>
      </c>
      <c r="AD26" s="19">
        <v>563</v>
      </c>
      <c r="AE26" s="35">
        <v>563</v>
      </c>
      <c r="AF26" s="35">
        <v>567</v>
      </c>
      <c r="AG26" s="19">
        <v>567</v>
      </c>
      <c r="AH26" s="35">
        <v>567</v>
      </c>
      <c r="AI26" s="35">
        <v>569</v>
      </c>
      <c r="AJ26">
        <v>569</v>
      </c>
      <c r="AK26" s="35">
        <v>569</v>
      </c>
    </row>
    <row r="27" spans="1:37">
      <c r="A27" s="30">
        <v>26</v>
      </c>
      <c r="B27">
        <v>272</v>
      </c>
      <c r="C27">
        <v>271</v>
      </c>
      <c r="D27">
        <v>273</v>
      </c>
      <c r="E27">
        <v>274</v>
      </c>
      <c r="F27">
        <v>268</v>
      </c>
      <c r="G27">
        <v>272</v>
      </c>
      <c r="H27">
        <v>273</v>
      </c>
      <c r="I27">
        <v>277</v>
      </c>
      <c r="J27">
        <v>278</v>
      </c>
      <c r="K27">
        <v>281</v>
      </c>
      <c r="L27">
        <v>281</v>
      </c>
      <c r="M27">
        <v>283</v>
      </c>
      <c r="N27" s="16">
        <v>285</v>
      </c>
      <c r="O27">
        <v>285</v>
      </c>
      <c r="P27" s="16">
        <v>285</v>
      </c>
      <c r="Q27" s="35">
        <v>292</v>
      </c>
      <c r="R27" s="19">
        <v>292</v>
      </c>
      <c r="S27" s="35">
        <v>292</v>
      </c>
      <c r="T27" s="16">
        <v>291</v>
      </c>
      <c r="U27">
        <v>291</v>
      </c>
      <c r="V27" s="35">
        <v>291</v>
      </c>
      <c r="W27" s="35">
        <v>295</v>
      </c>
      <c r="X27" s="19">
        <v>295</v>
      </c>
      <c r="Y27" s="35">
        <v>295</v>
      </c>
      <c r="Z27" s="35">
        <v>298</v>
      </c>
      <c r="AA27" s="19">
        <v>298</v>
      </c>
      <c r="AB27" s="35">
        <v>298</v>
      </c>
      <c r="AC27" s="35">
        <v>296</v>
      </c>
      <c r="AD27" s="19">
        <v>296</v>
      </c>
      <c r="AE27" s="35">
        <v>296</v>
      </c>
      <c r="AF27" s="35">
        <v>302</v>
      </c>
      <c r="AG27" s="19">
        <v>302</v>
      </c>
      <c r="AH27" s="35">
        <v>302</v>
      </c>
      <c r="AI27" s="35">
        <v>307</v>
      </c>
      <c r="AJ27">
        <v>307</v>
      </c>
      <c r="AK27" s="35">
        <v>307</v>
      </c>
    </row>
    <row r="28" spans="1:37">
      <c r="A28" s="30">
        <v>27</v>
      </c>
      <c r="B28">
        <v>285</v>
      </c>
      <c r="C28">
        <v>289</v>
      </c>
      <c r="D28">
        <v>288</v>
      </c>
      <c r="E28">
        <v>295</v>
      </c>
      <c r="F28">
        <v>292</v>
      </c>
      <c r="G28">
        <v>293</v>
      </c>
      <c r="H28">
        <v>291</v>
      </c>
      <c r="I28">
        <v>292</v>
      </c>
      <c r="J28">
        <v>296</v>
      </c>
      <c r="K28">
        <v>298</v>
      </c>
      <c r="L28">
        <v>298</v>
      </c>
      <c r="M28">
        <v>299</v>
      </c>
      <c r="N28" s="16">
        <v>307</v>
      </c>
      <c r="O28">
        <v>307</v>
      </c>
      <c r="P28" s="16">
        <v>307</v>
      </c>
      <c r="Q28" s="35">
        <v>311</v>
      </c>
      <c r="R28" s="19">
        <v>311</v>
      </c>
      <c r="S28" s="35">
        <v>311</v>
      </c>
      <c r="T28" s="16">
        <v>304</v>
      </c>
      <c r="U28">
        <v>304</v>
      </c>
      <c r="V28" s="35">
        <v>304</v>
      </c>
      <c r="W28" s="35">
        <v>306</v>
      </c>
      <c r="X28" s="19">
        <v>306</v>
      </c>
      <c r="Y28" s="35">
        <v>306</v>
      </c>
      <c r="Z28" s="35">
        <v>317</v>
      </c>
      <c r="AA28" s="19">
        <v>317</v>
      </c>
      <c r="AB28" s="35">
        <v>317</v>
      </c>
      <c r="AC28" s="35">
        <v>319</v>
      </c>
      <c r="AD28" s="19">
        <v>319</v>
      </c>
      <c r="AE28" s="35">
        <v>319</v>
      </c>
      <c r="AF28" s="35">
        <v>321</v>
      </c>
      <c r="AG28" s="19">
        <v>321</v>
      </c>
      <c r="AH28" s="35">
        <v>321</v>
      </c>
      <c r="AI28" s="35">
        <v>314</v>
      </c>
      <c r="AJ28">
        <v>314</v>
      </c>
      <c r="AK28" s="35">
        <v>314</v>
      </c>
    </row>
    <row r="29" spans="1:37">
      <c r="A29" s="30">
        <v>28</v>
      </c>
      <c r="B29">
        <v>160</v>
      </c>
      <c r="C29">
        <v>160</v>
      </c>
      <c r="D29">
        <v>163</v>
      </c>
      <c r="E29">
        <v>170</v>
      </c>
      <c r="F29">
        <v>164</v>
      </c>
      <c r="G29">
        <v>169</v>
      </c>
      <c r="H29">
        <v>169</v>
      </c>
      <c r="I29">
        <v>171</v>
      </c>
      <c r="J29">
        <v>161</v>
      </c>
      <c r="K29">
        <v>172</v>
      </c>
      <c r="L29">
        <v>166</v>
      </c>
      <c r="M29">
        <v>161</v>
      </c>
      <c r="N29" s="16">
        <v>170</v>
      </c>
      <c r="O29">
        <v>170</v>
      </c>
      <c r="P29" s="16">
        <v>170</v>
      </c>
      <c r="Q29" s="35">
        <v>173</v>
      </c>
      <c r="R29" s="19">
        <v>173</v>
      </c>
      <c r="S29" s="35">
        <v>173</v>
      </c>
      <c r="T29" s="16">
        <v>172</v>
      </c>
      <c r="U29">
        <v>172</v>
      </c>
      <c r="V29" s="35">
        <v>172</v>
      </c>
      <c r="W29" s="35">
        <v>177</v>
      </c>
      <c r="X29" s="19">
        <v>177</v>
      </c>
      <c r="Y29" s="35">
        <v>177</v>
      </c>
      <c r="Z29" s="35">
        <v>172</v>
      </c>
      <c r="AA29" s="19">
        <v>172</v>
      </c>
      <c r="AB29" s="35">
        <v>172</v>
      </c>
      <c r="AC29" s="35">
        <v>177</v>
      </c>
      <c r="AD29" s="19">
        <v>177</v>
      </c>
      <c r="AE29" s="35">
        <v>177</v>
      </c>
      <c r="AF29" s="35">
        <v>181</v>
      </c>
      <c r="AG29" s="19">
        <v>181</v>
      </c>
      <c r="AH29" s="35">
        <v>181</v>
      </c>
      <c r="AI29" s="35">
        <v>177</v>
      </c>
      <c r="AJ29">
        <v>177</v>
      </c>
      <c r="AK29" s="35">
        <v>177</v>
      </c>
    </row>
    <row r="30" spans="1:37">
      <c r="A30" s="30">
        <v>29</v>
      </c>
      <c r="B30">
        <v>488</v>
      </c>
      <c r="C30">
        <v>486</v>
      </c>
      <c r="D30">
        <v>486</v>
      </c>
      <c r="E30">
        <v>494</v>
      </c>
      <c r="F30">
        <v>490</v>
      </c>
      <c r="G30">
        <v>502</v>
      </c>
      <c r="H30">
        <v>510</v>
      </c>
      <c r="I30">
        <v>515</v>
      </c>
      <c r="J30">
        <v>516</v>
      </c>
      <c r="K30">
        <v>520</v>
      </c>
      <c r="L30">
        <v>527</v>
      </c>
      <c r="M30">
        <v>533</v>
      </c>
      <c r="N30" s="16">
        <v>535</v>
      </c>
      <c r="O30">
        <v>535</v>
      </c>
      <c r="P30" s="16">
        <v>535</v>
      </c>
      <c r="Q30" s="35">
        <v>546</v>
      </c>
      <c r="R30" s="19">
        <v>546</v>
      </c>
      <c r="S30" s="35">
        <v>546</v>
      </c>
      <c r="T30" s="16">
        <v>558</v>
      </c>
      <c r="U30">
        <v>558</v>
      </c>
      <c r="V30" s="35">
        <v>558</v>
      </c>
      <c r="W30" s="35">
        <v>570</v>
      </c>
      <c r="X30" s="19">
        <v>570</v>
      </c>
      <c r="Y30" s="35">
        <v>570</v>
      </c>
      <c r="Z30" s="35">
        <v>578</v>
      </c>
      <c r="AA30" s="19">
        <v>578</v>
      </c>
      <c r="AB30" s="35">
        <v>578</v>
      </c>
      <c r="AC30" s="35">
        <v>581</v>
      </c>
      <c r="AD30" s="19">
        <v>581</v>
      </c>
      <c r="AE30" s="35">
        <v>581</v>
      </c>
      <c r="AF30" s="35">
        <v>584</v>
      </c>
      <c r="AG30" s="19">
        <v>584</v>
      </c>
      <c r="AH30" s="35">
        <v>584</v>
      </c>
      <c r="AI30" s="35">
        <v>572</v>
      </c>
      <c r="AJ30">
        <v>572</v>
      </c>
      <c r="AK30" s="35">
        <v>572</v>
      </c>
    </row>
    <row r="31" spans="1:37">
      <c r="A31" s="30">
        <v>30</v>
      </c>
      <c r="B31">
        <v>310</v>
      </c>
      <c r="C31">
        <v>302</v>
      </c>
      <c r="D31">
        <v>311</v>
      </c>
      <c r="E31">
        <v>315</v>
      </c>
      <c r="F31">
        <v>312</v>
      </c>
      <c r="G31">
        <v>315</v>
      </c>
      <c r="H31">
        <v>307</v>
      </c>
      <c r="I31">
        <v>321</v>
      </c>
      <c r="J31">
        <v>312</v>
      </c>
      <c r="K31" s="15">
        <v>325</v>
      </c>
      <c r="L31">
        <v>318</v>
      </c>
      <c r="M31">
        <v>331</v>
      </c>
      <c r="N31" s="16">
        <v>342</v>
      </c>
      <c r="O31">
        <v>342</v>
      </c>
      <c r="P31" s="16">
        <v>342</v>
      </c>
      <c r="Q31" s="35">
        <v>340</v>
      </c>
      <c r="R31" s="19">
        <v>340</v>
      </c>
      <c r="S31" s="35">
        <v>340</v>
      </c>
      <c r="T31" s="16">
        <v>363</v>
      </c>
      <c r="U31">
        <v>363</v>
      </c>
      <c r="V31" s="35">
        <v>363</v>
      </c>
      <c r="W31" s="35">
        <v>375</v>
      </c>
      <c r="X31" s="19">
        <v>375</v>
      </c>
      <c r="Y31" s="35">
        <v>375</v>
      </c>
      <c r="Z31" s="35">
        <v>366</v>
      </c>
      <c r="AA31" s="19">
        <v>366</v>
      </c>
      <c r="AB31" s="35">
        <v>366</v>
      </c>
      <c r="AC31" s="35">
        <v>360</v>
      </c>
      <c r="AD31" s="19">
        <v>360</v>
      </c>
      <c r="AE31" s="35">
        <v>360</v>
      </c>
      <c r="AF31" s="35">
        <v>353</v>
      </c>
      <c r="AG31" s="19">
        <v>353</v>
      </c>
      <c r="AH31" s="35">
        <v>353</v>
      </c>
      <c r="AI31" s="35">
        <v>364</v>
      </c>
      <c r="AJ31">
        <v>364</v>
      </c>
      <c r="AK31" s="35">
        <v>364</v>
      </c>
    </row>
    <row r="32" spans="1:37">
      <c r="A32" s="30">
        <v>31</v>
      </c>
      <c r="B32">
        <v>350</v>
      </c>
      <c r="C32">
        <v>349</v>
      </c>
      <c r="D32">
        <v>346</v>
      </c>
      <c r="E32">
        <v>337</v>
      </c>
      <c r="F32">
        <v>348</v>
      </c>
      <c r="G32">
        <v>345</v>
      </c>
      <c r="H32">
        <v>336</v>
      </c>
      <c r="I32">
        <v>354</v>
      </c>
      <c r="J32">
        <v>348</v>
      </c>
      <c r="K32" s="15">
        <v>358</v>
      </c>
      <c r="L32">
        <v>357</v>
      </c>
      <c r="M32">
        <v>363</v>
      </c>
      <c r="N32" s="16">
        <v>363</v>
      </c>
      <c r="O32">
        <v>363</v>
      </c>
      <c r="P32" s="16">
        <v>363</v>
      </c>
      <c r="Q32" s="35">
        <v>360</v>
      </c>
      <c r="R32" s="19">
        <v>360</v>
      </c>
      <c r="S32" s="35">
        <v>360</v>
      </c>
      <c r="T32" s="16">
        <v>389</v>
      </c>
      <c r="U32">
        <v>389</v>
      </c>
      <c r="V32" s="35">
        <v>389</v>
      </c>
      <c r="W32" s="35">
        <v>389</v>
      </c>
      <c r="X32" s="19">
        <v>389</v>
      </c>
      <c r="Y32" s="35">
        <v>389</v>
      </c>
      <c r="Z32" s="35">
        <v>397</v>
      </c>
      <c r="AA32" s="19">
        <v>397</v>
      </c>
      <c r="AB32" s="35">
        <v>397</v>
      </c>
      <c r="AC32" s="35">
        <v>399</v>
      </c>
      <c r="AD32" s="19">
        <v>399</v>
      </c>
      <c r="AE32" s="35">
        <v>399</v>
      </c>
      <c r="AF32" s="35">
        <v>412</v>
      </c>
      <c r="AG32" s="19">
        <v>412</v>
      </c>
      <c r="AH32" s="35">
        <v>412</v>
      </c>
      <c r="AI32" s="35">
        <v>430</v>
      </c>
      <c r="AJ32">
        <v>430</v>
      </c>
      <c r="AK32" s="35">
        <v>430</v>
      </c>
    </row>
    <row r="33" spans="1:37">
      <c r="A33" s="30">
        <v>32</v>
      </c>
      <c r="B33">
        <v>565</v>
      </c>
      <c r="C33">
        <v>580</v>
      </c>
      <c r="D33">
        <v>580</v>
      </c>
      <c r="E33">
        <v>586</v>
      </c>
      <c r="F33">
        <v>593</v>
      </c>
      <c r="G33">
        <v>596</v>
      </c>
      <c r="H33">
        <v>596</v>
      </c>
      <c r="I33">
        <v>608</v>
      </c>
      <c r="J33">
        <v>617</v>
      </c>
      <c r="K33">
        <v>620</v>
      </c>
      <c r="L33">
        <v>628</v>
      </c>
      <c r="M33">
        <v>671</v>
      </c>
      <c r="N33" s="16">
        <v>644</v>
      </c>
      <c r="O33">
        <v>644</v>
      </c>
      <c r="P33" s="16">
        <v>644</v>
      </c>
      <c r="Q33" s="35">
        <v>661</v>
      </c>
      <c r="R33" s="19">
        <v>661</v>
      </c>
      <c r="S33" s="35">
        <v>661</v>
      </c>
      <c r="T33" s="16">
        <v>675</v>
      </c>
      <c r="U33">
        <v>675</v>
      </c>
      <c r="V33" s="35">
        <v>675</v>
      </c>
      <c r="W33" s="35">
        <v>681</v>
      </c>
      <c r="X33" s="19">
        <v>681</v>
      </c>
      <c r="Y33" s="35">
        <v>681</v>
      </c>
      <c r="Z33" s="35">
        <v>697</v>
      </c>
      <c r="AA33" s="19">
        <v>697</v>
      </c>
      <c r="AB33" s="35">
        <v>697</v>
      </c>
      <c r="AC33" s="35">
        <v>706</v>
      </c>
      <c r="AD33" s="19">
        <v>706</v>
      </c>
      <c r="AE33" s="35">
        <v>706</v>
      </c>
      <c r="AF33" s="35">
        <v>718</v>
      </c>
      <c r="AG33" s="19">
        <v>718</v>
      </c>
      <c r="AH33" s="35">
        <v>718</v>
      </c>
      <c r="AI33" s="35">
        <v>726</v>
      </c>
      <c r="AJ33">
        <v>726</v>
      </c>
      <c r="AK33" s="35">
        <v>726</v>
      </c>
    </row>
    <row r="34" spans="1:37">
      <c r="A34" s="30">
        <v>33</v>
      </c>
      <c r="B34">
        <v>285</v>
      </c>
      <c r="C34">
        <v>287</v>
      </c>
      <c r="D34">
        <v>286</v>
      </c>
      <c r="E34">
        <v>286</v>
      </c>
      <c r="F34">
        <v>290</v>
      </c>
      <c r="G34">
        <v>293</v>
      </c>
      <c r="H34">
        <v>284</v>
      </c>
      <c r="I34">
        <v>295</v>
      </c>
      <c r="J34">
        <v>293</v>
      </c>
      <c r="K34" s="15">
        <v>292</v>
      </c>
      <c r="L34">
        <v>301</v>
      </c>
      <c r="M34">
        <v>298</v>
      </c>
      <c r="N34" s="16">
        <v>299</v>
      </c>
      <c r="O34">
        <v>299</v>
      </c>
      <c r="P34" s="16">
        <v>299</v>
      </c>
      <c r="Q34" s="35">
        <v>299</v>
      </c>
      <c r="R34" s="19">
        <v>299</v>
      </c>
      <c r="S34" s="35">
        <v>299</v>
      </c>
      <c r="T34" s="16">
        <v>303</v>
      </c>
      <c r="U34">
        <v>303</v>
      </c>
      <c r="V34" s="35">
        <v>303</v>
      </c>
      <c r="W34" s="35">
        <v>298</v>
      </c>
      <c r="X34" s="19">
        <v>298</v>
      </c>
      <c r="Y34" s="35">
        <v>298</v>
      </c>
      <c r="Z34" s="35">
        <v>299</v>
      </c>
      <c r="AA34" s="19">
        <v>299</v>
      </c>
      <c r="AB34" s="35">
        <v>299</v>
      </c>
      <c r="AC34" s="35">
        <v>307</v>
      </c>
      <c r="AD34" s="19">
        <v>307</v>
      </c>
      <c r="AE34" s="35">
        <v>307</v>
      </c>
      <c r="AF34" s="35">
        <v>304</v>
      </c>
      <c r="AG34" s="19">
        <v>304</v>
      </c>
      <c r="AH34" s="35">
        <v>304</v>
      </c>
      <c r="AI34" s="35">
        <v>304</v>
      </c>
      <c r="AJ34">
        <v>304</v>
      </c>
      <c r="AK34" s="35">
        <v>304</v>
      </c>
    </row>
    <row r="35" spans="1:37">
      <c r="A35" s="30">
        <v>34</v>
      </c>
      <c r="B35">
        <v>460</v>
      </c>
      <c r="C35">
        <v>464</v>
      </c>
      <c r="D35">
        <v>475</v>
      </c>
      <c r="E35">
        <v>478</v>
      </c>
      <c r="F35">
        <v>482</v>
      </c>
      <c r="G35">
        <v>485</v>
      </c>
      <c r="H35">
        <v>490</v>
      </c>
      <c r="I35">
        <v>490</v>
      </c>
      <c r="J35">
        <v>499</v>
      </c>
      <c r="K35">
        <v>501</v>
      </c>
      <c r="L35">
        <v>505</v>
      </c>
      <c r="M35">
        <v>506</v>
      </c>
      <c r="N35" s="16">
        <v>515</v>
      </c>
      <c r="O35">
        <v>515</v>
      </c>
      <c r="P35" s="16">
        <v>515</v>
      </c>
      <c r="Q35" s="35">
        <v>525</v>
      </c>
      <c r="R35" s="19">
        <v>525</v>
      </c>
      <c r="S35" s="35">
        <v>525</v>
      </c>
      <c r="T35" s="16">
        <v>520</v>
      </c>
      <c r="U35">
        <v>520</v>
      </c>
      <c r="V35" s="35">
        <v>520</v>
      </c>
      <c r="W35" s="35">
        <v>537</v>
      </c>
      <c r="X35" s="19">
        <v>537</v>
      </c>
      <c r="Y35" s="35">
        <v>537</v>
      </c>
      <c r="Z35" s="35">
        <v>540</v>
      </c>
      <c r="AA35" s="19">
        <v>540</v>
      </c>
      <c r="AB35" s="35">
        <v>540</v>
      </c>
      <c r="AC35" s="35">
        <v>549</v>
      </c>
      <c r="AD35" s="19">
        <v>549</v>
      </c>
      <c r="AE35" s="35">
        <v>549</v>
      </c>
      <c r="AF35" s="35">
        <v>551</v>
      </c>
      <c r="AG35" s="19">
        <v>551</v>
      </c>
      <c r="AH35" s="35">
        <v>551</v>
      </c>
      <c r="AI35" s="35">
        <v>555</v>
      </c>
      <c r="AJ35">
        <v>555</v>
      </c>
      <c r="AK35" s="35">
        <v>555</v>
      </c>
    </row>
    <row r="36" spans="1:37">
      <c r="A36" s="30">
        <v>35</v>
      </c>
      <c r="B36">
        <v>166</v>
      </c>
      <c r="C36">
        <v>170</v>
      </c>
      <c r="D36">
        <v>172</v>
      </c>
      <c r="E36">
        <v>172</v>
      </c>
      <c r="F36">
        <v>167</v>
      </c>
      <c r="G36">
        <v>171</v>
      </c>
      <c r="H36">
        <v>164</v>
      </c>
      <c r="I36">
        <v>172</v>
      </c>
      <c r="J36">
        <v>174</v>
      </c>
      <c r="K36">
        <v>172</v>
      </c>
      <c r="L36">
        <v>172</v>
      </c>
      <c r="M36">
        <v>170</v>
      </c>
      <c r="N36" s="16">
        <v>170</v>
      </c>
      <c r="O36">
        <v>170</v>
      </c>
      <c r="P36" s="16">
        <v>170</v>
      </c>
      <c r="Q36" s="35">
        <v>169</v>
      </c>
      <c r="R36" s="19">
        <v>169</v>
      </c>
      <c r="S36" s="35">
        <v>169</v>
      </c>
      <c r="T36" s="16">
        <v>171</v>
      </c>
      <c r="U36">
        <v>171</v>
      </c>
      <c r="V36" s="35">
        <v>171</v>
      </c>
      <c r="W36" s="35">
        <v>177</v>
      </c>
      <c r="X36" s="19">
        <v>177</v>
      </c>
      <c r="Y36" s="35">
        <v>177</v>
      </c>
      <c r="Z36" s="35">
        <v>178</v>
      </c>
      <c r="AA36" s="19">
        <v>178</v>
      </c>
      <c r="AB36" s="35">
        <v>178</v>
      </c>
      <c r="AC36" s="35">
        <v>177</v>
      </c>
      <c r="AD36" s="19">
        <v>177</v>
      </c>
      <c r="AE36" s="35">
        <v>177</v>
      </c>
      <c r="AF36" s="35">
        <v>181</v>
      </c>
      <c r="AG36" s="19">
        <v>181</v>
      </c>
      <c r="AH36" s="35">
        <v>181</v>
      </c>
      <c r="AI36" s="35">
        <v>181</v>
      </c>
      <c r="AJ36">
        <v>181</v>
      </c>
      <c r="AK36" s="35">
        <v>181</v>
      </c>
    </row>
    <row r="37" spans="1:37">
      <c r="A37" s="30">
        <v>36</v>
      </c>
      <c r="B37">
        <v>261</v>
      </c>
      <c r="C37">
        <v>265</v>
      </c>
      <c r="D37">
        <v>266</v>
      </c>
      <c r="E37">
        <v>268</v>
      </c>
      <c r="F37">
        <v>271</v>
      </c>
      <c r="G37">
        <v>273</v>
      </c>
      <c r="H37">
        <v>271</v>
      </c>
      <c r="I37">
        <v>280</v>
      </c>
      <c r="J37">
        <v>274</v>
      </c>
      <c r="K37" s="15">
        <v>281</v>
      </c>
      <c r="L37">
        <v>275</v>
      </c>
      <c r="M37">
        <v>280</v>
      </c>
      <c r="N37" s="16">
        <v>274</v>
      </c>
      <c r="O37">
        <v>274</v>
      </c>
      <c r="P37" s="16">
        <v>274</v>
      </c>
      <c r="Q37" s="35">
        <v>286</v>
      </c>
      <c r="R37" s="19">
        <v>286</v>
      </c>
      <c r="S37" s="35">
        <v>286</v>
      </c>
      <c r="T37" s="16">
        <v>290</v>
      </c>
      <c r="U37">
        <v>290</v>
      </c>
      <c r="V37" s="35">
        <v>290</v>
      </c>
      <c r="W37" s="35">
        <v>299</v>
      </c>
      <c r="X37" s="19">
        <v>299</v>
      </c>
      <c r="Y37" s="35">
        <v>299</v>
      </c>
      <c r="Z37" s="35">
        <v>302</v>
      </c>
      <c r="AA37" s="19">
        <v>302</v>
      </c>
      <c r="AB37" s="35">
        <v>302</v>
      </c>
      <c r="AC37" s="35">
        <v>306</v>
      </c>
      <c r="AD37" s="19">
        <v>306</v>
      </c>
      <c r="AE37" s="35">
        <v>306</v>
      </c>
      <c r="AF37" s="35">
        <v>308</v>
      </c>
      <c r="AG37" s="19">
        <v>308</v>
      </c>
      <c r="AH37" s="35">
        <v>308</v>
      </c>
      <c r="AI37" s="35">
        <v>310</v>
      </c>
      <c r="AJ37">
        <v>310</v>
      </c>
      <c r="AK37" s="35">
        <v>310</v>
      </c>
    </row>
    <row r="38" spans="1:37">
      <c r="A38" s="30">
        <v>37</v>
      </c>
      <c r="B38">
        <v>486</v>
      </c>
      <c r="C38">
        <v>490</v>
      </c>
      <c r="D38">
        <v>502</v>
      </c>
      <c r="E38">
        <v>500</v>
      </c>
      <c r="F38">
        <v>505</v>
      </c>
      <c r="G38">
        <v>512</v>
      </c>
      <c r="H38">
        <v>505</v>
      </c>
      <c r="I38">
        <v>508</v>
      </c>
      <c r="J38">
        <v>511</v>
      </c>
      <c r="K38">
        <v>516</v>
      </c>
      <c r="L38">
        <v>518</v>
      </c>
      <c r="M38">
        <v>523</v>
      </c>
      <c r="N38" s="16">
        <v>532</v>
      </c>
      <c r="O38">
        <v>532</v>
      </c>
      <c r="P38" s="16">
        <v>532</v>
      </c>
      <c r="Q38" s="35">
        <v>537</v>
      </c>
      <c r="R38" s="19">
        <v>537</v>
      </c>
      <c r="S38" s="35">
        <v>537</v>
      </c>
      <c r="T38" s="16">
        <v>540</v>
      </c>
      <c r="U38">
        <v>540</v>
      </c>
      <c r="V38" s="35">
        <v>540</v>
      </c>
      <c r="W38" s="35">
        <v>545</v>
      </c>
      <c r="X38" s="19">
        <v>545</v>
      </c>
      <c r="Y38" s="35">
        <v>545</v>
      </c>
      <c r="Z38" s="35">
        <v>549</v>
      </c>
      <c r="AA38" s="19">
        <v>549</v>
      </c>
      <c r="AB38" s="35">
        <v>549</v>
      </c>
      <c r="AC38" s="35">
        <v>553</v>
      </c>
      <c r="AD38" s="19">
        <v>553</v>
      </c>
      <c r="AE38" s="35">
        <v>553</v>
      </c>
      <c r="AF38" s="35">
        <v>553</v>
      </c>
      <c r="AG38" s="19">
        <v>553</v>
      </c>
      <c r="AH38" s="35">
        <v>553</v>
      </c>
      <c r="AI38" s="35">
        <v>555</v>
      </c>
      <c r="AJ38">
        <v>555</v>
      </c>
      <c r="AK38" s="35">
        <v>555</v>
      </c>
    </row>
    <row r="39" spans="1:37">
      <c r="A39" s="30">
        <v>38</v>
      </c>
      <c r="B39">
        <v>276</v>
      </c>
      <c r="C39">
        <v>281</v>
      </c>
      <c r="D39">
        <v>276</v>
      </c>
      <c r="E39">
        <v>285</v>
      </c>
      <c r="F39">
        <v>277</v>
      </c>
      <c r="G39">
        <v>284</v>
      </c>
      <c r="H39">
        <v>285</v>
      </c>
      <c r="I39">
        <v>290</v>
      </c>
      <c r="J39">
        <v>292</v>
      </c>
      <c r="K39">
        <v>282</v>
      </c>
      <c r="L39">
        <v>293</v>
      </c>
      <c r="M39">
        <v>292</v>
      </c>
      <c r="N39" s="16">
        <v>295</v>
      </c>
      <c r="O39">
        <v>295</v>
      </c>
      <c r="P39" s="16">
        <v>295</v>
      </c>
      <c r="Q39" s="35">
        <v>297</v>
      </c>
      <c r="R39" s="19">
        <v>297</v>
      </c>
      <c r="S39" s="35">
        <v>297</v>
      </c>
      <c r="T39" s="16">
        <v>301</v>
      </c>
      <c r="U39">
        <v>301</v>
      </c>
      <c r="V39" s="35">
        <v>301</v>
      </c>
      <c r="W39" s="35">
        <v>296</v>
      </c>
      <c r="X39" s="19">
        <v>296</v>
      </c>
      <c r="Y39" s="35">
        <v>296</v>
      </c>
      <c r="Z39" s="35">
        <v>301</v>
      </c>
      <c r="AA39" s="19">
        <v>301</v>
      </c>
      <c r="AB39" s="35">
        <v>301</v>
      </c>
      <c r="AC39" s="35">
        <v>305</v>
      </c>
      <c r="AD39" s="19">
        <v>305</v>
      </c>
      <c r="AE39" s="35">
        <v>305</v>
      </c>
      <c r="AF39" s="35">
        <v>304</v>
      </c>
      <c r="AG39" s="19">
        <v>304</v>
      </c>
      <c r="AH39" s="35">
        <v>304</v>
      </c>
      <c r="AI39" s="35">
        <v>302</v>
      </c>
      <c r="AJ39">
        <v>302</v>
      </c>
      <c r="AK39" s="35">
        <v>302</v>
      </c>
    </row>
    <row r="40" spans="1:37">
      <c r="A40" s="30">
        <v>39</v>
      </c>
      <c r="B40">
        <v>490</v>
      </c>
      <c r="C40">
        <v>487</v>
      </c>
      <c r="D40">
        <v>494</v>
      </c>
      <c r="E40">
        <v>504</v>
      </c>
      <c r="F40">
        <v>503</v>
      </c>
      <c r="G40">
        <v>504</v>
      </c>
      <c r="H40">
        <v>518</v>
      </c>
      <c r="I40">
        <v>526</v>
      </c>
      <c r="J40">
        <v>533</v>
      </c>
      <c r="K40" s="15">
        <v>532</v>
      </c>
      <c r="L40">
        <v>543</v>
      </c>
      <c r="M40">
        <v>550</v>
      </c>
      <c r="N40" s="16">
        <v>558</v>
      </c>
      <c r="O40">
        <v>558</v>
      </c>
      <c r="P40" s="16">
        <v>558</v>
      </c>
      <c r="Q40" s="35">
        <v>569</v>
      </c>
      <c r="R40" s="19">
        <v>569</v>
      </c>
      <c r="S40" s="35">
        <v>569</v>
      </c>
      <c r="T40" s="16">
        <v>585</v>
      </c>
      <c r="U40">
        <v>585</v>
      </c>
      <c r="V40" s="35">
        <v>585</v>
      </c>
      <c r="W40" s="35">
        <v>590</v>
      </c>
      <c r="X40" s="19">
        <v>590</v>
      </c>
      <c r="Y40" s="35">
        <v>590</v>
      </c>
      <c r="Z40" s="35">
        <v>605</v>
      </c>
      <c r="AA40" s="19">
        <v>605</v>
      </c>
      <c r="AB40" s="35">
        <v>605</v>
      </c>
      <c r="AC40" s="35">
        <v>618</v>
      </c>
      <c r="AD40" s="19">
        <v>618</v>
      </c>
      <c r="AE40" s="35">
        <v>618</v>
      </c>
      <c r="AF40" s="35">
        <v>635</v>
      </c>
      <c r="AG40" s="19">
        <v>635</v>
      </c>
      <c r="AH40" s="35">
        <v>635</v>
      </c>
      <c r="AI40" s="35">
        <v>638</v>
      </c>
      <c r="AJ40">
        <v>638</v>
      </c>
      <c r="AK40" s="35">
        <v>638</v>
      </c>
    </row>
    <row r="41" spans="1:37">
      <c r="A41" s="30">
        <v>40</v>
      </c>
      <c r="B41">
        <v>331</v>
      </c>
      <c r="C41">
        <v>333</v>
      </c>
      <c r="D41">
        <v>332</v>
      </c>
      <c r="E41">
        <v>338</v>
      </c>
      <c r="F41">
        <v>331</v>
      </c>
      <c r="G41">
        <v>341</v>
      </c>
      <c r="H41">
        <v>343</v>
      </c>
      <c r="I41">
        <v>353</v>
      </c>
      <c r="J41">
        <v>347</v>
      </c>
      <c r="K41" s="15">
        <v>345</v>
      </c>
      <c r="L41">
        <v>355</v>
      </c>
      <c r="M41">
        <v>348</v>
      </c>
      <c r="N41" s="16">
        <v>357</v>
      </c>
      <c r="O41">
        <v>357</v>
      </c>
      <c r="P41" s="16">
        <v>357</v>
      </c>
      <c r="Q41" s="35">
        <v>355</v>
      </c>
      <c r="R41" s="19">
        <v>355</v>
      </c>
      <c r="S41" s="35">
        <v>355</v>
      </c>
      <c r="T41" s="16">
        <v>370</v>
      </c>
      <c r="U41">
        <v>370</v>
      </c>
      <c r="V41" s="35">
        <v>370</v>
      </c>
      <c r="W41" s="35">
        <v>376</v>
      </c>
      <c r="X41" s="19">
        <v>376</v>
      </c>
      <c r="Y41" s="35">
        <v>376</v>
      </c>
      <c r="Z41" s="35">
        <v>376</v>
      </c>
      <c r="AA41" s="19">
        <v>376</v>
      </c>
      <c r="AB41" s="35">
        <v>376</v>
      </c>
      <c r="AC41" s="35">
        <v>379</v>
      </c>
      <c r="AD41" s="19">
        <v>379</v>
      </c>
      <c r="AE41" s="35">
        <v>379</v>
      </c>
      <c r="AF41" s="35">
        <v>387</v>
      </c>
      <c r="AG41" s="19">
        <v>387</v>
      </c>
      <c r="AH41" s="35">
        <v>387</v>
      </c>
      <c r="AI41" s="35">
        <v>390</v>
      </c>
      <c r="AJ41">
        <v>390</v>
      </c>
      <c r="AK41" s="35">
        <v>390</v>
      </c>
    </row>
    <row r="42" spans="1:37">
      <c r="A42" s="30">
        <v>41</v>
      </c>
      <c r="B42">
        <v>278</v>
      </c>
      <c r="C42">
        <v>281</v>
      </c>
      <c r="D42">
        <v>283</v>
      </c>
      <c r="E42">
        <v>286</v>
      </c>
      <c r="F42">
        <v>291</v>
      </c>
      <c r="G42">
        <v>292</v>
      </c>
      <c r="H42">
        <v>291</v>
      </c>
      <c r="I42">
        <v>305</v>
      </c>
      <c r="J42">
        <v>301</v>
      </c>
      <c r="K42" s="15">
        <v>304</v>
      </c>
      <c r="L42">
        <v>304</v>
      </c>
      <c r="M42">
        <v>299</v>
      </c>
      <c r="N42" s="16">
        <v>304</v>
      </c>
      <c r="O42">
        <v>304</v>
      </c>
      <c r="P42" s="16">
        <v>304</v>
      </c>
      <c r="Q42" s="35">
        <v>305</v>
      </c>
      <c r="R42" s="19">
        <v>305</v>
      </c>
      <c r="S42" s="35">
        <v>305</v>
      </c>
      <c r="T42" s="16">
        <v>308</v>
      </c>
      <c r="U42">
        <v>308</v>
      </c>
      <c r="V42" s="35">
        <v>308</v>
      </c>
      <c r="W42" s="35">
        <v>313</v>
      </c>
      <c r="X42" s="19">
        <v>313</v>
      </c>
      <c r="Y42" s="35">
        <v>313</v>
      </c>
      <c r="Z42" s="35">
        <v>319</v>
      </c>
      <c r="AA42" s="19">
        <v>319</v>
      </c>
      <c r="AB42" s="35">
        <v>319</v>
      </c>
      <c r="AC42" s="35">
        <v>331</v>
      </c>
      <c r="AD42" s="19">
        <v>331</v>
      </c>
      <c r="AE42" s="35">
        <v>331</v>
      </c>
      <c r="AF42" s="35">
        <v>333</v>
      </c>
      <c r="AG42" s="19">
        <v>333</v>
      </c>
      <c r="AH42" s="35">
        <v>333</v>
      </c>
      <c r="AI42" s="35">
        <v>335</v>
      </c>
      <c r="AJ42">
        <v>335</v>
      </c>
      <c r="AK42" s="35">
        <v>335</v>
      </c>
    </row>
    <row r="43" spans="1:37">
      <c r="A43" s="30">
        <v>42</v>
      </c>
      <c r="B43">
        <v>161</v>
      </c>
      <c r="C43">
        <v>160</v>
      </c>
      <c r="D43">
        <v>164</v>
      </c>
      <c r="E43">
        <v>166</v>
      </c>
      <c r="F43">
        <v>162</v>
      </c>
      <c r="G43">
        <v>165</v>
      </c>
      <c r="H43">
        <v>164</v>
      </c>
      <c r="I43">
        <v>172</v>
      </c>
      <c r="J43">
        <v>163</v>
      </c>
      <c r="K43" s="15">
        <v>168</v>
      </c>
      <c r="L43">
        <v>161</v>
      </c>
      <c r="M43">
        <v>169</v>
      </c>
      <c r="N43" s="16">
        <v>164</v>
      </c>
      <c r="O43">
        <v>164</v>
      </c>
      <c r="P43" s="16">
        <v>164</v>
      </c>
      <c r="Q43" s="35">
        <v>166</v>
      </c>
      <c r="R43" s="19">
        <v>166</v>
      </c>
      <c r="S43" s="35">
        <v>166</v>
      </c>
      <c r="T43" s="16">
        <v>166</v>
      </c>
      <c r="U43">
        <v>166</v>
      </c>
      <c r="V43" s="35">
        <v>166</v>
      </c>
      <c r="W43" s="35">
        <v>169</v>
      </c>
      <c r="X43" s="19">
        <v>169</v>
      </c>
      <c r="Y43" s="35">
        <v>169</v>
      </c>
      <c r="Z43" s="35">
        <v>168</v>
      </c>
      <c r="AA43" s="19">
        <v>168</v>
      </c>
      <c r="AB43" s="35">
        <v>168</v>
      </c>
      <c r="AC43" s="35">
        <v>173</v>
      </c>
      <c r="AD43" s="19">
        <v>173</v>
      </c>
      <c r="AE43" s="35">
        <v>173</v>
      </c>
      <c r="AF43" s="35">
        <v>175</v>
      </c>
      <c r="AG43" s="19">
        <v>175</v>
      </c>
      <c r="AH43" s="35">
        <v>175</v>
      </c>
      <c r="AI43" s="35">
        <v>174</v>
      </c>
      <c r="AJ43">
        <v>174</v>
      </c>
      <c r="AK43" s="35">
        <v>174</v>
      </c>
    </row>
    <row r="44" spans="1:37">
      <c r="A44" s="30">
        <v>43</v>
      </c>
      <c r="B44">
        <v>165</v>
      </c>
      <c r="C44">
        <v>162</v>
      </c>
      <c r="D44">
        <v>163</v>
      </c>
      <c r="E44">
        <v>169</v>
      </c>
      <c r="F44">
        <v>164</v>
      </c>
      <c r="G44">
        <v>167</v>
      </c>
      <c r="H44">
        <v>165</v>
      </c>
      <c r="I44">
        <v>169</v>
      </c>
      <c r="J44">
        <v>172</v>
      </c>
      <c r="K44" s="15">
        <v>166</v>
      </c>
      <c r="L44">
        <v>168</v>
      </c>
      <c r="M44">
        <v>167</v>
      </c>
      <c r="N44" s="16">
        <v>165</v>
      </c>
      <c r="O44">
        <v>165</v>
      </c>
      <c r="P44" s="16">
        <v>165</v>
      </c>
      <c r="Q44" s="35">
        <v>170</v>
      </c>
      <c r="R44" s="19">
        <v>170</v>
      </c>
      <c r="S44" s="35">
        <v>170</v>
      </c>
      <c r="T44" s="16">
        <v>170</v>
      </c>
      <c r="U44">
        <v>170</v>
      </c>
      <c r="V44" s="35">
        <v>170</v>
      </c>
      <c r="W44" s="35">
        <v>171</v>
      </c>
      <c r="X44" s="19">
        <v>171</v>
      </c>
      <c r="Y44" s="35">
        <v>171</v>
      </c>
      <c r="Z44" s="35">
        <v>178</v>
      </c>
      <c r="AA44" s="19">
        <v>178</v>
      </c>
      <c r="AB44" s="35">
        <v>178</v>
      </c>
      <c r="AC44" s="35">
        <v>176</v>
      </c>
      <c r="AD44" s="19">
        <v>176</v>
      </c>
      <c r="AE44" s="35">
        <v>176</v>
      </c>
      <c r="AF44" s="35">
        <v>177</v>
      </c>
      <c r="AG44" s="19">
        <v>177</v>
      </c>
      <c r="AH44" s="35">
        <v>177</v>
      </c>
      <c r="AI44" s="35">
        <v>177</v>
      </c>
      <c r="AJ44">
        <v>177</v>
      </c>
      <c r="AK44" s="35">
        <v>177</v>
      </c>
    </row>
    <row r="45" spans="1:37">
      <c r="A45" s="30">
        <v>44</v>
      </c>
      <c r="B45">
        <v>255</v>
      </c>
      <c r="C45">
        <v>262</v>
      </c>
      <c r="D45">
        <v>262</v>
      </c>
      <c r="E45">
        <v>261</v>
      </c>
      <c r="F45">
        <v>264</v>
      </c>
      <c r="G45">
        <v>262</v>
      </c>
      <c r="H45">
        <v>264</v>
      </c>
      <c r="I45">
        <v>266</v>
      </c>
      <c r="J45">
        <v>263</v>
      </c>
      <c r="K45" s="15">
        <v>269</v>
      </c>
      <c r="L45">
        <v>268</v>
      </c>
      <c r="M45">
        <v>272</v>
      </c>
      <c r="N45" s="16">
        <v>277</v>
      </c>
      <c r="O45">
        <v>277</v>
      </c>
      <c r="P45" s="16">
        <v>277</v>
      </c>
      <c r="Q45" s="35">
        <v>276</v>
      </c>
      <c r="R45" s="19">
        <v>276</v>
      </c>
      <c r="S45" s="35">
        <v>276</v>
      </c>
      <c r="T45" s="16">
        <v>284</v>
      </c>
      <c r="U45">
        <v>284</v>
      </c>
      <c r="V45" s="35">
        <v>284</v>
      </c>
      <c r="W45" s="35">
        <v>279</v>
      </c>
      <c r="X45" s="19">
        <v>279</v>
      </c>
      <c r="Y45" s="35">
        <v>279</v>
      </c>
      <c r="Z45" s="35">
        <v>289</v>
      </c>
      <c r="AA45" s="19">
        <v>289</v>
      </c>
      <c r="AB45" s="35">
        <v>289</v>
      </c>
      <c r="AC45" s="35">
        <v>299</v>
      </c>
      <c r="AD45" s="19">
        <v>299</v>
      </c>
      <c r="AE45" s="35">
        <v>299</v>
      </c>
      <c r="AF45" s="35">
        <v>303</v>
      </c>
      <c r="AG45" s="19">
        <v>303</v>
      </c>
      <c r="AH45" s="35">
        <v>303</v>
      </c>
      <c r="AI45" s="35">
        <v>307</v>
      </c>
      <c r="AJ45">
        <v>307</v>
      </c>
      <c r="AK45" s="35">
        <v>307</v>
      </c>
    </row>
    <row r="46" spans="1:37">
      <c r="A46" s="30">
        <v>45</v>
      </c>
      <c r="B46">
        <v>278</v>
      </c>
      <c r="C46">
        <v>285</v>
      </c>
      <c r="D46">
        <v>280</v>
      </c>
      <c r="E46">
        <v>286</v>
      </c>
      <c r="F46">
        <v>288</v>
      </c>
      <c r="G46">
        <v>286</v>
      </c>
      <c r="H46">
        <v>284</v>
      </c>
      <c r="I46">
        <v>292</v>
      </c>
      <c r="J46">
        <v>286</v>
      </c>
      <c r="K46" s="15">
        <v>294</v>
      </c>
      <c r="L46">
        <v>291</v>
      </c>
      <c r="M46">
        <v>293</v>
      </c>
      <c r="N46" s="16">
        <v>303</v>
      </c>
      <c r="O46">
        <v>303</v>
      </c>
      <c r="P46" s="16">
        <v>303</v>
      </c>
      <c r="Q46" s="35">
        <v>295</v>
      </c>
      <c r="R46" s="19">
        <v>295</v>
      </c>
      <c r="S46" s="35">
        <v>295</v>
      </c>
      <c r="T46" s="16">
        <v>299</v>
      </c>
      <c r="U46">
        <v>299</v>
      </c>
      <c r="V46" s="35">
        <v>299</v>
      </c>
      <c r="W46" s="35">
        <v>307</v>
      </c>
      <c r="X46" s="19">
        <v>307</v>
      </c>
      <c r="Y46" s="35">
        <v>307</v>
      </c>
      <c r="Z46" s="35">
        <v>304</v>
      </c>
      <c r="AA46" s="19">
        <v>304</v>
      </c>
      <c r="AB46" s="35">
        <v>304</v>
      </c>
      <c r="AC46" s="35">
        <v>309</v>
      </c>
      <c r="AD46" s="19">
        <v>309</v>
      </c>
      <c r="AE46" s="35">
        <v>309</v>
      </c>
      <c r="AF46" s="35">
        <v>309</v>
      </c>
      <c r="AG46" s="19">
        <v>309</v>
      </c>
      <c r="AH46" s="35">
        <v>309</v>
      </c>
      <c r="AI46" s="35">
        <v>308</v>
      </c>
      <c r="AJ46">
        <v>308</v>
      </c>
      <c r="AK46" s="35">
        <v>308</v>
      </c>
    </row>
    <row r="47" spans="1:37">
      <c r="A47" s="30">
        <v>46</v>
      </c>
      <c r="B47">
        <v>434</v>
      </c>
      <c r="C47">
        <v>442</v>
      </c>
      <c r="D47">
        <v>445</v>
      </c>
      <c r="E47">
        <v>454</v>
      </c>
      <c r="F47">
        <v>448</v>
      </c>
      <c r="G47">
        <v>453</v>
      </c>
      <c r="H47">
        <v>456</v>
      </c>
      <c r="I47">
        <v>470</v>
      </c>
      <c r="J47">
        <v>471</v>
      </c>
      <c r="K47" s="15">
        <v>475</v>
      </c>
      <c r="L47">
        <v>481</v>
      </c>
      <c r="M47">
        <v>484</v>
      </c>
      <c r="N47" s="16">
        <v>489</v>
      </c>
      <c r="O47">
        <v>489</v>
      </c>
      <c r="P47" s="16">
        <v>489</v>
      </c>
      <c r="Q47" s="35">
        <v>494</v>
      </c>
      <c r="R47" s="19">
        <v>494</v>
      </c>
      <c r="S47" s="35">
        <v>494</v>
      </c>
      <c r="T47" s="16">
        <v>493</v>
      </c>
      <c r="U47">
        <v>493</v>
      </c>
      <c r="V47" s="35">
        <v>493</v>
      </c>
      <c r="W47" s="35">
        <v>500</v>
      </c>
      <c r="X47" s="19">
        <v>500</v>
      </c>
      <c r="Y47" s="35">
        <v>500</v>
      </c>
      <c r="Z47" s="35">
        <v>499</v>
      </c>
      <c r="AA47" s="19">
        <v>499</v>
      </c>
      <c r="AB47" s="35">
        <v>499</v>
      </c>
      <c r="AC47" s="35">
        <v>503</v>
      </c>
      <c r="AD47" s="19">
        <v>503</v>
      </c>
      <c r="AE47" s="35">
        <v>503</v>
      </c>
      <c r="AF47" s="35">
        <v>499</v>
      </c>
      <c r="AG47" s="19">
        <v>499</v>
      </c>
      <c r="AH47" s="35">
        <v>499</v>
      </c>
      <c r="AI47" s="35">
        <v>504</v>
      </c>
      <c r="AJ47">
        <v>504</v>
      </c>
      <c r="AK47" s="35">
        <v>504</v>
      </c>
    </row>
    <row r="48" spans="1:37">
      <c r="A48" s="30">
        <v>47</v>
      </c>
      <c r="B48">
        <v>327</v>
      </c>
      <c r="C48">
        <v>338</v>
      </c>
      <c r="D48">
        <v>334</v>
      </c>
      <c r="E48">
        <v>344</v>
      </c>
      <c r="F48">
        <v>342</v>
      </c>
      <c r="G48">
        <v>345</v>
      </c>
      <c r="H48">
        <v>345</v>
      </c>
      <c r="I48">
        <v>341</v>
      </c>
      <c r="J48">
        <v>347</v>
      </c>
      <c r="K48">
        <v>345</v>
      </c>
      <c r="L48">
        <v>349</v>
      </c>
      <c r="M48">
        <v>347</v>
      </c>
      <c r="N48" s="16">
        <v>343</v>
      </c>
      <c r="O48">
        <v>343</v>
      </c>
      <c r="P48" s="16">
        <v>343</v>
      </c>
      <c r="Q48" s="35">
        <v>347</v>
      </c>
      <c r="R48" s="19">
        <v>347</v>
      </c>
      <c r="S48" s="35">
        <v>347</v>
      </c>
      <c r="T48" s="16">
        <v>346</v>
      </c>
      <c r="U48">
        <v>346</v>
      </c>
      <c r="V48" s="35">
        <v>346</v>
      </c>
      <c r="W48" s="35">
        <v>354</v>
      </c>
      <c r="X48" s="19">
        <v>354</v>
      </c>
      <c r="Y48" s="35">
        <v>354</v>
      </c>
      <c r="Z48" s="35">
        <v>362</v>
      </c>
      <c r="AA48" s="19">
        <v>362</v>
      </c>
      <c r="AB48" s="35">
        <v>362</v>
      </c>
      <c r="AC48" s="35">
        <v>363</v>
      </c>
      <c r="AD48" s="19">
        <v>363</v>
      </c>
      <c r="AE48" s="35">
        <v>363</v>
      </c>
      <c r="AF48" s="35">
        <v>360</v>
      </c>
      <c r="AG48" s="19">
        <v>360</v>
      </c>
      <c r="AH48" s="35">
        <v>360</v>
      </c>
      <c r="AI48" s="35">
        <v>365</v>
      </c>
      <c r="AJ48">
        <v>365</v>
      </c>
      <c r="AK48" s="35">
        <v>365</v>
      </c>
    </row>
    <row r="49" spans="1:37">
      <c r="A49" s="30">
        <v>48</v>
      </c>
      <c r="B49">
        <v>571</v>
      </c>
      <c r="C49">
        <v>571</v>
      </c>
      <c r="D49">
        <v>583</v>
      </c>
      <c r="E49">
        <v>590</v>
      </c>
      <c r="F49">
        <v>595</v>
      </c>
      <c r="G49" s="12">
        <v>615</v>
      </c>
      <c r="H49" s="12">
        <v>589</v>
      </c>
      <c r="I49">
        <v>617</v>
      </c>
      <c r="J49">
        <v>612</v>
      </c>
      <c r="K49" s="15">
        <v>623</v>
      </c>
      <c r="L49">
        <v>626</v>
      </c>
      <c r="M49">
        <v>633</v>
      </c>
      <c r="N49" s="16">
        <v>648</v>
      </c>
      <c r="O49">
        <v>648</v>
      </c>
      <c r="P49" s="16">
        <v>648</v>
      </c>
      <c r="Q49" s="35">
        <v>669</v>
      </c>
      <c r="R49" s="19">
        <v>669</v>
      </c>
      <c r="S49" s="35">
        <v>669</v>
      </c>
      <c r="T49" s="16">
        <v>689</v>
      </c>
      <c r="U49">
        <v>689</v>
      </c>
      <c r="V49" s="35">
        <v>689</v>
      </c>
      <c r="W49" s="35">
        <v>695</v>
      </c>
      <c r="X49" s="19">
        <v>695</v>
      </c>
      <c r="Y49" s="35">
        <v>695</v>
      </c>
      <c r="Z49" s="35">
        <v>704</v>
      </c>
      <c r="AA49" s="19">
        <v>704</v>
      </c>
      <c r="AB49" s="35">
        <v>704</v>
      </c>
      <c r="AC49" s="35">
        <v>715</v>
      </c>
      <c r="AD49" s="19">
        <v>715</v>
      </c>
      <c r="AE49" s="35">
        <v>715</v>
      </c>
      <c r="AF49" s="35">
        <v>728</v>
      </c>
      <c r="AG49" s="19">
        <v>728</v>
      </c>
      <c r="AH49" s="35">
        <v>728</v>
      </c>
      <c r="AI49" s="35">
        <v>747</v>
      </c>
      <c r="AJ49">
        <v>747</v>
      </c>
      <c r="AK49" s="35">
        <v>747</v>
      </c>
    </row>
    <row r="50" spans="1:37">
      <c r="A50" s="30">
        <v>49</v>
      </c>
      <c r="B50">
        <v>543</v>
      </c>
      <c r="C50">
        <v>542</v>
      </c>
      <c r="D50">
        <v>543</v>
      </c>
      <c r="E50">
        <v>542</v>
      </c>
      <c r="F50">
        <v>558</v>
      </c>
      <c r="G50">
        <v>553</v>
      </c>
      <c r="H50">
        <v>558</v>
      </c>
      <c r="I50">
        <v>565</v>
      </c>
      <c r="J50">
        <v>561</v>
      </c>
      <c r="K50" s="15">
        <v>565</v>
      </c>
      <c r="L50">
        <v>574</v>
      </c>
      <c r="M50">
        <v>578</v>
      </c>
      <c r="N50" s="16">
        <v>591</v>
      </c>
      <c r="O50">
        <v>591</v>
      </c>
      <c r="P50" s="16">
        <v>591</v>
      </c>
      <c r="Q50" s="35">
        <v>606</v>
      </c>
      <c r="R50" s="19">
        <v>606</v>
      </c>
      <c r="S50" s="35">
        <v>606</v>
      </c>
      <c r="T50" s="16">
        <v>626</v>
      </c>
      <c r="U50">
        <v>626</v>
      </c>
      <c r="V50" s="35">
        <v>626</v>
      </c>
      <c r="W50" s="35">
        <v>622</v>
      </c>
      <c r="X50" s="19">
        <v>622</v>
      </c>
      <c r="Y50" s="35">
        <v>622</v>
      </c>
      <c r="Z50" s="35">
        <v>632</v>
      </c>
      <c r="AA50" s="19">
        <v>632</v>
      </c>
      <c r="AB50" s="35">
        <v>632</v>
      </c>
      <c r="AC50" s="35">
        <v>634</v>
      </c>
      <c r="AD50" s="19">
        <v>634</v>
      </c>
      <c r="AE50" s="35">
        <v>634</v>
      </c>
      <c r="AF50" s="35">
        <v>647</v>
      </c>
      <c r="AG50" s="19">
        <v>647</v>
      </c>
      <c r="AH50" s="35">
        <v>647</v>
      </c>
      <c r="AI50" s="35">
        <v>654</v>
      </c>
      <c r="AJ50">
        <v>654</v>
      </c>
      <c r="AK50" s="35">
        <v>654</v>
      </c>
    </row>
    <row r="51" spans="1:37">
      <c r="A51" s="30">
        <v>50</v>
      </c>
      <c r="B51">
        <v>323</v>
      </c>
      <c r="C51">
        <v>329</v>
      </c>
      <c r="D51">
        <v>319</v>
      </c>
      <c r="E51">
        <v>331</v>
      </c>
      <c r="F51">
        <v>326</v>
      </c>
      <c r="G51">
        <v>324</v>
      </c>
      <c r="H51">
        <v>332</v>
      </c>
      <c r="I51">
        <v>325</v>
      </c>
      <c r="J51">
        <v>330</v>
      </c>
      <c r="K51">
        <v>324</v>
      </c>
      <c r="L51">
        <v>340</v>
      </c>
      <c r="M51">
        <v>341</v>
      </c>
      <c r="N51" s="16">
        <v>333</v>
      </c>
      <c r="O51">
        <v>333</v>
      </c>
      <c r="P51" s="16">
        <v>333</v>
      </c>
      <c r="Q51" s="35">
        <v>330</v>
      </c>
      <c r="R51" s="19">
        <v>330</v>
      </c>
      <c r="S51" s="35">
        <v>330</v>
      </c>
      <c r="T51" s="16">
        <v>353</v>
      </c>
      <c r="U51">
        <v>353</v>
      </c>
      <c r="V51" s="35">
        <v>353</v>
      </c>
      <c r="W51" s="35">
        <v>354</v>
      </c>
      <c r="X51" s="19">
        <v>354</v>
      </c>
      <c r="Y51" s="35">
        <v>354</v>
      </c>
      <c r="Z51" s="35">
        <v>353</v>
      </c>
      <c r="AA51" s="19">
        <v>353</v>
      </c>
      <c r="AB51" s="35">
        <v>353</v>
      </c>
      <c r="AC51" s="35">
        <v>369</v>
      </c>
      <c r="AD51" s="19">
        <v>369</v>
      </c>
      <c r="AE51" s="35">
        <v>369</v>
      </c>
      <c r="AF51" s="35">
        <v>365</v>
      </c>
      <c r="AG51" s="19">
        <v>365</v>
      </c>
      <c r="AH51" s="35">
        <v>365</v>
      </c>
      <c r="AI51" s="35">
        <v>359</v>
      </c>
      <c r="AJ51">
        <v>359</v>
      </c>
      <c r="AK51" s="35">
        <v>359</v>
      </c>
    </row>
    <row r="52" spans="1:37">
      <c r="A52" s="30">
        <v>51</v>
      </c>
      <c r="B52">
        <v>252</v>
      </c>
      <c r="C52">
        <v>260</v>
      </c>
      <c r="D52">
        <v>265</v>
      </c>
      <c r="E52">
        <v>267</v>
      </c>
      <c r="F52">
        <v>267</v>
      </c>
      <c r="G52">
        <v>268</v>
      </c>
      <c r="H52">
        <v>270</v>
      </c>
      <c r="I52">
        <v>271</v>
      </c>
      <c r="J52">
        <v>272</v>
      </c>
      <c r="K52">
        <v>267</v>
      </c>
      <c r="L52">
        <v>270</v>
      </c>
      <c r="M52">
        <v>260</v>
      </c>
      <c r="N52" s="16">
        <v>271</v>
      </c>
      <c r="O52">
        <v>271</v>
      </c>
      <c r="P52" s="16">
        <v>271</v>
      </c>
      <c r="Q52" s="35">
        <v>276</v>
      </c>
      <c r="R52" s="19">
        <v>276</v>
      </c>
      <c r="S52" s="35">
        <v>276</v>
      </c>
      <c r="T52" s="16">
        <v>281</v>
      </c>
      <c r="U52">
        <v>281</v>
      </c>
      <c r="V52" s="35">
        <v>281</v>
      </c>
      <c r="W52" s="35">
        <v>282</v>
      </c>
      <c r="X52" s="19">
        <v>282</v>
      </c>
      <c r="Y52" s="35">
        <v>282</v>
      </c>
      <c r="Z52" s="35">
        <v>282</v>
      </c>
      <c r="AA52" s="19">
        <v>282</v>
      </c>
      <c r="AB52" s="35">
        <v>282</v>
      </c>
      <c r="AC52" s="35">
        <v>288</v>
      </c>
      <c r="AD52" s="19">
        <v>288</v>
      </c>
      <c r="AE52" s="35">
        <v>288</v>
      </c>
      <c r="AF52" s="35">
        <v>289</v>
      </c>
      <c r="AG52" s="19">
        <v>289</v>
      </c>
      <c r="AH52" s="35">
        <v>289</v>
      </c>
      <c r="AI52" s="35">
        <v>291</v>
      </c>
      <c r="AJ52">
        <v>291</v>
      </c>
      <c r="AK52" s="35">
        <v>291</v>
      </c>
    </row>
    <row r="53" spans="1:37">
      <c r="A53" s="30">
        <v>52</v>
      </c>
      <c r="B53">
        <v>163</v>
      </c>
      <c r="C53">
        <v>170</v>
      </c>
      <c r="D53">
        <v>166</v>
      </c>
      <c r="E53">
        <v>169</v>
      </c>
      <c r="F53">
        <v>167</v>
      </c>
      <c r="G53">
        <v>166</v>
      </c>
      <c r="H53">
        <v>167</v>
      </c>
      <c r="I53">
        <v>168</v>
      </c>
      <c r="J53">
        <v>165</v>
      </c>
      <c r="K53" s="15">
        <v>168</v>
      </c>
      <c r="L53">
        <v>169</v>
      </c>
      <c r="M53">
        <v>168</v>
      </c>
      <c r="N53" s="16">
        <v>167</v>
      </c>
      <c r="O53">
        <v>167</v>
      </c>
      <c r="P53" s="16">
        <v>167</v>
      </c>
      <c r="Q53" s="35">
        <v>170</v>
      </c>
      <c r="R53" s="19">
        <v>170</v>
      </c>
      <c r="S53" s="35">
        <v>170</v>
      </c>
      <c r="T53" s="16">
        <v>173</v>
      </c>
      <c r="U53">
        <v>173</v>
      </c>
      <c r="V53" s="35">
        <v>173</v>
      </c>
      <c r="W53" s="35">
        <v>173</v>
      </c>
      <c r="X53" s="19">
        <v>173</v>
      </c>
      <c r="Y53" s="35">
        <v>173</v>
      </c>
      <c r="Z53" s="35">
        <v>172</v>
      </c>
      <c r="AA53" s="19">
        <v>172</v>
      </c>
      <c r="AB53" s="35">
        <v>172</v>
      </c>
      <c r="AC53" s="35">
        <v>176</v>
      </c>
      <c r="AD53" s="19">
        <v>176</v>
      </c>
      <c r="AE53" s="35">
        <v>176</v>
      </c>
      <c r="AF53" s="35">
        <v>179</v>
      </c>
      <c r="AG53" s="19">
        <v>179</v>
      </c>
      <c r="AH53" s="35">
        <v>179</v>
      </c>
      <c r="AI53" s="35">
        <v>174</v>
      </c>
      <c r="AJ53">
        <v>174</v>
      </c>
      <c r="AK53" s="35">
        <v>174</v>
      </c>
    </row>
    <row r="54" spans="1:37">
      <c r="A54" s="30">
        <v>53</v>
      </c>
      <c r="B54">
        <v>460</v>
      </c>
      <c r="C54">
        <v>464</v>
      </c>
      <c r="D54">
        <v>468</v>
      </c>
      <c r="E54">
        <v>475</v>
      </c>
      <c r="F54">
        <v>472</v>
      </c>
      <c r="G54">
        <v>474</v>
      </c>
      <c r="H54">
        <v>481</v>
      </c>
      <c r="I54">
        <v>485</v>
      </c>
      <c r="J54">
        <v>485</v>
      </c>
      <c r="K54" s="15">
        <v>479</v>
      </c>
      <c r="L54">
        <v>479</v>
      </c>
      <c r="M54">
        <v>480</v>
      </c>
      <c r="N54" s="16">
        <v>485</v>
      </c>
      <c r="O54">
        <v>485</v>
      </c>
      <c r="P54" s="16">
        <v>485</v>
      </c>
      <c r="Q54" s="35">
        <v>495</v>
      </c>
      <c r="R54" s="19">
        <v>495</v>
      </c>
      <c r="S54" s="35">
        <v>495</v>
      </c>
      <c r="T54" s="16">
        <v>509</v>
      </c>
      <c r="U54">
        <v>509</v>
      </c>
      <c r="V54" s="35">
        <v>509</v>
      </c>
      <c r="W54" s="35">
        <v>515</v>
      </c>
      <c r="X54" s="19">
        <v>515</v>
      </c>
      <c r="Y54" s="35">
        <v>515</v>
      </c>
      <c r="Z54" s="35">
        <v>522</v>
      </c>
      <c r="AA54" s="19">
        <v>522</v>
      </c>
      <c r="AB54" s="35">
        <v>522</v>
      </c>
      <c r="AC54" s="35">
        <v>535</v>
      </c>
      <c r="AD54" s="19">
        <v>535</v>
      </c>
      <c r="AE54" s="35">
        <v>535</v>
      </c>
      <c r="AF54" s="35">
        <v>540</v>
      </c>
      <c r="AG54" s="19">
        <v>540</v>
      </c>
      <c r="AH54" s="35">
        <v>540</v>
      </c>
      <c r="AI54" s="35">
        <v>539</v>
      </c>
      <c r="AJ54">
        <v>539</v>
      </c>
      <c r="AK54" s="35">
        <v>539</v>
      </c>
    </row>
    <row r="55" spans="1:37">
      <c r="A55" s="30">
        <v>54</v>
      </c>
      <c r="B55">
        <v>277</v>
      </c>
      <c r="C55">
        <v>282</v>
      </c>
      <c r="D55">
        <v>277</v>
      </c>
      <c r="E55">
        <v>287</v>
      </c>
      <c r="F55">
        <v>289</v>
      </c>
      <c r="G55">
        <v>289</v>
      </c>
      <c r="H55">
        <v>287</v>
      </c>
      <c r="I55">
        <v>287</v>
      </c>
      <c r="J55">
        <v>292</v>
      </c>
      <c r="K55">
        <v>295</v>
      </c>
      <c r="L55">
        <v>290</v>
      </c>
      <c r="M55">
        <v>294</v>
      </c>
      <c r="N55" s="16">
        <v>295</v>
      </c>
      <c r="O55">
        <v>295</v>
      </c>
      <c r="P55" s="16">
        <v>295</v>
      </c>
      <c r="Q55" s="35">
        <v>295</v>
      </c>
      <c r="R55" s="19">
        <v>295</v>
      </c>
      <c r="S55" s="35">
        <v>295</v>
      </c>
      <c r="T55" s="16">
        <v>299</v>
      </c>
      <c r="U55">
        <v>299</v>
      </c>
      <c r="V55" s="35">
        <v>299</v>
      </c>
      <c r="W55" s="35">
        <v>304</v>
      </c>
      <c r="X55" s="19">
        <v>304</v>
      </c>
      <c r="Y55" s="35">
        <v>304</v>
      </c>
      <c r="Z55" s="35">
        <v>311</v>
      </c>
      <c r="AA55" s="19">
        <v>311</v>
      </c>
      <c r="AB55" s="35">
        <v>311</v>
      </c>
      <c r="AC55" s="35">
        <v>309</v>
      </c>
      <c r="AD55" s="19">
        <v>309</v>
      </c>
      <c r="AE55" s="35">
        <v>309</v>
      </c>
      <c r="AF55" s="35">
        <v>308</v>
      </c>
      <c r="AG55" s="19">
        <v>308</v>
      </c>
      <c r="AH55" s="35">
        <v>308</v>
      </c>
      <c r="AI55" s="35">
        <v>304</v>
      </c>
      <c r="AJ55">
        <v>304</v>
      </c>
      <c r="AK55" s="35">
        <v>304</v>
      </c>
    </row>
    <row r="56" spans="1:37">
      <c r="A56" s="30">
        <v>55</v>
      </c>
      <c r="B56">
        <v>180</v>
      </c>
      <c r="C56">
        <v>178</v>
      </c>
      <c r="D56">
        <v>183</v>
      </c>
      <c r="E56">
        <v>182</v>
      </c>
      <c r="F56">
        <v>184</v>
      </c>
      <c r="G56">
        <v>180</v>
      </c>
      <c r="H56">
        <v>181</v>
      </c>
      <c r="I56">
        <v>184</v>
      </c>
      <c r="J56">
        <v>181</v>
      </c>
      <c r="K56">
        <v>180</v>
      </c>
      <c r="L56">
        <v>183</v>
      </c>
      <c r="M56">
        <v>182</v>
      </c>
      <c r="N56" s="16">
        <v>185</v>
      </c>
      <c r="O56">
        <v>185</v>
      </c>
      <c r="P56" s="16">
        <v>185</v>
      </c>
      <c r="Q56" s="35">
        <v>183</v>
      </c>
      <c r="R56" s="19">
        <v>183</v>
      </c>
      <c r="S56" s="35">
        <v>183</v>
      </c>
      <c r="T56" s="16">
        <v>186</v>
      </c>
      <c r="U56">
        <v>186</v>
      </c>
      <c r="V56" s="35">
        <v>186</v>
      </c>
      <c r="W56" s="35">
        <v>185</v>
      </c>
      <c r="X56" s="19">
        <v>185</v>
      </c>
      <c r="Y56" s="35">
        <v>185</v>
      </c>
      <c r="Z56" s="35">
        <v>191</v>
      </c>
      <c r="AA56" s="19">
        <v>191</v>
      </c>
      <c r="AB56" s="35">
        <v>191</v>
      </c>
      <c r="AC56" s="35">
        <v>190</v>
      </c>
      <c r="AD56" s="19">
        <v>190</v>
      </c>
      <c r="AE56" s="35">
        <v>190</v>
      </c>
      <c r="AF56" s="35">
        <v>190</v>
      </c>
      <c r="AG56" s="19">
        <v>190</v>
      </c>
      <c r="AH56" s="35">
        <v>190</v>
      </c>
      <c r="AI56" s="35">
        <v>194</v>
      </c>
      <c r="AJ56">
        <v>194</v>
      </c>
      <c r="AK56" s="35">
        <v>194</v>
      </c>
    </row>
    <row r="57" spans="1:37">
      <c r="A57" s="30">
        <v>56</v>
      </c>
      <c r="B57">
        <v>289</v>
      </c>
      <c r="C57">
        <v>289</v>
      </c>
      <c r="D57">
        <v>290</v>
      </c>
      <c r="E57">
        <v>304</v>
      </c>
      <c r="F57">
        <v>295</v>
      </c>
      <c r="G57">
        <v>294</v>
      </c>
      <c r="H57">
        <v>296</v>
      </c>
      <c r="I57">
        <v>294</v>
      </c>
      <c r="J57" s="12">
        <v>268</v>
      </c>
      <c r="K57">
        <v>272</v>
      </c>
      <c r="L57">
        <v>279</v>
      </c>
      <c r="M57">
        <v>281</v>
      </c>
      <c r="N57" s="16">
        <v>294</v>
      </c>
      <c r="O57">
        <v>294</v>
      </c>
      <c r="P57" s="16">
        <v>294</v>
      </c>
      <c r="Q57" s="35">
        <v>301</v>
      </c>
      <c r="R57" s="19">
        <v>301</v>
      </c>
      <c r="S57" s="35">
        <v>301</v>
      </c>
      <c r="T57" s="16">
        <v>306</v>
      </c>
      <c r="U57">
        <v>306</v>
      </c>
      <c r="V57" s="35">
        <v>306</v>
      </c>
      <c r="W57" s="35">
        <v>316</v>
      </c>
      <c r="X57" s="19">
        <v>316</v>
      </c>
      <c r="Y57" s="35">
        <v>316</v>
      </c>
      <c r="Z57" s="35">
        <v>321</v>
      </c>
      <c r="AA57" s="19">
        <v>321</v>
      </c>
      <c r="AB57" s="35">
        <v>321</v>
      </c>
      <c r="AC57" s="35">
        <v>330</v>
      </c>
      <c r="AD57" s="19">
        <v>330</v>
      </c>
      <c r="AE57" s="35">
        <v>330</v>
      </c>
      <c r="AF57" s="35">
        <v>332</v>
      </c>
      <c r="AG57" s="19">
        <v>332</v>
      </c>
      <c r="AH57" s="35">
        <v>332</v>
      </c>
      <c r="AI57" s="35">
        <v>334</v>
      </c>
      <c r="AJ57">
        <v>334</v>
      </c>
      <c r="AK57" s="35">
        <v>334</v>
      </c>
    </row>
    <row r="58" spans="1:37">
      <c r="A58" s="30">
        <v>57</v>
      </c>
      <c r="B58">
        <v>295</v>
      </c>
      <c r="C58">
        <v>288</v>
      </c>
      <c r="D58">
        <v>294</v>
      </c>
      <c r="E58">
        <v>294</v>
      </c>
      <c r="F58">
        <v>298</v>
      </c>
      <c r="G58">
        <v>297</v>
      </c>
      <c r="H58">
        <v>295</v>
      </c>
      <c r="I58">
        <v>299</v>
      </c>
      <c r="J58">
        <v>306</v>
      </c>
      <c r="K58">
        <v>296</v>
      </c>
      <c r="L58">
        <v>303</v>
      </c>
      <c r="M58">
        <v>301</v>
      </c>
      <c r="N58" s="16">
        <v>308</v>
      </c>
      <c r="O58">
        <v>308</v>
      </c>
      <c r="P58" s="16">
        <v>308</v>
      </c>
      <c r="Q58" s="35">
        <v>317</v>
      </c>
      <c r="R58" s="19">
        <v>317</v>
      </c>
      <c r="S58" s="35">
        <v>317</v>
      </c>
      <c r="T58" s="16">
        <v>339</v>
      </c>
      <c r="U58">
        <v>339</v>
      </c>
      <c r="V58" s="35">
        <v>339</v>
      </c>
      <c r="W58" s="35">
        <v>323</v>
      </c>
      <c r="X58" s="19">
        <v>323</v>
      </c>
      <c r="Y58" s="35">
        <v>323</v>
      </c>
      <c r="Z58" s="35">
        <v>328</v>
      </c>
      <c r="AA58" s="19">
        <v>328</v>
      </c>
      <c r="AB58" s="35">
        <v>328</v>
      </c>
      <c r="AC58" s="35">
        <v>327</v>
      </c>
      <c r="AD58" s="19">
        <v>327</v>
      </c>
      <c r="AE58" s="35">
        <v>327</v>
      </c>
      <c r="AF58" s="35">
        <v>342</v>
      </c>
      <c r="AG58" s="19">
        <v>342</v>
      </c>
      <c r="AH58" s="35">
        <v>342</v>
      </c>
      <c r="AI58" s="35">
        <v>358</v>
      </c>
      <c r="AJ58">
        <v>358</v>
      </c>
      <c r="AK58" s="35">
        <v>358</v>
      </c>
    </row>
    <row r="59" spans="1:37">
      <c r="A59" s="30">
        <v>58</v>
      </c>
      <c r="B59">
        <v>495</v>
      </c>
      <c r="C59">
        <v>490</v>
      </c>
      <c r="D59">
        <v>497</v>
      </c>
      <c r="E59">
        <v>515</v>
      </c>
      <c r="F59">
        <v>517</v>
      </c>
      <c r="G59">
        <v>522</v>
      </c>
      <c r="H59">
        <v>531</v>
      </c>
      <c r="I59">
        <v>536</v>
      </c>
      <c r="J59">
        <v>537</v>
      </c>
      <c r="K59">
        <v>543</v>
      </c>
      <c r="L59">
        <v>547</v>
      </c>
      <c r="M59">
        <v>552</v>
      </c>
      <c r="N59" s="16">
        <v>559</v>
      </c>
      <c r="O59">
        <v>559</v>
      </c>
      <c r="P59" s="16">
        <v>559</v>
      </c>
      <c r="Q59" s="35">
        <v>566</v>
      </c>
      <c r="R59" s="19">
        <v>566</v>
      </c>
      <c r="S59" s="35">
        <v>566</v>
      </c>
      <c r="T59" s="16">
        <v>581</v>
      </c>
      <c r="U59">
        <v>581</v>
      </c>
      <c r="V59" s="35">
        <v>581</v>
      </c>
      <c r="W59" s="35">
        <v>588</v>
      </c>
      <c r="X59" s="19">
        <v>588</v>
      </c>
      <c r="Y59" s="35">
        <v>588</v>
      </c>
      <c r="Z59" s="35">
        <v>594</v>
      </c>
      <c r="AA59" s="19">
        <v>594</v>
      </c>
      <c r="AB59" s="35">
        <v>594</v>
      </c>
      <c r="AC59" s="35">
        <v>599</v>
      </c>
      <c r="AD59" s="19">
        <v>599</v>
      </c>
      <c r="AE59" s="35">
        <v>599</v>
      </c>
      <c r="AF59" s="35">
        <v>607</v>
      </c>
      <c r="AG59" s="19">
        <v>607</v>
      </c>
      <c r="AH59" s="35">
        <v>607</v>
      </c>
      <c r="AI59" s="35">
        <v>609</v>
      </c>
      <c r="AJ59">
        <v>609</v>
      </c>
      <c r="AK59" s="35">
        <v>609</v>
      </c>
    </row>
    <row r="60" spans="1:37">
      <c r="A60" s="30">
        <v>59</v>
      </c>
      <c r="B60">
        <v>263</v>
      </c>
      <c r="C60">
        <v>262</v>
      </c>
      <c r="D60">
        <v>254</v>
      </c>
      <c r="E60">
        <v>261</v>
      </c>
      <c r="F60">
        <v>270</v>
      </c>
      <c r="G60">
        <v>265</v>
      </c>
      <c r="H60">
        <v>263</v>
      </c>
      <c r="I60">
        <v>268</v>
      </c>
      <c r="J60">
        <v>268</v>
      </c>
      <c r="K60">
        <v>273</v>
      </c>
      <c r="L60">
        <v>270</v>
      </c>
      <c r="M60">
        <v>273</v>
      </c>
      <c r="N60" s="16">
        <v>271</v>
      </c>
      <c r="O60">
        <v>271</v>
      </c>
      <c r="P60" s="16">
        <v>271</v>
      </c>
      <c r="Q60" s="35">
        <v>270</v>
      </c>
      <c r="R60" s="19">
        <v>270</v>
      </c>
      <c r="S60" s="35">
        <v>270</v>
      </c>
      <c r="T60" s="16">
        <v>275</v>
      </c>
      <c r="U60">
        <v>275</v>
      </c>
      <c r="V60" s="35">
        <v>275</v>
      </c>
      <c r="W60" s="35">
        <v>282</v>
      </c>
      <c r="X60" s="19">
        <v>282</v>
      </c>
      <c r="Y60" s="35">
        <v>282</v>
      </c>
      <c r="Z60" s="35">
        <v>277</v>
      </c>
      <c r="AA60" s="19">
        <v>277</v>
      </c>
      <c r="AB60" s="35">
        <v>277</v>
      </c>
      <c r="AC60" s="35">
        <v>275</v>
      </c>
      <c r="AD60" s="19">
        <v>275</v>
      </c>
      <c r="AE60" s="35">
        <v>275</v>
      </c>
      <c r="AF60" s="35">
        <v>280</v>
      </c>
      <c r="AG60" s="19">
        <v>280</v>
      </c>
      <c r="AH60" s="35">
        <v>280</v>
      </c>
      <c r="AI60" s="35">
        <v>277</v>
      </c>
      <c r="AJ60">
        <v>277</v>
      </c>
      <c r="AK60" s="35">
        <v>277</v>
      </c>
    </row>
    <row r="61" spans="1:37">
      <c r="A61" s="30">
        <v>60</v>
      </c>
      <c r="B61">
        <v>486</v>
      </c>
      <c r="C61">
        <v>489</v>
      </c>
      <c r="D61">
        <v>491</v>
      </c>
      <c r="E61">
        <v>500</v>
      </c>
      <c r="F61">
        <v>503</v>
      </c>
      <c r="G61">
        <v>503</v>
      </c>
      <c r="H61">
        <v>512</v>
      </c>
      <c r="I61">
        <v>512</v>
      </c>
      <c r="J61">
        <v>516</v>
      </c>
      <c r="K61">
        <v>524</v>
      </c>
      <c r="L61">
        <v>531</v>
      </c>
      <c r="M61">
        <v>534</v>
      </c>
      <c r="N61" s="16">
        <v>544</v>
      </c>
      <c r="O61">
        <v>544</v>
      </c>
      <c r="P61" s="16">
        <v>544</v>
      </c>
      <c r="Q61" s="35">
        <v>555</v>
      </c>
      <c r="R61" s="19">
        <v>555</v>
      </c>
      <c r="S61" s="35">
        <v>555</v>
      </c>
      <c r="T61" s="16">
        <v>557</v>
      </c>
      <c r="U61">
        <v>557</v>
      </c>
      <c r="V61" s="35">
        <v>557</v>
      </c>
      <c r="W61" s="35">
        <v>567</v>
      </c>
      <c r="X61" s="19">
        <v>567</v>
      </c>
      <c r="Y61" s="35">
        <v>567</v>
      </c>
      <c r="Z61" s="35">
        <v>573</v>
      </c>
      <c r="AA61" s="19">
        <v>573</v>
      </c>
      <c r="AB61" s="35">
        <v>573</v>
      </c>
      <c r="AC61" s="35">
        <v>578</v>
      </c>
      <c r="AD61" s="19">
        <v>578</v>
      </c>
      <c r="AE61" s="35">
        <v>578</v>
      </c>
      <c r="AF61" s="35">
        <v>582</v>
      </c>
      <c r="AG61" s="19">
        <v>582</v>
      </c>
      <c r="AH61" s="35">
        <v>582</v>
      </c>
      <c r="AI61" s="35">
        <v>594</v>
      </c>
      <c r="AJ61">
        <v>594</v>
      </c>
      <c r="AK61" s="35">
        <v>594</v>
      </c>
    </row>
    <row r="63" spans="1:37">
      <c r="A63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BB7B-B015-4812-912B-F1254222FB6E}">
  <dimension ref="A1:AK65"/>
  <sheetViews>
    <sheetView zoomScale="93" workbookViewId="0">
      <pane xSplit="1" topLeftCell="B1" activePane="topRight" state="frozen"/>
      <selection activeCell="A14" sqref="A14"/>
      <selection pane="topRight" sqref="A1:XFD1"/>
    </sheetView>
  </sheetViews>
  <sheetFormatPr defaultColWidth="7.453125" defaultRowHeight="14.5"/>
  <cols>
    <col min="1" max="1" width="14.453125" customWidth="1"/>
    <col min="2" max="4" width="8.7265625" bestFit="1" customWidth="1"/>
    <col min="5" max="13" width="9.7265625" bestFit="1" customWidth="1"/>
    <col min="14" max="17" width="8.7265625" bestFit="1" customWidth="1"/>
    <col min="18" max="30" width="9.7265625" bestFit="1" customWidth="1"/>
    <col min="31" max="37" width="10.81640625" bestFit="1" customWidth="1"/>
  </cols>
  <sheetData>
    <row r="1" spans="1:37" s="3" customFormat="1">
      <c r="A1" s="3" t="s">
        <v>1</v>
      </c>
      <c r="B1" s="45">
        <v>45873</v>
      </c>
      <c r="C1" s="45">
        <v>45875</v>
      </c>
      <c r="D1" s="45">
        <v>45877</v>
      </c>
      <c r="E1" s="45">
        <v>45880</v>
      </c>
      <c r="F1" s="45">
        <v>45882</v>
      </c>
      <c r="G1" s="45">
        <v>45884</v>
      </c>
      <c r="H1" s="45">
        <v>45887</v>
      </c>
      <c r="I1" s="45">
        <v>45889</v>
      </c>
      <c r="J1" s="45">
        <v>45891</v>
      </c>
      <c r="K1" s="45">
        <v>45894</v>
      </c>
      <c r="L1" s="45">
        <v>45896</v>
      </c>
      <c r="M1" s="45">
        <v>45898</v>
      </c>
      <c r="N1" s="45">
        <v>45901</v>
      </c>
      <c r="O1" s="45">
        <v>45903</v>
      </c>
      <c r="P1" s="45">
        <v>45905</v>
      </c>
      <c r="Q1" s="45">
        <v>45908</v>
      </c>
      <c r="R1" s="45">
        <v>45910</v>
      </c>
      <c r="S1" s="45">
        <v>45912</v>
      </c>
      <c r="T1" s="45">
        <v>45915</v>
      </c>
      <c r="U1" s="45">
        <v>45917</v>
      </c>
      <c r="V1" s="45">
        <v>45919</v>
      </c>
      <c r="W1" s="45">
        <v>45922</v>
      </c>
      <c r="X1" s="45">
        <v>45924</v>
      </c>
      <c r="Y1" s="45">
        <v>45926</v>
      </c>
      <c r="Z1" s="45">
        <v>45929</v>
      </c>
      <c r="AA1" s="45">
        <v>45931</v>
      </c>
      <c r="AB1" s="45">
        <v>45933</v>
      </c>
      <c r="AC1" s="45">
        <v>45936</v>
      </c>
      <c r="AD1" s="45">
        <v>45938</v>
      </c>
      <c r="AE1" s="45">
        <v>45940</v>
      </c>
      <c r="AF1" s="45">
        <v>45943</v>
      </c>
      <c r="AG1" s="45">
        <v>45945</v>
      </c>
      <c r="AH1" s="45">
        <v>45947</v>
      </c>
      <c r="AI1" s="45">
        <v>45950</v>
      </c>
      <c r="AJ1" s="45">
        <v>45952</v>
      </c>
      <c r="AK1" s="45">
        <v>45954</v>
      </c>
    </row>
    <row r="2" spans="1:37">
      <c r="A2" s="1">
        <v>1</v>
      </c>
      <c r="B2" s="2">
        <v>470.5</v>
      </c>
      <c r="C2">
        <v>469.1</v>
      </c>
      <c r="D2">
        <v>460.7</v>
      </c>
      <c r="E2">
        <v>450.7</v>
      </c>
      <c r="F2">
        <v>469.5</v>
      </c>
      <c r="G2">
        <v>483.2</v>
      </c>
      <c r="H2">
        <v>471</v>
      </c>
      <c r="I2">
        <v>476.6</v>
      </c>
      <c r="J2">
        <v>463.8</v>
      </c>
      <c r="K2" s="15">
        <v>478.6</v>
      </c>
      <c r="L2">
        <v>463.3</v>
      </c>
      <c r="M2">
        <v>482.7</v>
      </c>
      <c r="N2">
        <v>469.4</v>
      </c>
      <c r="O2">
        <v>456.5</v>
      </c>
      <c r="P2">
        <v>464.6</v>
      </c>
      <c r="Q2">
        <v>448.9</v>
      </c>
      <c r="R2">
        <v>470.1</v>
      </c>
      <c r="S2">
        <v>470.2</v>
      </c>
      <c r="T2" s="10">
        <v>474.1</v>
      </c>
      <c r="U2" s="10">
        <v>474.9</v>
      </c>
      <c r="V2">
        <v>463.5</v>
      </c>
      <c r="W2">
        <v>481</v>
      </c>
      <c r="X2" s="10">
        <v>468.7</v>
      </c>
      <c r="Y2">
        <v>457.4</v>
      </c>
      <c r="Z2" s="10">
        <v>486.2</v>
      </c>
      <c r="AA2" s="10">
        <v>475.5</v>
      </c>
      <c r="AB2">
        <v>475.7</v>
      </c>
      <c r="AC2" s="10">
        <v>480.5</v>
      </c>
      <c r="AD2" s="10">
        <v>470.2</v>
      </c>
      <c r="AE2">
        <v>475.4</v>
      </c>
      <c r="AF2" s="10">
        <v>476.7</v>
      </c>
      <c r="AG2" s="10">
        <v>464.8</v>
      </c>
      <c r="AH2">
        <v>476</v>
      </c>
      <c r="AI2" s="10">
        <v>460.5</v>
      </c>
      <c r="AJ2">
        <v>472.8</v>
      </c>
      <c r="AK2">
        <v>461.3</v>
      </c>
    </row>
    <row r="3" spans="1:37">
      <c r="A3" s="1">
        <v>2</v>
      </c>
      <c r="B3">
        <v>459.7</v>
      </c>
      <c r="C3">
        <v>459.6</v>
      </c>
      <c r="D3">
        <v>458.8</v>
      </c>
      <c r="E3">
        <v>457.9</v>
      </c>
      <c r="F3">
        <v>473.3</v>
      </c>
      <c r="G3">
        <v>469</v>
      </c>
      <c r="H3">
        <v>473.1</v>
      </c>
      <c r="I3">
        <v>477.9</v>
      </c>
      <c r="J3">
        <v>473.2</v>
      </c>
      <c r="K3" s="15">
        <v>483.7</v>
      </c>
      <c r="L3">
        <v>477.2</v>
      </c>
      <c r="M3">
        <v>470.5</v>
      </c>
      <c r="N3">
        <v>462.9</v>
      </c>
      <c r="O3">
        <v>472.5</v>
      </c>
      <c r="P3">
        <v>478.1</v>
      </c>
      <c r="Q3">
        <v>468</v>
      </c>
      <c r="R3">
        <v>461.7</v>
      </c>
      <c r="S3">
        <v>475.7</v>
      </c>
      <c r="T3" s="10">
        <v>470</v>
      </c>
      <c r="U3" s="10">
        <v>465.2</v>
      </c>
      <c r="V3">
        <v>471.8</v>
      </c>
      <c r="W3">
        <v>487.1</v>
      </c>
      <c r="X3" s="10">
        <v>480.4</v>
      </c>
      <c r="Y3">
        <v>473.9</v>
      </c>
      <c r="Z3" s="10">
        <v>468.4</v>
      </c>
      <c r="AA3" s="10">
        <v>489.6</v>
      </c>
      <c r="AB3">
        <v>483.6</v>
      </c>
      <c r="AC3" s="10">
        <v>475.6</v>
      </c>
      <c r="AD3" s="10">
        <v>468.4</v>
      </c>
      <c r="AE3">
        <v>478.9</v>
      </c>
      <c r="AF3" s="10">
        <v>484.6</v>
      </c>
      <c r="AG3" s="10">
        <v>477.1</v>
      </c>
      <c r="AH3">
        <v>470.5</v>
      </c>
      <c r="AI3" s="10">
        <v>459.5</v>
      </c>
      <c r="AJ3">
        <v>495.8</v>
      </c>
      <c r="AK3">
        <v>488.9</v>
      </c>
    </row>
    <row r="4" spans="1:37">
      <c r="A4" s="1">
        <v>3</v>
      </c>
      <c r="B4">
        <v>465.7</v>
      </c>
      <c r="C4">
        <v>470.5</v>
      </c>
      <c r="D4">
        <v>483.9</v>
      </c>
      <c r="E4">
        <v>468.3</v>
      </c>
      <c r="F4">
        <v>469.7</v>
      </c>
      <c r="G4">
        <v>471.8</v>
      </c>
      <c r="H4">
        <v>454</v>
      </c>
      <c r="I4">
        <v>472</v>
      </c>
      <c r="J4">
        <v>474.1</v>
      </c>
      <c r="K4" s="15">
        <v>476.2</v>
      </c>
      <c r="L4">
        <v>459.59999999999997</v>
      </c>
      <c r="M4">
        <v>477.09999999999997</v>
      </c>
      <c r="N4">
        <v>459.3</v>
      </c>
      <c r="O4">
        <v>466.3</v>
      </c>
      <c r="P4">
        <v>472.7</v>
      </c>
      <c r="Q4">
        <v>450.8</v>
      </c>
      <c r="R4">
        <v>465.9</v>
      </c>
      <c r="S4">
        <v>464.6</v>
      </c>
      <c r="T4" s="10">
        <v>467.9</v>
      </c>
      <c r="U4" s="10">
        <v>472.8</v>
      </c>
      <c r="V4">
        <v>455.8</v>
      </c>
      <c r="W4">
        <v>476.5</v>
      </c>
      <c r="X4" s="10">
        <v>475.9</v>
      </c>
      <c r="Y4">
        <v>458.5</v>
      </c>
      <c r="Z4" s="10">
        <v>440.3</v>
      </c>
      <c r="AA4" s="10">
        <v>464.9</v>
      </c>
      <c r="AB4">
        <v>471.1</v>
      </c>
      <c r="AC4" s="10">
        <v>478.5</v>
      </c>
      <c r="AD4" s="10">
        <v>458.3</v>
      </c>
      <c r="AE4">
        <v>471.5</v>
      </c>
      <c r="AF4" s="10">
        <v>476.9</v>
      </c>
      <c r="AG4" s="10">
        <v>476</v>
      </c>
      <c r="AH4">
        <v>455.6</v>
      </c>
      <c r="AI4" s="10">
        <v>466.5</v>
      </c>
      <c r="AJ4">
        <v>467.7</v>
      </c>
      <c r="AK4">
        <v>468.2</v>
      </c>
    </row>
    <row r="5" spans="1:37">
      <c r="A5" s="1">
        <v>4</v>
      </c>
      <c r="B5">
        <v>459.9</v>
      </c>
      <c r="C5">
        <v>462.5</v>
      </c>
      <c r="D5">
        <v>453</v>
      </c>
      <c r="E5">
        <v>475.4</v>
      </c>
      <c r="F5">
        <v>468.5</v>
      </c>
      <c r="G5">
        <v>482.9</v>
      </c>
      <c r="H5">
        <v>469</v>
      </c>
      <c r="I5">
        <v>473.3</v>
      </c>
      <c r="J5">
        <v>456.1</v>
      </c>
      <c r="K5" s="15">
        <v>471</v>
      </c>
      <c r="L5">
        <v>451.9</v>
      </c>
      <c r="M5">
        <v>464.7</v>
      </c>
      <c r="N5">
        <v>447</v>
      </c>
      <c r="O5">
        <v>454.9</v>
      </c>
      <c r="P5">
        <v>468.7</v>
      </c>
      <c r="Q5">
        <v>446</v>
      </c>
      <c r="R5">
        <v>465.4</v>
      </c>
      <c r="S5">
        <v>447.7</v>
      </c>
      <c r="T5" s="10">
        <v>464.6</v>
      </c>
      <c r="U5" s="10">
        <v>465</v>
      </c>
      <c r="V5">
        <v>446.3</v>
      </c>
      <c r="W5">
        <v>473.4</v>
      </c>
      <c r="X5" s="10">
        <v>473.6</v>
      </c>
      <c r="Y5">
        <v>479.7</v>
      </c>
      <c r="Z5" s="10">
        <v>461.4</v>
      </c>
      <c r="AA5" s="10">
        <v>449.8</v>
      </c>
      <c r="AB5">
        <v>466.9</v>
      </c>
      <c r="AC5" s="10">
        <v>482.1</v>
      </c>
      <c r="AD5" s="10">
        <v>464.2</v>
      </c>
      <c r="AE5">
        <v>469.6</v>
      </c>
      <c r="AF5" s="10">
        <v>483</v>
      </c>
      <c r="AG5" s="10">
        <v>465.3</v>
      </c>
      <c r="AH5">
        <v>469.5</v>
      </c>
      <c r="AI5" s="10">
        <v>449.7</v>
      </c>
      <c r="AJ5" s="10">
        <v>481</v>
      </c>
      <c r="AK5">
        <v>461.8</v>
      </c>
    </row>
    <row r="6" spans="1:37">
      <c r="A6" s="1">
        <v>5</v>
      </c>
      <c r="B6">
        <v>467.4</v>
      </c>
      <c r="C6">
        <v>468.3</v>
      </c>
      <c r="D6">
        <v>467.3</v>
      </c>
      <c r="E6">
        <v>465.6</v>
      </c>
      <c r="F6">
        <v>469.8</v>
      </c>
      <c r="G6">
        <v>469.2</v>
      </c>
      <c r="H6">
        <v>468.1</v>
      </c>
      <c r="I6">
        <v>467.2</v>
      </c>
      <c r="J6">
        <v>465.7</v>
      </c>
      <c r="K6" s="15">
        <v>464.3</v>
      </c>
      <c r="L6">
        <v>463.7</v>
      </c>
      <c r="M6">
        <v>462.9</v>
      </c>
      <c r="N6">
        <v>460.6</v>
      </c>
      <c r="O6">
        <v>459.7</v>
      </c>
      <c r="P6">
        <v>479.8</v>
      </c>
      <c r="Q6">
        <v>476.1</v>
      </c>
      <c r="R6">
        <v>475.3</v>
      </c>
      <c r="S6">
        <v>474.6</v>
      </c>
      <c r="T6" s="10">
        <v>472.5</v>
      </c>
      <c r="U6" s="10">
        <v>474.8</v>
      </c>
      <c r="V6">
        <v>473.9</v>
      </c>
      <c r="W6">
        <v>472.9</v>
      </c>
      <c r="X6" s="10">
        <v>472.1</v>
      </c>
      <c r="Y6">
        <v>471.6</v>
      </c>
      <c r="Z6" s="10">
        <v>471</v>
      </c>
      <c r="AA6" s="10">
        <v>469.9</v>
      </c>
      <c r="AB6">
        <v>469</v>
      </c>
      <c r="AC6" s="10">
        <v>467.8</v>
      </c>
      <c r="AD6" s="10">
        <v>466.7</v>
      </c>
      <c r="AE6">
        <v>465.6</v>
      </c>
      <c r="AF6" s="10">
        <v>476</v>
      </c>
      <c r="AG6" s="10">
        <v>475.5</v>
      </c>
      <c r="AH6">
        <v>474.4</v>
      </c>
      <c r="AI6" s="10">
        <v>471.3</v>
      </c>
      <c r="AJ6">
        <v>471.9</v>
      </c>
      <c r="AK6">
        <v>470.8</v>
      </c>
    </row>
    <row r="7" spans="1:37">
      <c r="A7" s="1">
        <v>6</v>
      </c>
      <c r="B7">
        <v>457.9</v>
      </c>
      <c r="C7">
        <v>464.5</v>
      </c>
      <c r="D7">
        <v>476.2</v>
      </c>
      <c r="E7">
        <v>466</v>
      </c>
      <c r="F7">
        <v>462.3</v>
      </c>
      <c r="G7">
        <v>476.5</v>
      </c>
      <c r="H7">
        <v>459</v>
      </c>
      <c r="I7">
        <v>465.9</v>
      </c>
      <c r="J7">
        <v>474.3</v>
      </c>
      <c r="K7" s="15">
        <v>476.6</v>
      </c>
      <c r="L7">
        <v>476.2</v>
      </c>
      <c r="M7">
        <v>459.79999999999995</v>
      </c>
      <c r="N7">
        <v>451.7</v>
      </c>
      <c r="O7">
        <v>466.4</v>
      </c>
      <c r="P7">
        <v>483.5</v>
      </c>
      <c r="Q7">
        <v>474.2</v>
      </c>
      <c r="R7">
        <v>469.8</v>
      </c>
      <c r="S7">
        <v>463.2</v>
      </c>
      <c r="T7" s="10">
        <v>467.4</v>
      </c>
      <c r="U7" s="10">
        <v>460.8</v>
      </c>
      <c r="V7">
        <v>457</v>
      </c>
      <c r="W7">
        <v>484.4</v>
      </c>
      <c r="X7" s="10">
        <v>469.9</v>
      </c>
      <c r="Y7">
        <v>459.3</v>
      </c>
      <c r="Z7" s="10">
        <v>474</v>
      </c>
      <c r="AA7" s="10">
        <v>466.7</v>
      </c>
      <c r="AB7">
        <v>470.7</v>
      </c>
      <c r="AC7" s="10">
        <v>459.1</v>
      </c>
      <c r="AD7" s="10">
        <v>471.2</v>
      </c>
      <c r="AE7">
        <v>473.9</v>
      </c>
      <c r="AF7" s="10">
        <v>478.8</v>
      </c>
      <c r="AG7" s="10">
        <v>462.8</v>
      </c>
      <c r="AH7">
        <v>472.4</v>
      </c>
      <c r="AI7" s="10">
        <v>454.1</v>
      </c>
      <c r="AJ7">
        <v>471.1</v>
      </c>
      <c r="AK7">
        <v>471.8</v>
      </c>
    </row>
    <row r="8" spans="1:37">
      <c r="A8" s="1">
        <v>7</v>
      </c>
      <c r="B8">
        <v>461</v>
      </c>
      <c r="C8">
        <v>469</v>
      </c>
      <c r="D8">
        <v>462.2</v>
      </c>
      <c r="E8">
        <v>477.1</v>
      </c>
      <c r="F8">
        <v>469.3</v>
      </c>
      <c r="G8">
        <v>475.8</v>
      </c>
      <c r="H8">
        <v>461.2</v>
      </c>
      <c r="I8">
        <v>477.4</v>
      </c>
      <c r="J8">
        <v>481.6</v>
      </c>
      <c r="K8" s="15">
        <v>481</v>
      </c>
      <c r="L8">
        <v>482.09999999999997</v>
      </c>
      <c r="M8">
        <v>480.4</v>
      </c>
      <c r="N8">
        <v>465.4</v>
      </c>
      <c r="O8">
        <v>478</v>
      </c>
      <c r="P8">
        <v>471.3</v>
      </c>
      <c r="Q8">
        <v>484.4</v>
      </c>
      <c r="R8">
        <v>468.2</v>
      </c>
      <c r="S8">
        <v>467.1</v>
      </c>
      <c r="T8" s="10">
        <v>472</v>
      </c>
      <c r="U8" s="10">
        <v>474.8</v>
      </c>
      <c r="V8">
        <v>463.8</v>
      </c>
      <c r="W8">
        <v>484.7</v>
      </c>
      <c r="X8" s="10">
        <v>481.5</v>
      </c>
      <c r="Y8">
        <v>475.1</v>
      </c>
      <c r="Z8" s="10">
        <v>455.3</v>
      </c>
      <c r="AA8" s="10">
        <v>480.4</v>
      </c>
      <c r="AB8">
        <v>474.2</v>
      </c>
      <c r="AC8" s="10">
        <v>455.9</v>
      </c>
      <c r="AD8" s="10">
        <v>473.5</v>
      </c>
      <c r="AE8">
        <v>476</v>
      </c>
      <c r="AF8" s="10">
        <v>487</v>
      </c>
      <c r="AG8" s="10">
        <v>470</v>
      </c>
      <c r="AH8">
        <v>478.7</v>
      </c>
      <c r="AI8" s="10">
        <v>456.3</v>
      </c>
      <c r="AJ8">
        <v>467.8</v>
      </c>
      <c r="AK8">
        <v>474.3</v>
      </c>
    </row>
    <row r="9" spans="1:37">
      <c r="A9" s="1">
        <v>8</v>
      </c>
      <c r="B9">
        <v>460.9</v>
      </c>
      <c r="C9">
        <v>463.7</v>
      </c>
      <c r="D9">
        <v>473.9</v>
      </c>
      <c r="E9">
        <v>457.9</v>
      </c>
      <c r="F9">
        <v>473.5</v>
      </c>
      <c r="G9">
        <v>473.2</v>
      </c>
      <c r="H9">
        <v>476.3</v>
      </c>
      <c r="I9">
        <v>480.8</v>
      </c>
      <c r="J9">
        <v>482.2</v>
      </c>
      <c r="K9" s="15">
        <v>485.1</v>
      </c>
      <c r="L9">
        <v>467.8</v>
      </c>
      <c r="M9">
        <v>476.9</v>
      </c>
      <c r="N9">
        <v>460.2</v>
      </c>
      <c r="O9">
        <v>477</v>
      </c>
      <c r="P9">
        <v>475.7</v>
      </c>
      <c r="Q9">
        <v>480.5</v>
      </c>
      <c r="R9">
        <v>463</v>
      </c>
      <c r="S9">
        <v>466.4</v>
      </c>
      <c r="T9" s="10">
        <v>481.5</v>
      </c>
      <c r="U9" s="10">
        <v>479</v>
      </c>
      <c r="V9">
        <v>465.1</v>
      </c>
      <c r="W9">
        <v>479.3</v>
      </c>
      <c r="X9" s="10">
        <v>482.8</v>
      </c>
      <c r="Y9">
        <v>467.9</v>
      </c>
      <c r="Z9" s="10">
        <v>486.4</v>
      </c>
      <c r="AA9" s="10">
        <v>468.2</v>
      </c>
      <c r="AB9">
        <v>476.1</v>
      </c>
      <c r="AC9" s="10">
        <v>457.9</v>
      </c>
      <c r="AD9" s="10">
        <v>478.7</v>
      </c>
      <c r="AE9">
        <v>479.3</v>
      </c>
      <c r="AF9" s="10">
        <v>490.2</v>
      </c>
      <c r="AG9" s="10">
        <v>470.3</v>
      </c>
      <c r="AH9">
        <v>477.6</v>
      </c>
      <c r="AI9" s="10">
        <v>455.7</v>
      </c>
      <c r="AJ9">
        <v>464.6</v>
      </c>
      <c r="AK9" s="10">
        <v>481</v>
      </c>
    </row>
    <row r="10" spans="1:37">
      <c r="A10" s="1">
        <v>9</v>
      </c>
      <c r="B10">
        <v>466</v>
      </c>
      <c r="C10">
        <v>442.6</v>
      </c>
      <c r="D10">
        <v>474</v>
      </c>
      <c r="E10">
        <v>465.5</v>
      </c>
      <c r="F10">
        <v>468.4</v>
      </c>
      <c r="G10">
        <v>467.7</v>
      </c>
      <c r="H10">
        <v>466</v>
      </c>
      <c r="I10">
        <v>465.1</v>
      </c>
      <c r="J10">
        <v>463.2</v>
      </c>
      <c r="K10" s="15">
        <v>462.1</v>
      </c>
      <c r="L10">
        <v>477.59999999999997</v>
      </c>
      <c r="M10">
        <v>476.79999999999995</v>
      </c>
      <c r="N10">
        <v>475.3</v>
      </c>
      <c r="O10">
        <v>474.6</v>
      </c>
      <c r="P10">
        <v>483.3</v>
      </c>
      <c r="Q10">
        <v>479.6</v>
      </c>
      <c r="R10">
        <v>478.3</v>
      </c>
      <c r="S10">
        <v>477.2</v>
      </c>
      <c r="T10" s="10">
        <v>475.4</v>
      </c>
      <c r="U10" s="10">
        <v>477.6</v>
      </c>
      <c r="V10">
        <v>476.4</v>
      </c>
      <c r="W10">
        <v>475.4</v>
      </c>
      <c r="X10" s="10">
        <v>471</v>
      </c>
      <c r="Y10">
        <v>470.3</v>
      </c>
      <c r="Z10" s="10">
        <v>469.2</v>
      </c>
      <c r="AA10" s="10">
        <v>468.3</v>
      </c>
      <c r="AB10">
        <v>467.4</v>
      </c>
      <c r="AC10" s="10">
        <v>466.5</v>
      </c>
      <c r="AD10" s="10">
        <v>465.4</v>
      </c>
      <c r="AE10">
        <v>464.2</v>
      </c>
      <c r="AF10" s="10">
        <v>485</v>
      </c>
      <c r="AG10" s="10">
        <v>484.2</v>
      </c>
      <c r="AH10">
        <v>482.1</v>
      </c>
      <c r="AI10" s="10">
        <v>479.4</v>
      </c>
      <c r="AJ10">
        <v>478.2</v>
      </c>
      <c r="AK10">
        <v>476.7</v>
      </c>
    </row>
    <row r="11" spans="1:37">
      <c r="A11" s="1">
        <v>10</v>
      </c>
      <c r="B11">
        <v>465.3</v>
      </c>
      <c r="C11">
        <v>468.6</v>
      </c>
      <c r="D11">
        <v>467.9</v>
      </c>
      <c r="E11">
        <v>466.4</v>
      </c>
      <c r="F11">
        <v>476</v>
      </c>
      <c r="G11">
        <v>475.4</v>
      </c>
      <c r="H11">
        <v>474.3</v>
      </c>
      <c r="I11">
        <v>473.5</v>
      </c>
      <c r="J11">
        <v>471.9</v>
      </c>
      <c r="K11" s="15">
        <v>470.8</v>
      </c>
      <c r="L11">
        <v>470.09999999999997</v>
      </c>
      <c r="M11">
        <v>468.9</v>
      </c>
      <c r="N11">
        <v>467.4</v>
      </c>
      <c r="O11">
        <v>466.6</v>
      </c>
      <c r="P11">
        <v>481.3</v>
      </c>
      <c r="Q11">
        <v>477.4</v>
      </c>
      <c r="R11">
        <v>476.6</v>
      </c>
      <c r="S11">
        <v>475.8</v>
      </c>
      <c r="T11" s="10">
        <v>474.8</v>
      </c>
      <c r="U11" s="10">
        <v>476.8</v>
      </c>
      <c r="V11">
        <v>475.5</v>
      </c>
      <c r="W11">
        <v>474.5</v>
      </c>
      <c r="X11" s="10">
        <v>473.3</v>
      </c>
      <c r="Y11">
        <v>472.5</v>
      </c>
      <c r="Z11" s="10">
        <v>471.7</v>
      </c>
      <c r="AA11" s="10">
        <v>469.7</v>
      </c>
      <c r="AB11">
        <v>468.7</v>
      </c>
      <c r="AC11" s="10">
        <v>467.5</v>
      </c>
      <c r="AD11" s="10">
        <v>476.7</v>
      </c>
      <c r="AE11">
        <v>475.7</v>
      </c>
      <c r="AF11" s="10">
        <v>487.7</v>
      </c>
      <c r="AG11" s="10">
        <v>487</v>
      </c>
      <c r="AH11">
        <v>485.8</v>
      </c>
      <c r="AI11" s="10">
        <v>482.9</v>
      </c>
      <c r="AJ11">
        <v>483.5</v>
      </c>
      <c r="AK11">
        <v>482.4</v>
      </c>
    </row>
    <row r="12" spans="1:37">
      <c r="A12" s="1">
        <v>11</v>
      </c>
      <c r="B12">
        <v>464.9</v>
      </c>
      <c r="C12">
        <v>463.8</v>
      </c>
      <c r="D12">
        <v>455.8</v>
      </c>
      <c r="E12">
        <v>472.6</v>
      </c>
      <c r="F12">
        <v>465</v>
      </c>
      <c r="G12">
        <v>465</v>
      </c>
      <c r="H12">
        <v>464.9</v>
      </c>
      <c r="I12">
        <v>464.9</v>
      </c>
      <c r="J12">
        <v>477.4</v>
      </c>
      <c r="K12" s="15">
        <v>477.3</v>
      </c>
      <c r="L12">
        <v>477.3</v>
      </c>
      <c r="M12">
        <v>477.29999999999995</v>
      </c>
      <c r="N12">
        <v>466.1</v>
      </c>
      <c r="O12">
        <v>456.3</v>
      </c>
      <c r="P12">
        <v>469.2</v>
      </c>
      <c r="Q12">
        <v>454.6</v>
      </c>
      <c r="R12">
        <v>468.3</v>
      </c>
      <c r="S12">
        <v>457.5</v>
      </c>
      <c r="T12" s="10">
        <v>464.8</v>
      </c>
      <c r="U12" s="10">
        <v>471.4</v>
      </c>
      <c r="V12">
        <v>460.1</v>
      </c>
      <c r="W12">
        <v>479.3</v>
      </c>
      <c r="X12" s="10">
        <v>470.5</v>
      </c>
      <c r="Y12">
        <v>460.1</v>
      </c>
      <c r="Z12" s="10">
        <v>491.2</v>
      </c>
      <c r="AA12" s="10">
        <v>480.2</v>
      </c>
      <c r="AB12">
        <v>472.6</v>
      </c>
      <c r="AC12" s="10">
        <v>463.2</v>
      </c>
      <c r="AD12" s="10">
        <v>470.4</v>
      </c>
      <c r="AE12">
        <v>461</v>
      </c>
      <c r="AF12" s="10">
        <v>485.3</v>
      </c>
      <c r="AG12" s="10">
        <v>474.7</v>
      </c>
      <c r="AH12">
        <v>464.5</v>
      </c>
      <c r="AI12" s="10">
        <v>452.7</v>
      </c>
      <c r="AJ12">
        <v>465.4</v>
      </c>
      <c r="AK12">
        <v>475.5</v>
      </c>
    </row>
    <row r="13" spans="1:37">
      <c r="A13" s="1">
        <v>12</v>
      </c>
      <c r="B13">
        <v>461.8</v>
      </c>
      <c r="C13">
        <v>453.8</v>
      </c>
      <c r="D13">
        <v>477.8</v>
      </c>
      <c r="E13">
        <v>466.2</v>
      </c>
      <c r="F13">
        <v>472.2</v>
      </c>
      <c r="G13">
        <v>461.2</v>
      </c>
      <c r="H13">
        <v>471</v>
      </c>
      <c r="I13">
        <v>476.1</v>
      </c>
      <c r="J13">
        <v>465.2</v>
      </c>
      <c r="K13" s="15">
        <v>471.3</v>
      </c>
      <c r="L13">
        <v>474</v>
      </c>
      <c r="M13">
        <v>461.2</v>
      </c>
      <c r="N13">
        <v>445.9</v>
      </c>
      <c r="O13">
        <v>471.9</v>
      </c>
      <c r="P13">
        <v>471.5</v>
      </c>
      <c r="Q13">
        <v>453.7</v>
      </c>
      <c r="R13">
        <v>470.5</v>
      </c>
      <c r="S13">
        <v>469.6</v>
      </c>
      <c r="T13" s="10">
        <v>464.3</v>
      </c>
      <c r="U13" s="10">
        <v>464.1</v>
      </c>
      <c r="V13">
        <v>448.1</v>
      </c>
      <c r="W13">
        <v>474.6</v>
      </c>
      <c r="X13" s="10">
        <v>476</v>
      </c>
      <c r="Y13">
        <v>461.9</v>
      </c>
      <c r="Z13" s="10">
        <v>478.7</v>
      </c>
      <c r="AA13" s="10">
        <v>465.7</v>
      </c>
      <c r="AB13">
        <v>473.1</v>
      </c>
      <c r="AC13" s="10">
        <v>460.8</v>
      </c>
      <c r="AD13" s="10">
        <v>466.4</v>
      </c>
      <c r="AE13">
        <v>477.5</v>
      </c>
      <c r="AF13" s="10">
        <v>481.2</v>
      </c>
      <c r="AG13" s="10">
        <v>467.6</v>
      </c>
      <c r="AH13">
        <v>474.6</v>
      </c>
      <c r="AI13" s="10">
        <v>459.4</v>
      </c>
      <c r="AJ13">
        <v>449.5</v>
      </c>
      <c r="AK13">
        <v>474.9</v>
      </c>
    </row>
    <row r="14" spans="1:37">
      <c r="A14" s="1">
        <v>13</v>
      </c>
      <c r="B14">
        <v>450.6</v>
      </c>
      <c r="C14">
        <v>443.6</v>
      </c>
      <c r="D14">
        <v>467.4</v>
      </c>
      <c r="E14">
        <v>449.7</v>
      </c>
      <c r="F14">
        <v>468.6</v>
      </c>
      <c r="G14">
        <v>480.1</v>
      </c>
      <c r="H14">
        <v>465.1</v>
      </c>
      <c r="I14">
        <v>469.7</v>
      </c>
      <c r="J14">
        <v>457.2</v>
      </c>
      <c r="K14" s="15">
        <v>474.6</v>
      </c>
      <c r="L14">
        <v>477.09999999999997</v>
      </c>
      <c r="M14">
        <v>461.4</v>
      </c>
      <c r="N14">
        <v>447</v>
      </c>
      <c r="O14">
        <v>460.2</v>
      </c>
      <c r="P14">
        <v>471.4</v>
      </c>
      <c r="Q14">
        <v>453</v>
      </c>
      <c r="R14">
        <v>465.2</v>
      </c>
      <c r="S14">
        <v>470.8</v>
      </c>
      <c r="T14" s="10">
        <v>455.9</v>
      </c>
      <c r="U14" s="10">
        <v>468.3</v>
      </c>
      <c r="V14">
        <v>450.1</v>
      </c>
      <c r="W14">
        <v>478.3</v>
      </c>
      <c r="X14" s="10">
        <v>462.9</v>
      </c>
      <c r="Y14">
        <v>460.2</v>
      </c>
      <c r="Z14" s="10">
        <v>487.1</v>
      </c>
      <c r="AA14" s="10">
        <v>470.6</v>
      </c>
      <c r="AB14">
        <v>467.2</v>
      </c>
      <c r="AC14" s="10">
        <v>450.7</v>
      </c>
      <c r="AD14" s="10">
        <v>470</v>
      </c>
      <c r="AE14">
        <v>470.5</v>
      </c>
      <c r="AF14" s="10">
        <v>479.9</v>
      </c>
      <c r="AG14" s="10">
        <v>471.5</v>
      </c>
      <c r="AH14">
        <v>454.5</v>
      </c>
      <c r="AI14" s="10">
        <v>465.5</v>
      </c>
      <c r="AJ14">
        <v>451.6</v>
      </c>
      <c r="AK14">
        <v>474.9</v>
      </c>
    </row>
    <row r="15" spans="1:37">
      <c r="A15" s="1">
        <v>14</v>
      </c>
      <c r="B15">
        <v>455.6</v>
      </c>
      <c r="C15">
        <v>457.9</v>
      </c>
      <c r="D15">
        <v>447.8</v>
      </c>
      <c r="E15">
        <v>459</v>
      </c>
      <c r="F15">
        <v>468.8</v>
      </c>
      <c r="G15">
        <v>456.5</v>
      </c>
      <c r="H15">
        <v>442.9</v>
      </c>
      <c r="I15">
        <v>462.7</v>
      </c>
      <c r="J15">
        <v>462.8</v>
      </c>
      <c r="K15" s="15">
        <v>450.6</v>
      </c>
      <c r="L15">
        <v>464.2</v>
      </c>
      <c r="M15">
        <v>455.5</v>
      </c>
      <c r="N15">
        <v>443</v>
      </c>
      <c r="O15">
        <v>430.7</v>
      </c>
      <c r="P15">
        <v>462</v>
      </c>
      <c r="Q15">
        <v>447</v>
      </c>
      <c r="R15">
        <v>462.1</v>
      </c>
      <c r="S15">
        <v>451.8</v>
      </c>
      <c r="T15" s="10">
        <v>458.3</v>
      </c>
      <c r="U15" s="10">
        <v>464</v>
      </c>
      <c r="V15">
        <v>453.9</v>
      </c>
      <c r="W15">
        <v>470.3</v>
      </c>
      <c r="X15" s="10">
        <v>458.8</v>
      </c>
      <c r="Y15">
        <v>450.4</v>
      </c>
      <c r="Z15" s="10">
        <v>439.1</v>
      </c>
      <c r="AA15" s="10">
        <v>467.1</v>
      </c>
      <c r="AB15">
        <v>454.8</v>
      </c>
      <c r="AC15" s="10">
        <v>442.2</v>
      </c>
      <c r="AD15" s="10">
        <v>464.4</v>
      </c>
      <c r="AE15">
        <v>450.8</v>
      </c>
      <c r="AF15" s="10">
        <v>471</v>
      </c>
      <c r="AG15" s="10">
        <v>459</v>
      </c>
      <c r="AH15">
        <v>444.8</v>
      </c>
      <c r="AI15" s="10">
        <v>430.2</v>
      </c>
      <c r="AJ15">
        <v>461.3</v>
      </c>
      <c r="AK15">
        <v>448.4</v>
      </c>
    </row>
    <row r="16" spans="1:37">
      <c r="A16" s="1">
        <v>15</v>
      </c>
      <c r="B16">
        <v>457.5</v>
      </c>
      <c r="C16">
        <v>459.5</v>
      </c>
      <c r="D16">
        <v>455.3</v>
      </c>
      <c r="E16">
        <v>454.3</v>
      </c>
      <c r="F16">
        <v>463.2</v>
      </c>
      <c r="G16">
        <v>462.5</v>
      </c>
      <c r="H16">
        <v>461.3</v>
      </c>
      <c r="I16">
        <v>460.5</v>
      </c>
      <c r="J16">
        <v>458.7</v>
      </c>
      <c r="K16" s="15">
        <v>457.3</v>
      </c>
      <c r="L16">
        <v>455.7</v>
      </c>
      <c r="M16">
        <v>454.09999999999997</v>
      </c>
      <c r="N16">
        <v>452.3</v>
      </c>
      <c r="O16">
        <v>450.5</v>
      </c>
      <c r="P16">
        <v>461</v>
      </c>
      <c r="Q16">
        <v>457.2</v>
      </c>
      <c r="R16">
        <v>455.6</v>
      </c>
      <c r="S16">
        <v>454.3</v>
      </c>
      <c r="T16" s="10">
        <v>458.2</v>
      </c>
      <c r="U16" s="10">
        <v>460.1</v>
      </c>
      <c r="V16">
        <v>458.7</v>
      </c>
      <c r="W16">
        <v>456.9</v>
      </c>
      <c r="X16" s="10">
        <v>453.5</v>
      </c>
      <c r="Y16">
        <v>452.1</v>
      </c>
      <c r="Z16" s="10">
        <v>450.2</v>
      </c>
      <c r="AA16" s="10">
        <v>448.6</v>
      </c>
      <c r="AB16">
        <v>462.7</v>
      </c>
      <c r="AC16" s="10">
        <v>461.5</v>
      </c>
      <c r="AD16" s="10">
        <v>458.1</v>
      </c>
      <c r="AE16">
        <v>455.3</v>
      </c>
      <c r="AF16" s="10">
        <v>472.8</v>
      </c>
      <c r="AG16" s="10">
        <v>471.5</v>
      </c>
      <c r="AH16">
        <v>468.7</v>
      </c>
      <c r="AI16" s="10">
        <v>465.9</v>
      </c>
      <c r="AJ16">
        <v>464.4</v>
      </c>
      <c r="AK16">
        <v>463.1</v>
      </c>
    </row>
    <row r="17" spans="1:37">
      <c r="A17" s="1">
        <v>16</v>
      </c>
      <c r="B17">
        <v>451.8</v>
      </c>
      <c r="C17">
        <v>454.1</v>
      </c>
      <c r="D17">
        <v>448.5</v>
      </c>
      <c r="E17">
        <v>447.5</v>
      </c>
      <c r="F17">
        <v>465.8</v>
      </c>
      <c r="G17">
        <v>465.7</v>
      </c>
      <c r="H17">
        <v>464.8</v>
      </c>
      <c r="I17">
        <v>461.9</v>
      </c>
      <c r="J17">
        <v>467.9</v>
      </c>
      <c r="K17" s="15">
        <v>467.90000000000003</v>
      </c>
      <c r="L17">
        <v>464.3</v>
      </c>
      <c r="M17">
        <v>463.4</v>
      </c>
      <c r="N17">
        <v>461.7</v>
      </c>
      <c r="O17">
        <v>459.5</v>
      </c>
      <c r="P17">
        <v>474.4</v>
      </c>
      <c r="Q17">
        <v>470</v>
      </c>
      <c r="R17">
        <v>466.9</v>
      </c>
      <c r="S17">
        <v>464.6</v>
      </c>
      <c r="T17" s="10">
        <v>459.2</v>
      </c>
      <c r="U17" s="10">
        <v>458.5</v>
      </c>
      <c r="V17">
        <v>452.6</v>
      </c>
      <c r="W17">
        <v>450.1</v>
      </c>
      <c r="X17" s="10">
        <v>445.7</v>
      </c>
      <c r="Y17">
        <v>460.3</v>
      </c>
      <c r="Z17" s="10">
        <v>455.2</v>
      </c>
      <c r="AA17" s="10">
        <v>449.2</v>
      </c>
      <c r="AB17">
        <v>461.1</v>
      </c>
      <c r="AC17" s="10">
        <v>455.5</v>
      </c>
      <c r="AD17" s="10">
        <v>448</v>
      </c>
      <c r="AE17">
        <v>462.9</v>
      </c>
      <c r="AF17" s="10">
        <v>467.4</v>
      </c>
      <c r="AG17" s="10">
        <v>458.7</v>
      </c>
      <c r="AH17">
        <v>449.7</v>
      </c>
      <c r="AI17" s="10">
        <v>438.3</v>
      </c>
      <c r="AJ17">
        <v>459.1</v>
      </c>
      <c r="AK17">
        <v>451.7</v>
      </c>
    </row>
    <row r="18" spans="1:37">
      <c r="A18" s="1">
        <v>17</v>
      </c>
      <c r="B18">
        <v>457.1</v>
      </c>
      <c r="C18">
        <v>459</v>
      </c>
      <c r="D18">
        <v>446</v>
      </c>
      <c r="E18">
        <v>470.3</v>
      </c>
      <c r="F18">
        <v>454.2</v>
      </c>
      <c r="G18">
        <v>470.1</v>
      </c>
      <c r="H18">
        <v>458</v>
      </c>
      <c r="I18">
        <v>462.7</v>
      </c>
      <c r="J18">
        <v>468.8</v>
      </c>
      <c r="K18" s="15">
        <v>456.5</v>
      </c>
      <c r="L18">
        <v>445.3</v>
      </c>
      <c r="M18">
        <v>465.29999999999995</v>
      </c>
      <c r="N18">
        <v>450.3</v>
      </c>
      <c r="O18">
        <v>472.7</v>
      </c>
      <c r="P18">
        <v>460.2</v>
      </c>
      <c r="Q18">
        <v>441.2</v>
      </c>
      <c r="R18">
        <v>452.7</v>
      </c>
      <c r="S18">
        <v>461.9</v>
      </c>
      <c r="T18" s="10">
        <v>463.3</v>
      </c>
      <c r="U18" s="10">
        <v>462.7</v>
      </c>
      <c r="V18">
        <v>448.5</v>
      </c>
      <c r="W18">
        <v>471.2</v>
      </c>
      <c r="X18" s="10">
        <v>453.1</v>
      </c>
      <c r="Y18">
        <v>437.9</v>
      </c>
      <c r="Z18" s="10">
        <v>476.2</v>
      </c>
      <c r="AA18" s="10">
        <v>454.7</v>
      </c>
      <c r="AB18">
        <v>464.4</v>
      </c>
      <c r="AC18" s="10">
        <v>462.1</v>
      </c>
      <c r="AD18" s="10">
        <v>463.7</v>
      </c>
      <c r="AE18">
        <v>467.2</v>
      </c>
      <c r="AF18" s="10">
        <v>470.2</v>
      </c>
      <c r="AG18" s="10">
        <v>467.6</v>
      </c>
      <c r="AH18">
        <v>468</v>
      </c>
      <c r="AI18" s="10">
        <v>442.6</v>
      </c>
      <c r="AJ18">
        <v>471.9</v>
      </c>
      <c r="AK18">
        <v>450.8</v>
      </c>
    </row>
    <row r="19" spans="1:37">
      <c r="A19" s="1">
        <v>18</v>
      </c>
      <c r="B19">
        <v>449.6</v>
      </c>
      <c r="C19">
        <v>440.8</v>
      </c>
      <c r="D19">
        <v>460.9</v>
      </c>
      <c r="E19">
        <v>456.9</v>
      </c>
      <c r="F19">
        <v>452.2</v>
      </c>
      <c r="G19">
        <v>452.1</v>
      </c>
      <c r="H19">
        <v>466.6</v>
      </c>
      <c r="I19">
        <v>449.4</v>
      </c>
      <c r="J19">
        <v>459</v>
      </c>
      <c r="K19" s="15">
        <v>462.8</v>
      </c>
      <c r="L19">
        <v>447.3</v>
      </c>
      <c r="M19">
        <v>461.9</v>
      </c>
      <c r="N19">
        <v>448.8</v>
      </c>
      <c r="O19">
        <v>460.8</v>
      </c>
      <c r="P19">
        <v>460.9</v>
      </c>
      <c r="Q19">
        <v>441.7</v>
      </c>
      <c r="R19">
        <v>457.6</v>
      </c>
      <c r="S19">
        <v>460.8</v>
      </c>
      <c r="T19" s="10">
        <v>455.5</v>
      </c>
      <c r="U19" s="10">
        <v>457.7</v>
      </c>
      <c r="V19">
        <v>448.2</v>
      </c>
      <c r="W19">
        <v>473.3</v>
      </c>
      <c r="X19" s="10">
        <v>458.9</v>
      </c>
      <c r="Y19">
        <v>458.3</v>
      </c>
      <c r="Z19" s="10">
        <v>467.2</v>
      </c>
      <c r="AA19" s="10">
        <v>456.8</v>
      </c>
      <c r="AB19">
        <v>466</v>
      </c>
      <c r="AC19" s="10">
        <v>454.5</v>
      </c>
      <c r="AD19" s="10">
        <v>462.3</v>
      </c>
      <c r="AE19">
        <v>467.1</v>
      </c>
      <c r="AF19" s="10">
        <v>470.2</v>
      </c>
      <c r="AG19" s="10">
        <v>454.1</v>
      </c>
      <c r="AH19">
        <v>473.7</v>
      </c>
      <c r="AI19" s="10">
        <v>458.2</v>
      </c>
      <c r="AJ19">
        <v>461.9</v>
      </c>
      <c r="AK19" s="10">
        <v>462</v>
      </c>
    </row>
    <row r="20" spans="1:37">
      <c r="A20" s="1">
        <v>19</v>
      </c>
      <c r="B20">
        <v>454.7</v>
      </c>
      <c r="C20">
        <v>454.9</v>
      </c>
      <c r="D20">
        <v>449.6</v>
      </c>
      <c r="E20">
        <v>448.6</v>
      </c>
      <c r="F20">
        <v>455.9</v>
      </c>
      <c r="G20">
        <v>455.9</v>
      </c>
      <c r="H20">
        <v>453.6</v>
      </c>
      <c r="I20">
        <v>463.1</v>
      </c>
      <c r="J20">
        <v>459.7</v>
      </c>
      <c r="K20" s="15">
        <v>454.90000000000003</v>
      </c>
      <c r="L20">
        <v>450.3</v>
      </c>
      <c r="M20">
        <v>465.79999999999995</v>
      </c>
      <c r="N20">
        <v>463.3</v>
      </c>
      <c r="O20">
        <v>460.3</v>
      </c>
      <c r="P20">
        <v>465.1</v>
      </c>
      <c r="Q20">
        <v>458.7</v>
      </c>
      <c r="R20">
        <v>452.2</v>
      </c>
      <c r="S20">
        <v>462</v>
      </c>
      <c r="T20" s="10">
        <v>459.2</v>
      </c>
      <c r="U20" s="10">
        <v>455.7</v>
      </c>
      <c r="V20">
        <v>451.2</v>
      </c>
      <c r="W20">
        <v>445.8</v>
      </c>
      <c r="X20" s="10">
        <v>464.2</v>
      </c>
      <c r="Y20">
        <v>458.5</v>
      </c>
      <c r="Z20" s="10">
        <v>453.9</v>
      </c>
      <c r="AA20" s="10">
        <v>449.4</v>
      </c>
      <c r="AB20">
        <v>459.8</v>
      </c>
      <c r="AC20" s="10">
        <v>456.9</v>
      </c>
      <c r="AD20" s="10">
        <v>449.1</v>
      </c>
      <c r="AE20">
        <v>462.8</v>
      </c>
      <c r="AF20" s="10">
        <v>472.6</v>
      </c>
      <c r="AG20" s="10">
        <v>464.5</v>
      </c>
      <c r="AH20">
        <v>456.7</v>
      </c>
      <c r="AI20" s="10">
        <v>448.9</v>
      </c>
      <c r="AJ20" s="10">
        <v>446</v>
      </c>
      <c r="AK20">
        <v>462.9</v>
      </c>
    </row>
    <row r="21" spans="1:37">
      <c r="A21" s="1">
        <v>20</v>
      </c>
      <c r="B21">
        <v>455.2</v>
      </c>
      <c r="C21">
        <v>455.9</v>
      </c>
      <c r="D21">
        <v>453.2</v>
      </c>
      <c r="E21">
        <v>452.3</v>
      </c>
      <c r="F21">
        <v>463.3</v>
      </c>
      <c r="G21">
        <v>462.8</v>
      </c>
      <c r="H21">
        <v>461.6</v>
      </c>
      <c r="I21">
        <v>474.7</v>
      </c>
      <c r="J21">
        <v>471.8</v>
      </c>
      <c r="K21" s="15">
        <v>470.6</v>
      </c>
      <c r="L21">
        <v>470</v>
      </c>
      <c r="M21">
        <v>469.09999999999997</v>
      </c>
      <c r="N21">
        <v>467.7</v>
      </c>
      <c r="O21">
        <v>466.8</v>
      </c>
      <c r="P21">
        <v>483.2</v>
      </c>
      <c r="Q21">
        <v>479.6</v>
      </c>
      <c r="R21">
        <v>478.8</v>
      </c>
      <c r="S21">
        <v>478</v>
      </c>
      <c r="T21" s="10">
        <v>477</v>
      </c>
      <c r="U21" s="10">
        <v>479.5</v>
      </c>
      <c r="V21">
        <v>478.4</v>
      </c>
      <c r="W21">
        <v>477.6</v>
      </c>
      <c r="X21" s="10">
        <v>476.5</v>
      </c>
      <c r="Y21">
        <v>475.5</v>
      </c>
      <c r="Z21" s="10">
        <v>474.6</v>
      </c>
      <c r="AA21" s="10">
        <v>473.5</v>
      </c>
      <c r="AB21">
        <v>472.2</v>
      </c>
      <c r="AC21" s="10">
        <v>471.2</v>
      </c>
      <c r="AD21" s="10">
        <v>469.8</v>
      </c>
      <c r="AE21">
        <v>468.5</v>
      </c>
      <c r="AF21" s="10">
        <v>484.6</v>
      </c>
      <c r="AG21" s="10">
        <v>484.1</v>
      </c>
      <c r="AH21">
        <v>483</v>
      </c>
      <c r="AI21" s="10">
        <v>480.3</v>
      </c>
      <c r="AJ21">
        <v>480.9</v>
      </c>
      <c r="AK21">
        <v>479.5</v>
      </c>
    </row>
    <row r="22" spans="1:37">
      <c r="A22" s="1">
        <v>21</v>
      </c>
      <c r="C22">
        <v>446.8</v>
      </c>
      <c r="D22">
        <v>465.4</v>
      </c>
      <c r="E22">
        <v>457.1</v>
      </c>
      <c r="F22">
        <v>446.9</v>
      </c>
      <c r="G22">
        <v>446.9</v>
      </c>
      <c r="H22">
        <v>464.4</v>
      </c>
      <c r="I22">
        <v>464.3</v>
      </c>
      <c r="J22">
        <v>456.1</v>
      </c>
      <c r="K22" s="15">
        <v>469.40000000000003</v>
      </c>
      <c r="L22">
        <v>459.09999999999997</v>
      </c>
      <c r="M22">
        <v>451.59999999999997</v>
      </c>
      <c r="N22">
        <v>440.7</v>
      </c>
      <c r="O22">
        <v>464.8</v>
      </c>
      <c r="P22">
        <v>466.1</v>
      </c>
      <c r="Q22">
        <v>451.9</v>
      </c>
      <c r="R22">
        <v>456.5</v>
      </c>
      <c r="S22">
        <v>458.9</v>
      </c>
      <c r="T22" s="10">
        <v>455.1</v>
      </c>
      <c r="U22" s="10">
        <v>461.1</v>
      </c>
      <c r="V22">
        <v>450.3</v>
      </c>
      <c r="W22">
        <v>438.5</v>
      </c>
      <c r="X22" s="10">
        <v>467.2</v>
      </c>
      <c r="Y22">
        <v>453.1</v>
      </c>
      <c r="Z22" s="10">
        <v>473.8</v>
      </c>
      <c r="AA22" s="10">
        <v>462.7</v>
      </c>
      <c r="AB22">
        <v>459.5</v>
      </c>
      <c r="AC22" s="10">
        <v>463.6</v>
      </c>
      <c r="AD22" s="10">
        <v>451.9</v>
      </c>
      <c r="AE22">
        <v>461</v>
      </c>
      <c r="AF22" s="10">
        <v>471.1</v>
      </c>
      <c r="AG22" s="10">
        <v>459.4</v>
      </c>
      <c r="AH22">
        <v>445.6</v>
      </c>
      <c r="AI22" s="10">
        <v>430.7</v>
      </c>
      <c r="AJ22">
        <v>455.9</v>
      </c>
      <c r="AK22">
        <v>463.6</v>
      </c>
    </row>
    <row r="23" spans="1:37">
      <c r="A23" s="1">
        <v>22</v>
      </c>
      <c r="B23">
        <v>439.5</v>
      </c>
      <c r="C23">
        <v>433.1</v>
      </c>
      <c r="D23">
        <v>467.1</v>
      </c>
      <c r="E23">
        <v>453</v>
      </c>
      <c r="F23">
        <v>454.4</v>
      </c>
      <c r="G23">
        <v>466.3</v>
      </c>
      <c r="H23">
        <v>450.8</v>
      </c>
      <c r="I23">
        <v>466.3</v>
      </c>
      <c r="J23">
        <v>454.2</v>
      </c>
      <c r="K23" s="15">
        <v>468.40000000000003</v>
      </c>
      <c r="L23">
        <v>466.4</v>
      </c>
      <c r="M23">
        <v>452.29999999999995</v>
      </c>
      <c r="N23">
        <v>437.8</v>
      </c>
      <c r="O23">
        <v>459.3</v>
      </c>
      <c r="P23">
        <v>457.5</v>
      </c>
      <c r="Q23">
        <v>441.2</v>
      </c>
      <c r="R23">
        <v>454.9</v>
      </c>
      <c r="S23">
        <v>458.2</v>
      </c>
      <c r="T23" s="10">
        <v>456.9</v>
      </c>
      <c r="U23" s="10">
        <v>462.7</v>
      </c>
      <c r="V23">
        <v>448.6</v>
      </c>
      <c r="W23">
        <v>435.4</v>
      </c>
      <c r="X23" s="10">
        <v>466.9</v>
      </c>
      <c r="Y23">
        <v>453.6</v>
      </c>
      <c r="Z23" s="10">
        <v>472.9</v>
      </c>
      <c r="AA23" s="10">
        <v>460.1</v>
      </c>
      <c r="AB23">
        <v>457.2</v>
      </c>
      <c r="AC23" s="10">
        <v>467.6</v>
      </c>
      <c r="AD23" s="10">
        <v>453.6</v>
      </c>
      <c r="AE23">
        <v>458.9</v>
      </c>
      <c r="AF23" s="10">
        <v>468</v>
      </c>
      <c r="AG23" s="10">
        <v>466.4</v>
      </c>
      <c r="AH23">
        <v>449.8</v>
      </c>
      <c r="AI23" s="10">
        <v>432.1</v>
      </c>
      <c r="AJ23">
        <v>462.2</v>
      </c>
      <c r="AK23">
        <v>462.8</v>
      </c>
    </row>
    <row r="24" spans="1:37">
      <c r="A24" s="1">
        <v>23</v>
      </c>
      <c r="B24">
        <v>472</v>
      </c>
      <c r="C24">
        <v>471.1</v>
      </c>
      <c r="D24">
        <v>464.6</v>
      </c>
      <c r="E24">
        <v>457.2</v>
      </c>
      <c r="F24">
        <v>448.9</v>
      </c>
      <c r="G24">
        <v>449</v>
      </c>
      <c r="H24">
        <v>458.9</v>
      </c>
      <c r="I24">
        <v>462.9</v>
      </c>
      <c r="J24">
        <v>456.7</v>
      </c>
      <c r="K24" s="15">
        <v>468.40000000000003</v>
      </c>
      <c r="L24">
        <v>457.5</v>
      </c>
      <c r="M24">
        <v>464.29999999999995</v>
      </c>
      <c r="N24">
        <v>453</v>
      </c>
      <c r="O24">
        <v>441.2</v>
      </c>
      <c r="P24">
        <v>455</v>
      </c>
      <c r="Q24">
        <v>440.4</v>
      </c>
      <c r="R24">
        <v>459</v>
      </c>
      <c r="S24">
        <v>448.6</v>
      </c>
      <c r="T24" s="10">
        <v>457.7</v>
      </c>
      <c r="U24" s="10">
        <v>461.7</v>
      </c>
      <c r="V24">
        <v>448.4</v>
      </c>
      <c r="W24">
        <v>471.5</v>
      </c>
      <c r="X24" s="10">
        <v>469</v>
      </c>
      <c r="Y24">
        <v>457.5</v>
      </c>
      <c r="Z24" s="10">
        <v>445</v>
      </c>
      <c r="AA24" s="10">
        <v>470.5</v>
      </c>
      <c r="AB24">
        <v>459.9</v>
      </c>
      <c r="AC24" s="10">
        <v>468.1</v>
      </c>
      <c r="AD24" s="10">
        <v>466.8</v>
      </c>
      <c r="AE24">
        <v>465.3</v>
      </c>
      <c r="AF24" s="10">
        <v>474.4</v>
      </c>
      <c r="AG24" s="10">
        <v>458.9</v>
      </c>
      <c r="AH24">
        <v>445</v>
      </c>
      <c r="AI24" s="10">
        <v>428.9</v>
      </c>
      <c r="AJ24">
        <v>456.5</v>
      </c>
      <c r="AK24">
        <v>463.5</v>
      </c>
    </row>
    <row r="25" spans="1:37">
      <c r="A25" s="1">
        <v>24</v>
      </c>
      <c r="B25">
        <v>450.5</v>
      </c>
      <c r="C25">
        <v>445.8</v>
      </c>
      <c r="D25">
        <v>457.1</v>
      </c>
      <c r="E25">
        <v>464.4</v>
      </c>
      <c r="F25">
        <v>466.8</v>
      </c>
      <c r="G25">
        <v>467.8</v>
      </c>
      <c r="H25">
        <v>451.4</v>
      </c>
      <c r="I25">
        <v>462.4</v>
      </c>
      <c r="J25">
        <v>470.1</v>
      </c>
      <c r="K25" s="15">
        <v>449.6</v>
      </c>
      <c r="L25">
        <v>466</v>
      </c>
      <c r="M25">
        <v>464.79999999999995</v>
      </c>
      <c r="N25">
        <v>441.5</v>
      </c>
      <c r="O25">
        <v>460.5</v>
      </c>
      <c r="P25">
        <v>461.3</v>
      </c>
      <c r="Q25">
        <v>437.5</v>
      </c>
      <c r="R25">
        <v>451.5</v>
      </c>
      <c r="S25">
        <v>456.1</v>
      </c>
      <c r="T25" s="10">
        <v>460</v>
      </c>
      <c r="U25" s="10">
        <v>462.9</v>
      </c>
      <c r="V25">
        <v>447.3</v>
      </c>
      <c r="W25">
        <v>470.6</v>
      </c>
      <c r="X25" s="10">
        <v>462.9</v>
      </c>
      <c r="Y25">
        <v>444.4</v>
      </c>
      <c r="Z25" s="10">
        <v>477.8</v>
      </c>
      <c r="AA25" s="10">
        <v>456.1</v>
      </c>
      <c r="AB25">
        <v>454.4</v>
      </c>
      <c r="AC25" s="10">
        <v>467.5</v>
      </c>
      <c r="AD25" s="10">
        <v>463.8</v>
      </c>
      <c r="AE25">
        <v>462.2</v>
      </c>
      <c r="AF25" s="10">
        <v>469.7</v>
      </c>
      <c r="AG25" s="10">
        <v>459</v>
      </c>
      <c r="AH25">
        <v>459.3</v>
      </c>
      <c r="AI25" s="10">
        <v>430.9</v>
      </c>
      <c r="AJ25">
        <v>456.9</v>
      </c>
      <c r="AK25" s="10">
        <v>463</v>
      </c>
    </row>
    <row r="26" spans="1:37">
      <c r="A26" s="1">
        <v>25</v>
      </c>
      <c r="B26">
        <v>454.3</v>
      </c>
      <c r="C26">
        <v>448.7</v>
      </c>
      <c r="D26">
        <v>469.5</v>
      </c>
      <c r="E26">
        <v>456.3</v>
      </c>
      <c r="F26">
        <v>465.7</v>
      </c>
      <c r="G26">
        <v>468.2</v>
      </c>
      <c r="H26">
        <v>462.5</v>
      </c>
      <c r="I26">
        <v>464.5</v>
      </c>
      <c r="J26">
        <v>468.3</v>
      </c>
      <c r="K26" s="15">
        <v>469.7</v>
      </c>
      <c r="L26">
        <v>469.5</v>
      </c>
      <c r="M26">
        <v>465.59999999999997</v>
      </c>
      <c r="N26">
        <v>444.8</v>
      </c>
      <c r="O26">
        <v>456.5</v>
      </c>
      <c r="P26">
        <v>464.5</v>
      </c>
      <c r="Q26">
        <v>437</v>
      </c>
      <c r="R26">
        <v>467</v>
      </c>
      <c r="S26">
        <v>461.1</v>
      </c>
      <c r="T26" s="10">
        <v>463.6</v>
      </c>
      <c r="U26" s="10">
        <v>466.7</v>
      </c>
      <c r="V26">
        <v>474.9</v>
      </c>
      <c r="W26">
        <v>452.4</v>
      </c>
      <c r="X26" s="10">
        <v>466.8</v>
      </c>
      <c r="Y26">
        <v>462.3</v>
      </c>
      <c r="Z26" s="10">
        <v>475.9</v>
      </c>
      <c r="AA26" s="10">
        <v>449.2</v>
      </c>
      <c r="AB26">
        <v>462.2</v>
      </c>
      <c r="AC26" s="10">
        <v>476.5</v>
      </c>
      <c r="AD26" s="10">
        <v>465.6</v>
      </c>
      <c r="AE26">
        <v>467.1</v>
      </c>
      <c r="AF26" s="10">
        <v>474.3</v>
      </c>
      <c r="AG26" s="10">
        <v>468.9</v>
      </c>
      <c r="AH26">
        <v>467.9</v>
      </c>
      <c r="AI26" s="10">
        <v>441.8</v>
      </c>
      <c r="AJ26">
        <v>471.2</v>
      </c>
      <c r="AK26">
        <v>464.6</v>
      </c>
    </row>
    <row r="27" spans="1:37">
      <c r="A27" s="1">
        <v>26</v>
      </c>
      <c r="B27">
        <v>421.9</v>
      </c>
      <c r="C27">
        <v>457.2</v>
      </c>
      <c r="D27">
        <v>447.3</v>
      </c>
      <c r="E27">
        <v>460.4</v>
      </c>
      <c r="F27">
        <v>451.4</v>
      </c>
      <c r="G27">
        <v>451.3</v>
      </c>
      <c r="H27">
        <v>440.9</v>
      </c>
      <c r="I27">
        <v>461.3</v>
      </c>
      <c r="J27">
        <v>447</v>
      </c>
      <c r="K27" s="15">
        <v>458.7</v>
      </c>
      <c r="L27">
        <v>444.5</v>
      </c>
      <c r="M27">
        <v>460.4</v>
      </c>
      <c r="N27">
        <v>442.1</v>
      </c>
      <c r="O27">
        <v>445.5</v>
      </c>
      <c r="P27">
        <v>454.7</v>
      </c>
      <c r="Q27">
        <v>434.6</v>
      </c>
      <c r="R27">
        <v>456.5</v>
      </c>
      <c r="S27">
        <v>458.8</v>
      </c>
      <c r="T27" s="10">
        <v>465.4</v>
      </c>
      <c r="U27" s="10">
        <v>451.5</v>
      </c>
      <c r="V27">
        <v>459.3</v>
      </c>
      <c r="W27">
        <v>441.7</v>
      </c>
      <c r="X27" s="10">
        <v>465</v>
      </c>
      <c r="Y27">
        <v>449.9</v>
      </c>
      <c r="Z27" s="10">
        <v>471.6</v>
      </c>
      <c r="AA27" s="10">
        <v>452.8</v>
      </c>
      <c r="AB27">
        <v>456.9</v>
      </c>
      <c r="AC27" s="10">
        <v>471.2</v>
      </c>
      <c r="AD27" s="10">
        <v>452.4</v>
      </c>
      <c r="AE27">
        <v>463.2</v>
      </c>
      <c r="AF27" s="10">
        <v>473.5</v>
      </c>
      <c r="AG27" s="10">
        <v>455.2</v>
      </c>
      <c r="AH27">
        <v>438.3</v>
      </c>
      <c r="AI27" s="10">
        <v>455.2</v>
      </c>
      <c r="AJ27">
        <v>440.8</v>
      </c>
      <c r="AK27">
        <v>456.8</v>
      </c>
    </row>
    <row r="28" spans="1:37">
      <c r="A28" s="1">
        <v>27</v>
      </c>
      <c r="B28">
        <v>453.2</v>
      </c>
      <c r="C28">
        <v>452.4</v>
      </c>
      <c r="D28">
        <v>470.8</v>
      </c>
      <c r="E28">
        <v>460.6</v>
      </c>
      <c r="F28">
        <v>452.2</v>
      </c>
      <c r="G28">
        <v>458.4</v>
      </c>
      <c r="H28">
        <v>448.3</v>
      </c>
      <c r="I28">
        <v>466.2</v>
      </c>
      <c r="J28">
        <v>456</v>
      </c>
      <c r="K28" s="15">
        <v>461.40000000000003</v>
      </c>
      <c r="L28">
        <v>450.8</v>
      </c>
      <c r="M28">
        <v>461.09999999999997</v>
      </c>
      <c r="N28">
        <v>449.8</v>
      </c>
      <c r="O28">
        <v>460.4</v>
      </c>
      <c r="P28">
        <v>458.7</v>
      </c>
      <c r="Q28">
        <v>442.3</v>
      </c>
      <c r="R28">
        <v>456.4</v>
      </c>
      <c r="S28">
        <v>460.5</v>
      </c>
      <c r="T28" s="10">
        <v>457.4</v>
      </c>
      <c r="U28" s="10">
        <v>462.7</v>
      </c>
      <c r="V28">
        <v>450.1</v>
      </c>
      <c r="W28">
        <v>439.8</v>
      </c>
      <c r="X28" s="10">
        <v>459.3</v>
      </c>
      <c r="Y28">
        <v>445.8</v>
      </c>
      <c r="Z28" s="10">
        <v>471</v>
      </c>
      <c r="AA28" s="10">
        <v>456.9</v>
      </c>
      <c r="AB28">
        <v>459.9</v>
      </c>
      <c r="AC28" s="10">
        <v>468.2</v>
      </c>
      <c r="AD28" s="10">
        <v>456.4</v>
      </c>
      <c r="AE28">
        <v>462.2</v>
      </c>
      <c r="AF28" s="10">
        <v>475.4</v>
      </c>
      <c r="AG28" s="10">
        <v>460.9</v>
      </c>
      <c r="AH28">
        <v>445.3</v>
      </c>
      <c r="AI28" s="10">
        <v>427.7</v>
      </c>
      <c r="AJ28">
        <v>469.3</v>
      </c>
      <c r="AK28" s="10">
        <v>456</v>
      </c>
    </row>
    <row r="29" spans="1:37">
      <c r="A29" s="1">
        <v>28</v>
      </c>
      <c r="B29">
        <v>441.7</v>
      </c>
      <c r="C29">
        <v>441.3</v>
      </c>
      <c r="D29">
        <v>467.8</v>
      </c>
      <c r="E29">
        <v>461.7</v>
      </c>
      <c r="F29">
        <v>449.8</v>
      </c>
      <c r="G29">
        <v>470.8</v>
      </c>
      <c r="H29">
        <v>462.9</v>
      </c>
      <c r="I29">
        <v>453.7</v>
      </c>
      <c r="J29">
        <v>461.2</v>
      </c>
      <c r="K29" s="15">
        <v>462.90000000000003</v>
      </c>
      <c r="L29">
        <v>457</v>
      </c>
      <c r="M29">
        <v>467.59999999999997</v>
      </c>
      <c r="N29">
        <v>459.2</v>
      </c>
      <c r="O29">
        <v>448.7</v>
      </c>
      <c r="P29">
        <v>466.1</v>
      </c>
      <c r="Q29">
        <v>455.5</v>
      </c>
      <c r="R29">
        <v>451.1</v>
      </c>
      <c r="S29">
        <v>464.7</v>
      </c>
      <c r="T29" s="10">
        <v>464.9</v>
      </c>
      <c r="U29" s="10">
        <v>464.4</v>
      </c>
      <c r="V29">
        <v>476.5</v>
      </c>
      <c r="W29">
        <v>466.2</v>
      </c>
      <c r="X29" s="10">
        <v>468</v>
      </c>
      <c r="Y29">
        <v>459.7</v>
      </c>
      <c r="Z29" s="10">
        <v>474.1</v>
      </c>
      <c r="AA29" s="10">
        <v>467.9</v>
      </c>
      <c r="AB29">
        <v>456.8</v>
      </c>
      <c r="AC29" s="10">
        <v>473.6</v>
      </c>
      <c r="AD29" s="10">
        <v>463.2</v>
      </c>
      <c r="AE29">
        <v>465</v>
      </c>
      <c r="AF29" s="10">
        <v>474</v>
      </c>
      <c r="AG29" s="10">
        <v>465.6</v>
      </c>
      <c r="AH29">
        <v>457.1</v>
      </c>
      <c r="AI29" s="10">
        <v>467.9</v>
      </c>
      <c r="AJ29">
        <v>460.8</v>
      </c>
      <c r="AK29">
        <v>471.4</v>
      </c>
    </row>
    <row r="30" spans="1:37">
      <c r="A30" s="1">
        <v>29</v>
      </c>
      <c r="B30">
        <v>448.3</v>
      </c>
      <c r="C30">
        <v>450.5</v>
      </c>
      <c r="D30">
        <v>447.5</v>
      </c>
      <c r="E30">
        <v>465.8</v>
      </c>
      <c r="F30">
        <v>462.6</v>
      </c>
      <c r="G30">
        <v>461.9</v>
      </c>
      <c r="H30">
        <v>459.8</v>
      </c>
      <c r="I30">
        <v>457.6</v>
      </c>
      <c r="J30">
        <v>456.1</v>
      </c>
      <c r="K30" s="15">
        <v>469.5</v>
      </c>
      <c r="L30">
        <v>467.8</v>
      </c>
      <c r="M30">
        <v>466.7</v>
      </c>
      <c r="N30">
        <v>465.4</v>
      </c>
      <c r="O30">
        <v>464.6</v>
      </c>
      <c r="P30">
        <v>479.7</v>
      </c>
      <c r="Q30">
        <v>476.3</v>
      </c>
      <c r="R30">
        <v>475.6</v>
      </c>
      <c r="S30">
        <v>474.7</v>
      </c>
      <c r="T30" s="10">
        <v>473.7</v>
      </c>
      <c r="U30" s="10">
        <v>475.9</v>
      </c>
      <c r="V30">
        <v>474.7</v>
      </c>
      <c r="W30">
        <v>474</v>
      </c>
      <c r="X30" s="10">
        <v>472.8</v>
      </c>
      <c r="Y30">
        <v>471.9</v>
      </c>
      <c r="Z30" s="10">
        <v>471</v>
      </c>
      <c r="AA30" s="10">
        <v>469.7</v>
      </c>
      <c r="AB30">
        <v>468.5</v>
      </c>
      <c r="AC30" s="10">
        <v>467</v>
      </c>
      <c r="AD30" s="10">
        <v>465</v>
      </c>
      <c r="AE30">
        <v>463.7</v>
      </c>
      <c r="AF30" s="10">
        <v>473.8</v>
      </c>
      <c r="AG30" s="10">
        <v>472.6</v>
      </c>
      <c r="AH30">
        <v>471.1</v>
      </c>
      <c r="AI30" s="10">
        <v>467.3</v>
      </c>
      <c r="AJ30">
        <v>466.1</v>
      </c>
      <c r="AK30">
        <v>464.3</v>
      </c>
    </row>
    <row r="31" spans="1:37">
      <c r="A31" s="1">
        <v>30</v>
      </c>
      <c r="B31">
        <v>437.2</v>
      </c>
      <c r="C31">
        <v>440.5</v>
      </c>
      <c r="D31">
        <v>435</v>
      </c>
      <c r="E31">
        <v>462.7</v>
      </c>
      <c r="F31">
        <v>464.4</v>
      </c>
      <c r="G31">
        <v>462.9</v>
      </c>
      <c r="H31">
        <v>459.6</v>
      </c>
      <c r="I31">
        <v>471.3</v>
      </c>
      <c r="J31">
        <v>468.1</v>
      </c>
      <c r="K31" s="15">
        <v>460.8</v>
      </c>
      <c r="L31">
        <v>469.5</v>
      </c>
      <c r="M31">
        <v>465.29999999999995</v>
      </c>
      <c r="N31">
        <v>457</v>
      </c>
      <c r="O31">
        <v>448.3</v>
      </c>
      <c r="P31">
        <v>457.4</v>
      </c>
      <c r="Q31">
        <v>448.3</v>
      </c>
      <c r="R31">
        <v>458.5</v>
      </c>
      <c r="S31">
        <v>455.3</v>
      </c>
      <c r="T31" s="10">
        <v>457.1</v>
      </c>
      <c r="U31" s="10">
        <v>464.8</v>
      </c>
      <c r="V31">
        <v>459.1</v>
      </c>
      <c r="W31">
        <v>455</v>
      </c>
      <c r="X31" s="10">
        <v>462.9</v>
      </c>
      <c r="Y31">
        <v>459.6</v>
      </c>
      <c r="Z31" s="10">
        <v>454.6</v>
      </c>
      <c r="AA31" s="10">
        <v>448.1</v>
      </c>
      <c r="AB31">
        <v>460.2</v>
      </c>
      <c r="AC31" s="10">
        <v>456.6</v>
      </c>
      <c r="AD31" s="10">
        <v>465.7</v>
      </c>
      <c r="AE31">
        <v>459.7</v>
      </c>
      <c r="AF31" s="10">
        <v>473</v>
      </c>
      <c r="AG31" s="10">
        <v>468</v>
      </c>
      <c r="AH31">
        <v>461</v>
      </c>
      <c r="AI31" s="10">
        <v>453.4</v>
      </c>
      <c r="AJ31">
        <v>449.9</v>
      </c>
      <c r="AK31">
        <v>463.6</v>
      </c>
    </row>
    <row r="32" spans="1:37">
      <c r="A32" s="1">
        <v>31</v>
      </c>
      <c r="B32">
        <v>455</v>
      </c>
      <c r="C32">
        <v>454.7</v>
      </c>
      <c r="D32">
        <v>444.8</v>
      </c>
      <c r="E32">
        <v>464.4</v>
      </c>
      <c r="F32">
        <v>472.6</v>
      </c>
      <c r="G32">
        <v>460</v>
      </c>
      <c r="H32">
        <v>448.6</v>
      </c>
      <c r="I32">
        <v>464.5</v>
      </c>
      <c r="J32">
        <v>467.3</v>
      </c>
      <c r="K32" s="15">
        <v>469.90000000000003</v>
      </c>
      <c r="L32">
        <v>470.3</v>
      </c>
      <c r="M32">
        <v>467.4</v>
      </c>
      <c r="N32">
        <v>453.6</v>
      </c>
      <c r="O32">
        <v>443.4</v>
      </c>
      <c r="P32">
        <v>462.3</v>
      </c>
      <c r="Q32">
        <v>447.9</v>
      </c>
      <c r="R32">
        <v>459</v>
      </c>
      <c r="S32">
        <v>464.8</v>
      </c>
      <c r="T32" s="10">
        <v>462.9</v>
      </c>
      <c r="U32" s="10">
        <v>454</v>
      </c>
      <c r="V32">
        <v>474.4</v>
      </c>
      <c r="W32">
        <v>468</v>
      </c>
      <c r="X32" s="10">
        <v>465.9</v>
      </c>
      <c r="Y32">
        <v>460.1</v>
      </c>
      <c r="Z32" s="10">
        <v>452</v>
      </c>
      <c r="AA32" s="10">
        <v>480</v>
      </c>
      <c r="AB32">
        <v>470.5</v>
      </c>
      <c r="AC32" s="10">
        <v>462.7</v>
      </c>
      <c r="AD32" s="10">
        <v>450.7</v>
      </c>
      <c r="AE32">
        <v>466.7</v>
      </c>
      <c r="AF32" s="10">
        <v>474.7</v>
      </c>
      <c r="AG32" s="10">
        <v>465.5</v>
      </c>
      <c r="AH32">
        <v>453.5</v>
      </c>
      <c r="AI32" s="10">
        <v>460.4</v>
      </c>
      <c r="AJ32">
        <v>463.3</v>
      </c>
      <c r="AK32">
        <v>450.6</v>
      </c>
    </row>
    <row r="33" spans="1:37">
      <c r="A33" s="1">
        <v>32</v>
      </c>
      <c r="B33">
        <v>433.1</v>
      </c>
      <c r="C33">
        <v>451.8</v>
      </c>
      <c r="D33">
        <v>446.6</v>
      </c>
      <c r="E33">
        <v>463.3</v>
      </c>
      <c r="F33">
        <v>451.6</v>
      </c>
      <c r="G33">
        <v>450.8</v>
      </c>
      <c r="H33">
        <v>449.3</v>
      </c>
      <c r="I33">
        <v>446.6</v>
      </c>
      <c r="J33">
        <v>445.2</v>
      </c>
      <c r="K33" s="15">
        <v>466.3</v>
      </c>
      <c r="L33">
        <v>465.4</v>
      </c>
      <c r="M33">
        <v>462.29999999999995</v>
      </c>
      <c r="N33">
        <v>458.9</v>
      </c>
      <c r="O33">
        <v>455.7</v>
      </c>
      <c r="P33">
        <v>471.4</v>
      </c>
      <c r="Q33">
        <v>464.2</v>
      </c>
      <c r="R33">
        <v>459.3</v>
      </c>
      <c r="S33">
        <v>453.7</v>
      </c>
      <c r="T33" s="10">
        <v>449</v>
      </c>
      <c r="U33" s="10">
        <v>460.9</v>
      </c>
      <c r="V33">
        <v>452.9</v>
      </c>
      <c r="W33">
        <v>445.9</v>
      </c>
      <c r="X33" s="10">
        <v>462.7</v>
      </c>
      <c r="Y33">
        <v>457.1</v>
      </c>
      <c r="Z33" s="10">
        <v>449.4</v>
      </c>
      <c r="AA33" s="10">
        <v>441.6</v>
      </c>
      <c r="AB33">
        <v>456.9</v>
      </c>
      <c r="AC33" s="10">
        <v>452.8</v>
      </c>
      <c r="AD33" s="10">
        <v>459.3</v>
      </c>
      <c r="AE33">
        <v>450.5</v>
      </c>
      <c r="AF33" s="10">
        <v>473.3</v>
      </c>
      <c r="AG33" s="10">
        <v>468.6</v>
      </c>
      <c r="AH33">
        <v>462.5</v>
      </c>
      <c r="AI33" s="10">
        <v>451.7</v>
      </c>
      <c r="AJ33">
        <v>443.8</v>
      </c>
      <c r="AK33">
        <v>461.8</v>
      </c>
    </row>
    <row r="34" spans="1:37">
      <c r="A34" s="1">
        <v>33</v>
      </c>
      <c r="B34">
        <v>453.6</v>
      </c>
      <c r="C34">
        <v>467.3</v>
      </c>
      <c r="D34">
        <v>465.6</v>
      </c>
      <c r="E34">
        <v>458.3</v>
      </c>
      <c r="F34">
        <v>471</v>
      </c>
      <c r="G34">
        <v>458.9</v>
      </c>
      <c r="H34">
        <v>448.3</v>
      </c>
      <c r="I34">
        <v>468</v>
      </c>
      <c r="J34">
        <v>466.4</v>
      </c>
      <c r="K34" s="15">
        <v>466.90000000000003</v>
      </c>
      <c r="L34">
        <v>468.3</v>
      </c>
      <c r="M34">
        <v>455.79999999999995</v>
      </c>
      <c r="N34">
        <v>439.3</v>
      </c>
      <c r="O34">
        <v>465.2</v>
      </c>
      <c r="P34">
        <v>468.2</v>
      </c>
      <c r="Q34">
        <v>451.2</v>
      </c>
      <c r="R34">
        <v>461.9</v>
      </c>
      <c r="S34">
        <v>464.9</v>
      </c>
      <c r="T34" s="10">
        <v>462.9</v>
      </c>
      <c r="U34" s="10">
        <v>450.8</v>
      </c>
      <c r="V34">
        <v>457.7</v>
      </c>
      <c r="W34">
        <v>442.2</v>
      </c>
      <c r="X34" s="10">
        <v>463.7</v>
      </c>
      <c r="Y34">
        <v>464</v>
      </c>
      <c r="Z34" s="10">
        <v>467.2</v>
      </c>
      <c r="AA34" s="10">
        <v>451</v>
      </c>
      <c r="AB34">
        <v>461.7</v>
      </c>
      <c r="AC34" s="10">
        <v>472.1</v>
      </c>
      <c r="AD34" s="10">
        <v>452.3</v>
      </c>
      <c r="AE34">
        <v>470.5</v>
      </c>
      <c r="AF34" s="10">
        <v>470.8</v>
      </c>
      <c r="AG34" s="10">
        <v>470.4</v>
      </c>
      <c r="AH34">
        <v>452.6</v>
      </c>
      <c r="AI34" s="10">
        <v>465.3</v>
      </c>
      <c r="AJ34">
        <v>451.1</v>
      </c>
      <c r="AK34">
        <v>465.9</v>
      </c>
    </row>
    <row r="35" spans="1:37">
      <c r="A35" s="1">
        <v>34</v>
      </c>
      <c r="B35">
        <v>427.8</v>
      </c>
      <c r="C35">
        <v>411.8</v>
      </c>
      <c r="D35">
        <v>465.1</v>
      </c>
      <c r="E35">
        <v>453.1</v>
      </c>
      <c r="F35">
        <v>462.1</v>
      </c>
      <c r="G35">
        <v>466.5</v>
      </c>
      <c r="H35">
        <v>447.8</v>
      </c>
      <c r="I35">
        <v>464.8</v>
      </c>
      <c r="J35">
        <v>468</v>
      </c>
      <c r="K35" s="15">
        <v>470.6</v>
      </c>
      <c r="L35">
        <v>468.59999999999997</v>
      </c>
      <c r="M35">
        <v>468.29999999999995</v>
      </c>
      <c r="N35">
        <v>445.4</v>
      </c>
      <c r="O35">
        <v>456.6</v>
      </c>
      <c r="P35">
        <v>474.5</v>
      </c>
      <c r="Q35">
        <v>447.8</v>
      </c>
      <c r="R35">
        <v>462.8</v>
      </c>
      <c r="S35">
        <v>468.2</v>
      </c>
      <c r="T35" s="10">
        <v>461.4</v>
      </c>
      <c r="U35" s="10">
        <v>466.7</v>
      </c>
      <c r="V35">
        <v>465.8</v>
      </c>
      <c r="W35">
        <v>475</v>
      </c>
      <c r="X35" s="10">
        <v>468.8</v>
      </c>
      <c r="Y35">
        <v>459.3</v>
      </c>
      <c r="Z35" s="10">
        <v>476.5</v>
      </c>
      <c r="AA35" s="10">
        <v>451.7</v>
      </c>
      <c r="AB35">
        <v>460.4</v>
      </c>
      <c r="AC35" s="10">
        <v>473.3</v>
      </c>
      <c r="AD35" s="10">
        <v>467</v>
      </c>
      <c r="AE35">
        <v>464.7</v>
      </c>
      <c r="AF35" s="10">
        <v>474.5</v>
      </c>
      <c r="AG35" s="10">
        <v>468.6</v>
      </c>
      <c r="AH35">
        <v>437.5</v>
      </c>
      <c r="AI35" s="10">
        <v>459.1</v>
      </c>
      <c r="AJ35">
        <v>460.5</v>
      </c>
      <c r="AK35">
        <v>461.9</v>
      </c>
    </row>
    <row r="36" spans="1:37">
      <c r="A36" s="1">
        <v>35</v>
      </c>
      <c r="B36">
        <v>431.2</v>
      </c>
      <c r="C36">
        <v>430.3</v>
      </c>
      <c r="D36">
        <v>467</v>
      </c>
      <c r="E36">
        <v>462.5</v>
      </c>
      <c r="F36">
        <v>449.4</v>
      </c>
      <c r="G36">
        <v>462.9</v>
      </c>
      <c r="H36">
        <v>454.3</v>
      </c>
      <c r="I36">
        <v>465</v>
      </c>
      <c r="J36">
        <v>455.6</v>
      </c>
      <c r="K36" s="15">
        <v>464</v>
      </c>
      <c r="L36">
        <v>456.09999999999997</v>
      </c>
      <c r="M36">
        <v>448.7</v>
      </c>
      <c r="N36">
        <v>438.8</v>
      </c>
      <c r="O36">
        <v>428.6</v>
      </c>
      <c r="P36">
        <v>462.1</v>
      </c>
      <c r="Q36">
        <v>450</v>
      </c>
      <c r="R36">
        <v>440</v>
      </c>
      <c r="S36">
        <v>455.6</v>
      </c>
      <c r="T36" s="10">
        <v>459</v>
      </c>
      <c r="U36" s="10">
        <v>451.3</v>
      </c>
      <c r="V36">
        <v>440</v>
      </c>
      <c r="W36">
        <v>467.3</v>
      </c>
      <c r="X36" s="10">
        <v>456.8</v>
      </c>
      <c r="Y36">
        <v>445.6</v>
      </c>
      <c r="Z36" s="10">
        <v>470.2</v>
      </c>
      <c r="AA36" s="10">
        <v>463.8</v>
      </c>
      <c r="AB36">
        <v>455.6</v>
      </c>
      <c r="AC36" s="10">
        <v>446.3</v>
      </c>
      <c r="AD36" s="10">
        <v>439.7</v>
      </c>
      <c r="AE36">
        <v>460.9</v>
      </c>
      <c r="AF36" s="10">
        <v>472.5</v>
      </c>
      <c r="AG36" s="10">
        <v>464.1</v>
      </c>
      <c r="AH36">
        <v>454</v>
      </c>
      <c r="AI36" s="10">
        <v>440.4</v>
      </c>
      <c r="AJ36">
        <v>468.9</v>
      </c>
      <c r="AK36">
        <v>460.6</v>
      </c>
    </row>
    <row r="37" spans="1:37">
      <c r="A37" s="1">
        <v>36</v>
      </c>
      <c r="B37">
        <v>453</v>
      </c>
      <c r="C37">
        <v>451.2</v>
      </c>
      <c r="D37">
        <v>440.4</v>
      </c>
      <c r="E37">
        <v>461</v>
      </c>
      <c r="F37">
        <v>457.8</v>
      </c>
      <c r="G37">
        <v>472.3</v>
      </c>
      <c r="H37">
        <v>467</v>
      </c>
      <c r="I37">
        <v>457</v>
      </c>
      <c r="J37">
        <v>467.8</v>
      </c>
      <c r="K37" s="15">
        <v>455.1</v>
      </c>
      <c r="L37">
        <v>463.3</v>
      </c>
      <c r="M37">
        <v>463.79999999999995</v>
      </c>
      <c r="N37">
        <v>452.4</v>
      </c>
      <c r="O37">
        <v>442.9</v>
      </c>
      <c r="P37">
        <v>462.6</v>
      </c>
      <c r="Q37">
        <v>449.2</v>
      </c>
      <c r="R37">
        <v>460.7</v>
      </c>
      <c r="S37">
        <v>449.3</v>
      </c>
      <c r="T37" s="10">
        <v>449.4</v>
      </c>
      <c r="U37" s="10">
        <v>459.4</v>
      </c>
      <c r="V37">
        <v>444.6</v>
      </c>
      <c r="W37">
        <v>468.4</v>
      </c>
      <c r="X37" s="10">
        <v>456.5</v>
      </c>
      <c r="Y37">
        <v>461.1</v>
      </c>
      <c r="Z37" s="10">
        <v>480.8</v>
      </c>
      <c r="AA37" s="10">
        <v>466.2</v>
      </c>
      <c r="AB37">
        <v>453.9</v>
      </c>
      <c r="AC37" s="10">
        <v>478.6</v>
      </c>
      <c r="AD37" s="10">
        <v>465.7</v>
      </c>
      <c r="AE37">
        <v>464.4</v>
      </c>
      <c r="AF37" s="10">
        <v>473.3</v>
      </c>
      <c r="AG37" s="10">
        <v>462</v>
      </c>
      <c r="AH37">
        <v>446.9</v>
      </c>
      <c r="AI37" s="10">
        <v>430.9</v>
      </c>
      <c r="AJ37">
        <v>469.4</v>
      </c>
      <c r="AK37">
        <v>455.7</v>
      </c>
    </row>
    <row r="38" spans="1:37">
      <c r="A38" s="1">
        <v>37</v>
      </c>
      <c r="B38">
        <v>437.1</v>
      </c>
      <c r="C38">
        <v>430.1</v>
      </c>
      <c r="D38">
        <v>461.2</v>
      </c>
      <c r="E38">
        <v>466.5</v>
      </c>
      <c r="F38">
        <v>454.7</v>
      </c>
      <c r="G38">
        <v>463.7</v>
      </c>
      <c r="H38">
        <v>469.6</v>
      </c>
      <c r="I38">
        <v>447.6</v>
      </c>
      <c r="J38">
        <v>460.4</v>
      </c>
      <c r="K38" s="15">
        <v>464</v>
      </c>
      <c r="L38">
        <v>463.7</v>
      </c>
      <c r="M38">
        <v>463.9</v>
      </c>
      <c r="N38">
        <v>439.3</v>
      </c>
      <c r="O38">
        <v>441</v>
      </c>
      <c r="P38">
        <v>457</v>
      </c>
      <c r="Q38">
        <v>466.6</v>
      </c>
      <c r="R38">
        <v>459.4</v>
      </c>
      <c r="S38">
        <v>455</v>
      </c>
      <c r="T38" s="10">
        <v>460.2</v>
      </c>
      <c r="U38" s="10">
        <v>460.6</v>
      </c>
      <c r="V38">
        <v>442</v>
      </c>
      <c r="W38">
        <v>469.1</v>
      </c>
      <c r="X38" s="10">
        <v>460.6</v>
      </c>
      <c r="Y38">
        <v>463.6</v>
      </c>
      <c r="Z38" s="10">
        <v>478.2</v>
      </c>
      <c r="AA38" s="10">
        <v>452.4</v>
      </c>
      <c r="AB38">
        <v>452.9</v>
      </c>
      <c r="AC38" s="10">
        <v>472.3</v>
      </c>
      <c r="AD38" s="10">
        <v>462</v>
      </c>
      <c r="AE38">
        <v>457.6</v>
      </c>
      <c r="AF38" s="10">
        <v>472.1</v>
      </c>
      <c r="AG38" s="10">
        <v>461.4</v>
      </c>
      <c r="AH38">
        <v>461</v>
      </c>
      <c r="AI38" s="10">
        <v>459</v>
      </c>
      <c r="AJ38">
        <v>460.9</v>
      </c>
      <c r="AK38">
        <v>463.1</v>
      </c>
    </row>
    <row r="39" spans="1:37">
      <c r="A39" s="1">
        <v>38</v>
      </c>
      <c r="B39">
        <v>420.5</v>
      </c>
      <c r="C39">
        <v>451.6</v>
      </c>
      <c r="D39">
        <v>438.7</v>
      </c>
      <c r="E39">
        <v>460.1</v>
      </c>
      <c r="F39">
        <v>463.6</v>
      </c>
      <c r="G39">
        <v>449.5</v>
      </c>
      <c r="H39">
        <v>457.3</v>
      </c>
      <c r="I39">
        <v>457.1</v>
      </c>
      <c r="J39">
        <v>463.7</v>
      </c>
      <c r="K39" s="15">
        <v>459</v>
      </c>
      <c r="L39">
        <v>443</v>
      </c>
      <c r="M39">
        <v>457.7</v>
      </c>
      <c r="N39">
        <v>442</v>
      </c>
      <c r="O39">
        <v>424.8</v>
      </c>
      <c r="P39">
        <v>452.3</v>
      </c>
      <c r="Q39">
        <v>463.3</v>
      </c>
      <c r="R39">
        <v>448.5</v>
      </c>
      <c r="S39">
        <v>458.3</v>
      </c>
      <c r="T39" s="10">
        <v>440.5</v>
      </c>
      <c r="U39" s="10">
        <v>459.1</v>
      </c>
      <c r="V39">
        <v>443.3</v>
      </c>
      <c r="W39">
        <v>470.2</v>
      </c>
      <c r="X39" s="10">
        <v>451.7</v>
      </c>
      <c r="Y39">
        <v>451.6</v>
      </c>
      <c r="Z39" s="10">
        <v>474.1</v>
      </c>
      <c r="AA39" s="10">
        <v>456.7</v>
      </c>
      <c r="AB39">
        <v>443</v>
      </c>
      <c r="AC39" s="10">
        <v>465.4</v>
      </c>
      <c r="AD39" s="10">
        <v>440.9</v>
      </c>
      <c r="AE39">
        <v>461.4</v>
      </c>
      <c r="AF39" s="10">
        <v>471.9</v>
      </c>
      <c r="AG39" s="10">
        <v>455.1</v>
      </c>
      <c r="AH39">
        <v>461.2</v>
      </c>
      <c r="AI39" s="10">
        <v>463.7</v>
      </c>
      <c r="AJ39">
        <v>448.9</v>
      </c>
      <c r="AK39">
        <v>462.2</v>
      </c>
    </row>
    <row r="40" spans="1:37">
      <c r="A40" s="1">
        <v>39</v>
      </c>
      <c r="B40">
        <v>442.4</v>
      </c>
      <c r="C40">
        <v>444.6</v>
      </c>
      <c r="D40">
        <v>442.9</v>
      </c>
      <c r="E40">
        <v>465.5</v>
      </c>
      <c r="F40">
        <v>452.4</v>
      </c>
      <c r="G40">
        <v>449.8</v>
      </c>
      <c r="H40">
        <v>448.6</v>
      </c>
      <c r="I40">
        <v>463.4</v>
      </c>
      <c r="J40">
        <v>462.4</v>
      </c>
      <c r="K40" s="15">
        <v>460.3</v>
      </c>
      <c r="L40">
        <v>457.4</v>
      </c>
      <c r="M40">
        <v>452.29999999999995</v>
      </c>
      <c r="N40">
        <v>449</v>
      </c>
      <c r="O40">
        <v>442.9</v>
      </c>
      <c r="P40">
        <v>456.9</v>
      </c>
      <c r="Q40">
        <v>445.6</v>
      </c>
      <c r="R40">
        <v>461.5</v>
      </c>
      <c r="S40">
        <v>452.1</v>
      </c>
      <c r="T40" s="10">
        <v>459.6</v>
      </c>
      <c r="U40" s="10">
        <v>457.8</v>
      </c>
      <c r="V40">
        <v>462.2</v>
      </c>
      <c r="W40">
        <v>445.5</v>
      </c>
      <c r="X40" s="10">
        <v>459.9</v>
      </c>
      <c r="Y40">
        <v>439.4</v>
      </c>
      <c r="Z40" s="10">
        <v>476.5</v>
      </c>
      <c r="AA40" s="10">
        <v>453.7</v>
      </c>
      <c r="AB40">
        <v>458.6</v>
      </c>
      <c r="AC40" s="10">
        <v>475.5</v>
      </c>
      <c r="AD40" s="10">
        <v>454.1</v>
      </c>
      <c r="AE40">
        <v>463.5</v>
      </c>
      <c r="AF40" s="10">
        <v>470.8</v>
      </c>
      <c r="AG40" s="10">
        <v>458.8</v>
      </c>
      <c r="AH40">
        <v>463.9</v>
      </c>
      <c r="AI40" s="10">
        <v>459.7</v>
      </c>
      <c r="AJ40">
        <v>464.5</v>
      </c>
      <c r="AK40">
        <v>466.7</v>
      </c>
    </row>
    <row r="41" spans="1:37">
      <c r="A41" s="1">
        <v>40</v>
      </c>
      <c r="B41">
        <v>447.7</v>
      </c>
      <c r="C41">
        <v>449.3</v>
      </c>
      <c r="D41">
        <v>448.2</v>
      </c>
      <c r="E41">
        <v>446.9</v>
      </c>
      <c r="F41">
        <v>448.3</v>
      </c>
      <c r="G41">
        <v>464.5</v>
      </c>
      <c r="H41">
        <v>463.6</v>
      </c>
      <c r="I41">
        <v>462.6</v>
      </c>
      <c r="J41">
        <v>459.6</v>
      </c>
      <c r="K41" s="15">
        <v>457.5</v>
      </c>
      <c r="L41">
        <v>456.5</v>
      </c>
      <c r="M41">
        <v>455</v>
      </c>
      <c r="N41">
        <v>453.5</v>
      </c>
      <c r="O41">
        <v>452.7</v>
      </c>
      <c r="P41">
        <v>460.3</v>
      </c>
      <c r="Q41">
        <v>456.5</v>
      </c>
      <c r="R41">
        <v>455.4</v>
      </c>
      <c r="S41">
        <v>465.8</v>
      </c>
      <c r="T41" s="10">
        <v>464.8</v>
      </c>
      <c r="U41" s="10">
        <v>466.5</v>
      </c>
      <c r="V41">
        <v>465.3</v>
      </c>
      <c r="W41">
        <v>464.4</v>
      </c>
      <c r="X41" s="10">
        <v>463.3</v>
      </c>
      <c r="Y41">
        <v>462.1</v>
      </c>
      <c r="Z41" s="10">
        <v>461.1</v>
      </c>
      <c r="AA41" s="10">
        <v>459.7</v>
      </c>
      <c r="AB41">
        <v>458.5</v>
      </c>
      <c r="AC41" s="10">
        <v>457.7</v>
      </c>
      <c r="AD41" s="10">
        <v>456.3</v>
      </c>
      <c r="AE41">
        <v>454.8</v>
      </c>
      <c r="AF41" s="10">
        <v>467.1</v>
      </c>
      <c r="AG41" s="10">
        <v>466.5</v>
      </c>
      <c r="AH41">
        <v>465</v>
      </c>
      <c r="AI41" s="10">
        <v>461.9</v>
      </c>
      <c r="AJ41">
        <v>462.3</v>
      </c>
      <c r="AK41" s="10">
        <v>461</v>
      </c>
    </row>
    <row r="42" spans="1:37">
      <c r="A42" s="1">
        <v>41</v>
      </c>
      <c r="B42">
        <v>439.1</v>
      </c>
      <c r="C42">
        <v>450.9</v>
      </c>
      <c r="D42">
        <v>442.1</v>
      </c>
      <c r="E42">
        <v>468.4</v>
      </c>
      <c r="F42">
        <v>453.3</v>
      </c>
      <c r="G42">
        <v>458.5</v>
      </c>
      <c r="H42">
        <v>443.1</v>
      </c>
      <c r="I42">
        <v>458</v>
      </c>
      <c r="J42">
        <v>458.6</v>
      </c>
      <c r="K42" s="15">
        <v>461.3</v>
      </c>
      <c r="L42">
        <v>446.7</v>
      </c>
      <c r="M42">
        <v>458</v>
      </c>
      <c r="N42">
        <v>441.6</v>
      </c>
      <c r="O42">
        <v>461.7</v>
      </c>
      <c r="P42">
        <v>461.1</v>
      </c>
      <c r="Q42">
        <v>444.7</v>
      </c>
      <c r="R42">
        <v>456.4</v>
      </c>
      <c r="S42">
        <v>457.3</v>
      </c>
      <c r="T42" s="10">
        <v>455.7</v>
      </c>
      <c r="U42" s="10">
        <v>460.3</v>
      </c>
      <c r="V42">
        <v>447.5</v>
      </c>
      <c r="W42">
        <v>474.2</v>
      </c>
      <c r="X42" s="10">
        <v>457.3</v>
      </c>
      <c r="Y42">
        <v>456.3</v>
      </c>
      <c r="Z42" s="10">
        <v>474.9</v>
      </c>
      <c r="AA42" s="10">
        <v>458.9</v>
      </c>
      <c r="AB42">
        <v>461.3</v>
      </c>
      <c r="AC42" s="10">
        <v>445.4</v>
      </c>
      <c r="AD42" s="10">
        <v>454.2</v>
      </c>
      <c r="AE42">
        <v>465.7</v>
      </c>
      <c r="AF42" s="10">
        <v>466.7</v>
      </c>
      <c r="AG42" s="10">
        <v>465.6</v>
      </c>
      <c r="AH42">
        <v>449.7</v>
      </c>
      <c r="AI42" s="10">
        <v>452.6</v>
      </c>
      <c r="AJ42" s="10">
        <v>463</v>
      </c>
      <c r="AK42">
        <v>449.7</v>
      </c>
    </row>
    <row r="43" spans="1:37">
      <c r="A43" s="1">
        <v>42</v>
      </c>
      <c r="B43">
        <v>445.7</v>
      </c>
      <c r="C43">
        <v>468.4</v>
      </c>
      <c r="D43">
        <v>465.4</v>
      </c>
      <c r="E43">
        <v>458</v>
      </c>
      <c r="F43">
        <v>455.3</v>
      </c>
      <c r="G43">
        <v>460.2</v>
      </c>
      <c r="H43">
        <v>454.3</v>
      </c>
      <c r="I43">
        <v>447.5</v>
      </c>
      <c r="J43">
        <v>465.8</v>
      </c>
      <c r="K43" s="15">
        <v>459</v>
      </c>
      <c r="L43">
        <v>452.59999999999997</v>
      </c>
      <c r="M43">
        <v>466.59999999999997</v>
      </c>
      <c r="N43">
        <v>458.2</v>
      </c>
      <c r="O43">
        <v>448.6</v>
      </c>
      <c r="P43">
        <v>464.3</v>
      </c>
      <c r="Q43">
        <v>456.1</v>
      </c>
      <c r="R43">
        <v>448.1</v>
      </c>
      <c r="S43">
        <v>466.3</v>
      </c>
      <c r="T43" s="10">
        <v>458.3</v>
      </c>
      <c r="U43" s="10">
        <v>453.4</v>
      </c>
      <c r="V43">
        <v>447.8</v>
      </c>
      <c r="W43">
        <v>441.4</v>
      </c>
      <c r="X43" s="10">
        <v>461.4</v>
      </c>
      <c r="Y43">
        <v>453.3</v>
      </c>
      <c r="Z43" s="10">
        <v>445.8</v>
      </c>
      <c r="AA43" s="10">
        <v>465.9</v>
      </c>
      <c r="AB43">
        <v>457.4</v>
      </c>
      <c r="AC43" s="10">
        <v>473.3</v>
      </c>
      <c r="AD43" s="10">
        <v>464.9</v>
      </c>
      <c r="AE43">
        <v>455.9</v>
      </c>
      <c r="AF43" s="10">
        <v>476.5</v>
      </c>
      <c r="AG43" s="10">
        <v>467.7</v>
      </c>
      <c r="AH43">
        <v>459.5</v>
      </c>
      <c r="AI43" s="10">
        <v>453.3</v>
      </c>
      <c r="AJ43">
        <v>446.8</v>
      </c>
      <c r="AK43">
        <v>462.7</v>
      </c>
    </row>
    <row r="44" spans="1:37">
      <c r="A44" s="1">
        <v>43</v>
      </c>
      <c r="B44">
        <v>455.5</v>
      </c>
      <c r="C44">
        <v>460.8</v>
      </c>
      <c r="D44">
        <v>456.8</v>
      </c>
      <c r="E44">
        <v>450.2</v>
      </c>
      <c r="F44">
        <v>460.6</v>
      </c>
      <c r="G44">
        <v>452.7</v>
      </c>
      <c r="H44">
        <v>465.7</v>
      </c>
      <c r="I44">
        <v>455.5</v>
      </c>
      <c r="J44">
        <v>462.4</v>
      </c>
      <c r="K44" s="15">
        <v>454</v>
      </c>
      <c r="L44">
        <v>467.7</v>
      </c>
      <c r="M44">
        <v>458.29999999999995</v>
      </c>
      <c r="N44">
        <v>447.7</v>
      </c>
      <c r="O44">
        <v>437.8</v>
      </c>
      <c r="P44">
        <v>457.4</v>
      </c>
      <c r="Q44">
        <v>444.4</v>
      </c>
      <c r="R44">
        <v>462.7</v>
      </c>
      <c r="S44">
        <v>453.4</v>
      </c>
      <c r="T44" s="10">
        <v>463.4</v>
      </c>
      <c r="U44" s="10">
        <v>461.5</v>
      </c>
      <c r="V44">
        <v>450.9</v>
      </c>
      <c r="W44">
        <v>476.4</v>
      </c>
      <c r="X44" s="10">
        <v>464.5</v>
      </c>
      <c r="Y44">
        <v>450.2</v>
      </c>
      <c r="Z44" s="10">
        <v>437.1</v>
      </c>
      <c r="AA44" s="10">
        <v>466.1</v>
      </c>
      <c r="AB44">
        <v>456</v>
      </c>
      <c r="AC44" s="10">
        <v>475.4</v>
      </c>
      <c r="AD44" s="10">
        <v>464.7</v>
      </c>
      <c r="AE44">
        <v>464</v>
      </c>
      <c r="AF44" s="10">
        <v>469.3</v>
      </c>
      <c r="AG44" s="10">
        <v>467.3</v>
      </c>
      <c r="AH44">
        <v>456.1</v>
      </c>
      <c r="AI44" s="10">
        <v>448.7</v>
      </c>
      <c r="AJ44">
        <v>477.7</v>
      </c>
      <c r="AK44">
        <v>463.3</v>
      </c>
    </row>
    <row r="45" spans="1:37">
      <c r="A45" s="1">
        <v>44</v>
      </c>
      <c r="B45">
        <v>450.9</v>
      </c>
      <c r="C45">
        <v>454.2</v>
      </c>
      <c r="D45">
        <v>449.6</v>
      </c>
      <c r="E45">
        <v>469.2</v>
      </c>
      <c r="F45">
        <v>464.7</v>
      </c>
      <c r="G45">
        <v>454.5</v>
      </c>
      <c r="H45">
        <v>464.7</v>
      </c>
      <c r="I45">
        <v>452.5</v>
      </c>
      <c r="J45">
        <v>471.5</v>
      </c>
      <c r="K45" s="15">
        <v>458.7</v>
      </c>
      <c r="L45">
        <v>466.59999999999997</v>
      </c>
      <c r="M45">
        <v>452.79999999999995</v>
      </c>
      <c r="N45">
        <v>438.5</v>
      </c>
      <c r="O45">
        <v>442.4</v>
      </c>
      <c r="P45">
        <v>456.2</v>
      </c>
      <c r="Q45">
        <v>472</v>
      </c>
      <c r="R45">
        <v>460.1</v>
      </c>
      <c r="S45">
        <v>463</v>
      </c>
      <c r="T45" s="10">
        <v>466.9</v>
      </c>
      <c r="U45" s="10">
        <v>457.1</v>
      </c>
      <c r="V45">
        <v>466.5</v>
      </c>
      <c r="W45">
        <v>451.7</v>
      </c>
      <c r="X45" s="10">
        <v>464.6</v>
      </c>
      <c r="Y45">
        <v>450.4</v>
      </c>
      <c r="Z45" s="10">
        <v>477.1</v>
      </c>
      <c r="AA45" s="10">
        <v>463.9</v>
      </c>
      <c r="AB45">
        <v>450.1</v>
      </c>
      <c r="AC45" s="10">
        <v>473.2</v>
      </c>
      <c r="AD45" s="10">
        <v>458.1</v>
      </c>
      <c r="AE45">
        <v>465.1</v>
      </c>
      <c r="AF45" s="10">
        <v>478.3</v>
      </c>
      <c r="AG45" s="10">
        <v>465.7</v>
      </c>
      <c r="AH45">
        <v>450</v>
      </c>
      <c r="AI45" s="10">
        <v>458.9</v>
      </c>
      <c r="AJ45">
        <v>471.2</v>
      </c>
      <c r="AK45">
        <v>456.8</v>
      </c>
    </row>
    <row r="46" spans="1:37">
      <c r="A46" s="1">
        <v>45</v>
      </c>
      <c r="B46">
        <v>445.7</v>
      </c>
      <c r="C46">
        <v>440.4</v>
      </c>
      <c r="D46">
        <v>461.1</v>
      </c>
      <c r="E46">
        <v>458.6</v>
      </c>
      <c r="F46">
        <v>460.6</v>
      </c>
      <c r="G46">
        <v>457.9</v>
      </c>
      <c r="H46">
        <v>465.5</v>
      </c>
      <c r="I46">
        <v>456.1</v>
      </c>
      <c r="J46">
        <v>468.3</v>
      </c>
      <c r="K46" s="15">
        <v>467.3</v>
      </c>
      <c r="L46">
        <v>453.59999999999997</v>
      </c>
      <c r="M46">
        <v>460.7</v>
      </c>
      <c r="N46">
        <v>447.2</v>
      </c>
      <c r="O46">
        <v>452.3</v>
      </c>
      <c r="P46">
        <v>461.3</v>
      </c>
      <c r="Q46">
        <v>478.7</v>
      </c>
      <c r="R46">
        <v>455.6</v>
      </c>
      <c r="S46">
        <v>459.7</v>
      </c>
      <c r="T46" s="10">
        <v>456.5</v>
      </c>
      <c r="U46" s="10">
        <v>458.4</v>
      </c>
      <c r="V46">
        <v>458.5</v>
      </c>
      <c r="W46">
        <v>446.8</v>
      </c>
      <c r="X46" s="10">
        <v>459.5</v>
      </c>
      <c r="Y46">
        <v>445.2</v>
      </c>
      <c r="Z46" s="10">
        <v>473.8</v>
      </c>
      <c r="AA46" s="10">
        <v>455.6</v>
      </c>
      <c r="AB46">
        <v>459.1</v>
      </c>
      <c r="AC46" s="10">
        <v>446.6</v>
      </c>
      <c r="AD46" s="10">
        <v>464.3</v>
      </c>
      <c r="AE46">
        <v>448.2</v>
      </c>
      <c r="AF46" s="10">
        <v>474.2</v>
      </c>
      <c r="AG46" s="10">
        <v>458.7</v>
      </c>
      <c r="AH46">
        <v>441.7</v>
      </c>
      <c r="AI46" s="10">
        <v>464.6</v>
      </c>
      <c r="AJ46">
        <v>450.1</v>
      </c>
      <c r="AK46">
        <v>462.7</v>
      </c>
    </row>
    <row r="47" spans="1:37">
      <c r="A47" s="1">
        <v>46</v>
      </c>
      <c r="B47">
        <v>436.5</v>
      </c>
      <c r="C47">
        <v>450.5</v>
      </c>
      <c r="D47">
        <v>465.4</v>
      </c>
      <c r="E47">
        <v>449.9</v>
      </c>
      <c r="F47">
        <v>462.3</v>
      </c>
      <c r="G47">
        <v>462</v>
      </c>
      <c r="H47">
        <v>470.8</v>
      </c>
      <c r="I47">
        <v>465.7</v>
      </c>
      <c r="J47">
        <v>472.1</v>
      </c>
      <c r="K47" s="15">
        <v>444.90000000000003</v>
      </c>
      <c r="L47">
        <v>469.4</v>
      </c>
      <c r="M47">
        <v>469.29999999999995</v>
      </c>
      <c r="N47">
        <v>443.1</v>
      </c>
      <c r="O47">
        <v>452.8</v>
      </c>
      <c r="P47">
        <v>477.1</v>
      </c>
      <c r="Q47">
        <v>450.1</v>
      </c>
      <c r="R47">
        <v>468.7</v>
      </c>
      <c r="S47">
        <v>466.6</v>
      </c>
      <c r="T47" s="10">
        <v>468.9</v>
      </c>
      <c r="U47" s="10">
        <v>470.8</v>
      </c>
      <c r="V47">
        <v>469.5</v>
      </c>
      <c r="W47">
        <v>474.7</v>
      </c>
      <c r="X47" s="10">
        <v>469.9</v>
      </c>
      <c r="Y47">
        <v>460.6</v>
      </c>
      <c r="Z47" s="10">
        <v>485.7</v>
      </c>
      <c r="AA47" s="10">
        <v>461.8</v>
      </c>
      <c r="AB47">
        <v>469.5</v>
      </c>
      <c r="AC47" s="10">
        <v>480.1</v>
      </c>
      <c r="AD47" s="10">
        <v>474.2</v>
      </c>
      <c r="AE47">
        <v>469.6</v>
      </c>
      <c r="AF47" s="10">
        <v>471.5</v>
      </c>
      <c r="AG47" s="10">
        <v>476.8</v>
      </c>
      <c r="AH47">
        <v>472.7</v>
      </c>
      <c r="AI47" s="10">
        <v>472</v>
      </c>
      <c r="AJ47">
        <v>476.5</v>
      </c>
      <c r="AK47">
        <v>471.6</v>
      </c>
    </row>
    <row r="48" spans="1:37">
      <c r="A48" s="1">
        <v>47</v>
      </c>
      <c r="B48">
        <v>451.5</v>
      </c>
      <c r="C48">
        <v>464.2</v>
      </c>
      <c r="D48">
        <v>452.3</v>
      </c>
      <c r="E48">
        <v>475.8</v>
      </c>
      <c r="F48">
        <v>463.9</v>
      </c>
      <c r="G48">
        <v>472</v>
      </c>
      <c r="H48">
        <v>465.9</v>
      </c>
      <c r="I48">
        <v>456.9</v>
      </c>
      <c r="J48">
        <v>462.4</v>
      </c>
      <c r="K48" s="15">
        <v>449.5</v>
      </c>
      <c r="L48">
        <v>473.2</v>
      </c>
      <c r="M48">
        <v>465.29999999999995</v>
      </c>
      <c r="N48">
        <v>457.1</v>
      </c>
      <c r="O48">
        <v>442.4</v>
      </c>
      <c r="P48">
        <v>466.3</v>
      </c>
      <c r="Q48">
        <v>451.1</v>
      </c>
      <c r="R48">
        <v>441.5</v>
      </c>
      <c r="S48">
        <v>462.5</v>
      </c>
      <c r="T48" s="10">
        <v>456.3</v>
      </c>
      <c r="U48" s="10">
        <v>453.1</v>
      </c>
      <c r="V48">
        <v>446.7</v>
      </c>
      <c r="W48">
        <v>483</v>
      </c>
      <c r="X48" s="10">
        <v>475.6</v>
      </c>
      <c r="Y48">
        <v>469</v>
      </c>
      <c r="Z48" s="10">
        <v>458.5</v>
      </c>
      <c r="AA48" s="10">
        <v>468.6</v>
      </c>
      <c r="AB48">
        <v>454.3</v>
      </c>
      <c r="AC48" s="10">
        <v>485.8</v>
      </c>
      <c r="AD48" s="10">
        <v>471.7</v>
      </c>
      <c r="AE48">
        <v>471.6</v>
      </c>
      <c r="AF48" s="10">
        <v>475.4</v>
      </c>
      <c r="AG48" s="10">
        <v>460.2</v>
      </c>
      <c r="AH48">
        <v>444.7</v>
      </c>
      <c r="AI48" s="10">
        <v>471.6</v>
      </c>
      <c r="AJ48">
        <v>463.9</v>
      </c>
      <c r="AK48">
        <v>452.7</v>
      </c>
    </row>
    <row r="49" spans="1:37">
      <c r="A49" s="1">
        <v>48</v>
      </c>
      <c r="B49">
        <v>438.7</v>
      </c>
      <c r="C49">
        <v>452.6</v>
      </c>
      <c r="D49">
        <v>467.7</v>
      </c>
      <c r="E49">
        <v>462</v>
      </c>
      <c r="F49">
        <v>456.7</v>
      </c>
      <c r="G49">
        <v>467.7</v>
      </c>
      <c r="H49">
        <v>445.3</v>
      </c>
      <c r="I49">
        <v>462.9</v>
      </c>
      <c r="J49">
        <v>462.6</v>
      </c>
      <c r="K49" s="15">
        <v>440.3</v>
      </c>
      <c r="L49">
        <v>462.2</v>
      </c>
      <c r="M49">
        <v>462.79999999999995</v>
      </c>
      <c r="N49">
        <v>435.6</v>
      </c>
      <c r="O49">
        <v>443.8</v>
      </c>
      <c r="P49">
        <v>454.5</v>
      </c>
      <c r="Q49">
        <v>466.8</v>
      </c>
      <c r="R49">
        <v>459.5</v>
      </c>
      <c r="S49">
        <v>462.7</v>
      </c>
      <c r="T49" s="10">
        <v>462.1</v>
      </c>
      <c r="U49" s="10">
        <v>458.9</v>
      </c>
      <c r="V49">
        <v>474.2</v>
      </c>
      <c r="W49">
        <v>443.8</v>
      </c>
      <c r="X49" s="10">
        <v>461.1</v>
      </c>
      <c r="Y49">
        <v>459.1</v>
      </c>
      <c r="Z49" s="10">
        <v>471.9</v>
      </c>
      <c r="AA49" s="10">
        <v>478.9</v>
      </c>
      <c r="AB49">
        <v>451.7</v>
      </c>
      <c r="AC49" s="10">
        <v>471.3</v>
      </c>
      <c r="AD49" s="10">
        <v>459.3</v>
      </c>
      <c r="AE49">
        <v>463.6</v>
      </c>
      <c r="AF49" s="10">
        <v>470.6</v>
      </c>
      <c r="AG49" s="10">
        <v>462.1</v>
      </c>
      <c r="AH49">
        <v>476.7</v>
      </c>
      <c r="AI49" s="10">
        <v>465.8</v>
      </c>
      <c r="AJ49">
        <v>437.5</v>
      </c>
      <c r="AK49" s="10">
        <v>464</v>
      </c>
    </row>
    <row r="50" spans="1:37">
      <c r="A50" s="1">
        <v>49</v>
      </c>
      <c r="B50">
        <v>453.5</v>
      </c>
      <c r="C50">
        <v>467.9</v>
      </c>
      <c r="D50">
        <v>464.3</v>
      </c>
      <c r="E50">
        <v>463.6</v>
      </c>
      <c r="F50">
        <v>468.6</v>
      </c>
      <c r="G50">
        <v>467.2</v>
      </c>
      <c r="H50">
        <v>465.6</v>
      </c>
      <c r="I50">
        <v>462.7</v>
      </c>
      <c r="J50">
        <v>478</v>
      </c>
      <c r="K50" s="15">
        <v>472.5</v>
      </c>
      <c r="L50">
        <v>465.2</v>
      </c>
      <c r="M50">
        <v>473.5</v>
      </c>
      <c r="N50">
        <v>465.4</v>
      </c>
      <c r="O50">
        <v>450.8</v>
      </c>
      <c r="P50">
        <v>463.3</v>
      </c>
      <c r="Q50">
        <v>474.9</v>
      </c>
      <c r="R50">
        <v>465.4</v>
      </c>
      <c r="S50">
        <v>455.1</v>
      </c>
      <c r="T50" s="10">
        <v>465.6</v>
      </c>
      <c r="U50" s="10">
        <v>464.7</v>
      </c>
      <c r="V50">
        <v>452.2</v>
      </c>
      <c r="W50">
        <v>484.2</v>
      </c>
      <c r="X50" s="10">
        <v>467.7</v>
      </c>
      <c r="Y50">
        <v>456.3</v>
      </c>
      <c r="Z50" s="10">
        <v>484.1</v>
      </c>
      <c r="AA50" s="10">
        <v>468.1</v>
      </c>
      <c r="AB50">
        <v>469.4</v>
      </c>
      <c r="AC50" s="10">
        <v>482.6</v>
      </c>
      <c r="AD50" s="10">
        <v>466.7</v>
      </c>
      <c r="AE50">
        <v>470</v>
      </c>
      <c r="AF50" s="10">
        <v>479.3</v>
      </c>
      <c r="AG50" s="10">
        <v>463</v>
      </c>
      <c r="AH50">
        <v>449.3</v>
      </c>
      <c r="AI50" s="10">
        <v>469.9</v>
      </c>
      <c r="AJ50">
        <v>456.7</v>
      </c>
      <c r="AK50">
        <v>471.8</v>
      </c>
    </row>
    <row r="51" spans="1:37">
      <c r="A51" s="1">
        <v>50</v>
      </c>
      <c r="B51">
        <v>456.6</v>
      </c>
      <c r="C51">
        <v>441.3</v>
      </c>
      <c r="D51">
        <v>462.2</v>
      </c>
      <c r="E51">
        <v>451</v>
      </c>
      <c r="F51">
        <v>460.9</v>
      </c>
      <c r="G51">
        <v>446</v>
      </c>
      <c r="H51">
        <v>466.5</v>
      </c>
      <c r="I51">
        <v>456.6</v>
      </c>
      <c r="J51">
        <v>463.6</v>
      </c>
      <c r="K51" s="15">
        <v>453.3</v>
      </c>
      <c r="L51">
        <v>461.3</v>
      </c>
      <c r="M51">
        <v>459</v>
      </c>
      <c r="N51">
        <v>442</v>
      </c>
      <c r="O51">
        <v>446</v>
      </c>
      <c r="P51">
        <v>456.1</v>
      </c>
      <c r="Q51">
        <v>467.1</v>
      </c>
      <c r="R51">
        <v>452.8</v>
      </c>
      <c r="S51">
        <v>454.6</v>
      </c>
      <c r="T51" s="10">
        <v>455.7</v>
      </c>
      <c r="U51" s="10">
        <v>452.9</v>
      </c>
      <c r="V51">
        <v>436.4</v>
      </c>
      <c r="W51">
        <v>472.1</v>
      </c>
      <c r="X51" s="10">
        <v>455</v>
      </c>
      <c r="Y51">
        <v>461.9</v>
      </c>
      <c r="Z51" s="10">
        <v>471.5</v>
      </c>
      <c r="AA51" s="10">
        <v>450.9</v>
      </c>
      <c r="AB51">
        <v>461.2</v>
      </c>
      <c r="AC51" s="10">
        <v>473.4</v>
      </c>
      <c r="AD51" s="10">
        <v>454.4</v>
      </c>
      <c r="AE51">
        <v>462.9</v>
      </c>
      <c r="AF51" s="10">
        <v>468.7</v>
      </c>
      <c r="AG51" s="10">
        <v>446.9</v>
      </c>
      <c r="AH51">
        <v>465.4</v>
      </c>
      <c r="AI51" s="10">
        <v>459.7</v>
      </c>
      <c r="AJ51">
        <v>441.7</v>
      </c>
      <c r="AK51" s="10">
        <v>457</v>
      </c>
    </row>
    <row r="52" spans="1:37">
      <c r="A52" s="1">
        <v>51</v>
      </c>
      <c r="B52">
        <v>457.9</v>
      </c>
      <c r="C52">
        <v>457.6</v>
      </c>
      <c r="D52">
        <v>449.3</v>
      </c>
      <c r="E52">
        <v>471.9</v>
      </c>
      <c r="F52">
        <v>454.5</v>
      </c>
      <c r="G52">
        <v>465.9</v>
      </c>
      <c r="H52">
        <v>456.7</v>
      </c>
      <c r="I52">
        <v>463.5</v>
      </c>
      <c r="J52">
        <v>455</v>
      </c>
      <c r="K52" s="15">
        <v>445.90000000000003</v>
      </c>
      <c r="L52">
        <v>458.5</v>
      </c>
      <c r="M52">
        <v>449.7</v>
      </c>
      <c r="N52">
        <v>437.1</v>
      </c>
      <c r="O52">
        <v>479.2</v>
      </c>
      <c r="P52">
        <v>471</v>
      </c>
      <c r="Q52">
        <v>458.8</v>
      </c>
      <c r="R52">
        <v>450.2</v>
      </c>
      <c r="S52">
        <v>441.1</v>
      </c>
      <c r="T52" s="10">
        <v>456</v>
      </c>
      <c r="U52" s="10">
        <v>455.1</v>
      </c>
      <c r="V52">
        <v>444.8</v>
      </c>
      <c r="W52">
        <v>479.6</v>
      </c>
      <c r="X52" s="10">
        <v>470</v>
      </c>
      <c r="Y52">
        <v>459.6</v>
      </c>
      <c r="Z52" s="10">
        <v>449.7</v>
      </c>
      <c r="AA52" s="10">
        <v>438.1</v>
      </c>
      <c r="AB52">
        <v>457.1</v>
      </c>
      <c r="AC52" s="10">
        <v>464.6</v>
      </c>
      <c r="AD52" s="10">
        <v>452.9</v>
      </c>
      <c r="AE52">
        <v>459.2</v>
      </c>
      <c r="AF52" s="10">
        <v>466.6</v>
      </c>
      <c r="AG52" s="10">
        <v>456.4</v>
      </c>
      <c r="AH52">
        <v>447.4</v>
      </c>
      <c r="AI52" s="10">
        <v>457.6</v>
      </c>
      <c r="AJ52">
        <v>449.3</v>
      </c>
      <c r="AK52">
        <v>461.3</v>
      </c>
    </row>
    <row r="53" spans="1:37">
      <c r="A53" s="1">
        <v>52</v>
      </c>
      <c r="B53">
        <v>451.2</v>
      </c>
      <c r="C53">
        <v>459.6</v>
      </c>
      <c r="D53">
        <v>453.9</v>
      </c>
      <c r="E53">
        <v>444.5</v>
      </c>
      <c r="F53">
        <v>462.9</v>
      </c>
      <c r="G53">
        <v>454.2</v>
      </c>
      <c r="H53">
        <v>458.4</v>
      </c>
      <c r="I53">
        <v>459.9</v>
      </c>
      <c r="J53">
        <v>473.7</v>
      </c>
      <c r="K53">
        <v>465.2</v>
      </c>
      <c r="L53">
        <v>470.5</v>
      </c>
      <c r="M53">
        <v>459.2</v>
      </c>
      <c r="N53">
        <v>449.3</v>
      </c>
      <c r="O53">
        <v>471.3</v>
      </c>
      <c r="P53">
        <v>463.1</v>
      </c>
      <c r="Q53">
        <v>451.6</v>
      </c>
      <c r="R53">
        <v>462.6</v>
      </c>
      <c r="S53">
        <v>468.7</v>
      </c>
      <c r="T53" s="10">
        <v>457.7</v>
      </c>
      <c r="U53" s="10">
        <v>460.8</v>
      </c>
      <c r="V53">
        <v>450.3</v>
      </c>
      <c r="W53">
        <v>440.4</v>
      </c>
      <c r="X53" s="10">
        <v>464.4</v>
      </c>
      <c r="Y53">
        <v>454</v>
      </c>
      <c r="Z53" s="10">
        <v>477.2</v>
      </c>
      <c r="AA53" s="10">
        <v>466.4</v>
      </c>
      <c r="AB53">
        <v>453.3</v>
      </c>
      <c r="AC53" s="10">
        <v>476</v>
      </c>
      <c r="AD53" s="10">
        <v>466.9</v>
      </c>
      <c r="AE53">
        <v>454.3</v>
      </c>
      <c r="AF53" s="10">
        <v>474</v>
      </c>
      <c r="AG53" s="10">
        <v>462.1</v>
      </c>
      <c r="AH53">
        <v>449.5</v>
      </c>
      <c r="AI53" s="10">
        <v>467.9</v>
      </c>
      <c r="AJ53">
        <v>460.1</v>
      </c>
      <c r="AK53">
        <v>447.6</v>
      </c>
    </row>
    <row r="54" spans="1:37">
      <c r="A54" s="1">
        <v>53</v>
      </c>
      <c r="B54">
        <v>460.8</v>
      </c>
      <c r="C54">
        <v>479.1</v>
      </c>
      <c r="D54">
        <v>460.9</v>
      </c>
      <c r="E54">
        <v>451.9</v>
      </c>
      <c r="F54">
        <v>457.6</v>
      </c>
      <c r="G54">
        <v>460.4</v>
      </c>
      <c r="H54">
        <v>466.6</v>
      </c>
      <c r="I54">
        <v>458.6</v>
      </c>
      <c r="J54">
        <v>463.3</v>
      </c>
      <c r="K54">
        <v>443.40000000000003</v>
      </c>
      <c r="L54">
        <v>465.2</v>
      </c>
      <c r="M54">
        <v>461.2</v>
      </c>
      <c r="N54">
        <v>434.8</v>
      </c>
      <c r="O54">
        <v>472.8</v>
      </c>
      <c r="P54">
        <v>454.1</v>
      </c>
      <c r="Q54">
        <v>460.4</v>
      </c>
      <c r="R54">
        <v>441.1</v>
      </c>
      <c r="S54">
        <v>459</v>
      </c>
      <c r="T54" s="10">
        <v>459.2</v>
      </c>
      <c r="U54" s="10">
        <v>455.2</v>
      </c>
      <c r="V54">
        <v>455.9</v>
      </c>
      <c r="W54">
        <v>480.6</v>
      </c>
      <c r="X54" s="10">
        <v>456</v>
      </c>
      <c r="Y54">
        <v>459.9</v>
      </c>
      <c r="Z54" s="10">
        <v>473.1</v>
      </c>
      <c r="AA54" s="10">
        <v>448.5</v>
      </c>
      <c r="AB54">
        <v>454.8</v>
      </c>
      <c r="AC54" s="10">
        <v>462.3</v>
      </c>
      <c r="AD54" s="10">
        <v>460.4</v>
      </c>
      <c r="AE54">
        <v>458.5</v>
      </c>
      <c r="AF54" s="10">
        <v>466.1</v>
      </c>
      <c r="AG54" s="10">
        <v>460.3</v>
      </c>
      <c r="AH54">
        <v>470.3</v>
      </c>
      <c r="AI54" s="10">
        <v>469.2</v>
      </c>
      <c r="AJ54">
        <v>464.1</v>
      </c>
      <c r="AK54">
        <v>459.8</v>
      </c>
    </row>
    <row r="55" spans="1:37">
      <c r="A55" s="1">
        <v>54</v>
      </c>
      <c r="B55">
        <v>453.4</v>
      </c>
      <c r="C55">
        <v>465.8</v>
      </c>
      <c r="D55">
        <v>456.1</v>
      </c>
      <c r="E55">
        <v>446</v>
      </c>
      <c r="F55">
        <v>452.3</v>
      </c>
      <c r="G55">
        <v>468.3</v>
      </c>
      <c r="H55">
        <v>451.4</v>
      </c>
      <c r="I55">
        <v>464.8</v>
      </c>
      <c r="J55">
        <v>475.1</v>
      </c>
      <c r="K55" s="15">
        <v>454.7</v>
      </c>
      <c r="L55">
        <v>460.09999999999997</v>
      </c>
      <c r="M55">
        <v>467.79999999999995</v>
      </c>
      <c r="N55">
        <v>451.9</v>
      </c>
      <c r="O55">
        <v>455.9</v>
      </c>
      <c r="P55">
        <v>453.7</v>
      </c>
      <c r="Q55">
        <v>467.3</v>
      </c>
      <c r="R55">
        <v>453.6</v>
      </c>
      <c r="S55">
        <v>458.2</v>
      </c>
      <c r="T55" s="10">
        <v>456.5</v>
      </c>
      <c r="U55" s="10">
        <v>455.8</v>
      </c>
      <c r="V55">
        <v>439</v>
      </c>
      <c r="W55">
        <v>474.7</v>
      </c>
      <c r="X55" s="10">
        <v>464.9</v>
      </c>
      <c r="Y55">
        <v>445.8</v>
      </c>
      <c r="Z55" s="10">
        <v>474.4</v>
      </c>
      <c r="AA55" s="10">
        <v>457.8</v>
      </c>
      <c r="AB55">
        <v>439.5</v>
      </c>
      <c r="AC55" s="10">
        <v>462.1</v>
      </c>
      <c r="AD55" s="10">
        <v>444</v>
      </c>
      <c r="AE55">
        <v>460.7</v>
      </c>
      <c r="AF55" s="10">
        <v>466.7</v>
      </c>
      <c r="AG55" s="10">
        <v>445.7</v>
      </c>
      <c r="AH55">
        <v>455.4</v>
      </c>
      <c r="AI55" s="10">
        <v>457.7</v>
      </c>
      <c r="AJ55">
        <v>469.7</v>
      </c>
      <c r="AK55">
        <v>444.6</v>
      </c>
    </row>
    <row r="56" spans="1:37">
      <c r="A56" s="1">
        <v>55</v>
      </c>
      <c r="B56">
        <v>457.7</v>
      </c>
      <c r="C56">
        <v>459.5</v>
      </c>
      <c r="D56">
        <v>454.2</v>
      </c>
      <c r="E56">
        <v>450.3</v>
      </c>
      <c r="F56">
        <v>469.7</v>
      </c>
      <c r="G56">
        <v>463.3</v>
      </c>
      <c r="H56">
        <v>454.8</v>
      </c>
      <c r="I56">
        <v>446.7</v>
      </c>
      <c r="J56">
        <v>463.5</v>
      </c>
      <c r="K56" s="15">
        <v>455.5</v>
      </c>
      <c r="L56">
        <v>447</v>
      </c>
      <c r="M56">
        <v>462.4</v>
      </c>
      <c r="N56">
        <v>454.3</v>
      </c>
      <c r="O56">
        <v>445.8</v>
      </c>
      <c r="P56">
        <v>466</v>
      </c>
      <c r="Q56">
        <v>455.7</v>
      </c>
      <c r="R56">
        <v>447.7</v>
      </c>
      <c r="S56">
        <v>462.1</v>
      </c>
      <c r="T56" s="10">
        <v>452.3</v>
      </c>
      <c r="U56" s="10">
        <v>446.6</v>
      </c>
      <c r="V56">
        <v>436.2</v>
      </c>
      <c r="W56">
        <v>477.6</v>
      </c>
      <c r="X56" s="10">
        <v>468.6</v>
      </c>
      <c r="Y56">
        <v>459.2</v>
      </c>
      <c r="Z56" s="10">
        <v>476.9</v>
      </c>
      <c r="AA56" s="10">
        <v>466.5</v>
      </c>
      <c r="AB56">
        <v>456.7</v>
      </c>
      <c r="AC56" s="10">
        <v>465.1</v>
      </c>
      <c r="AD56" s="10">
        <v>454.9</v>
      </c>
      <c r="AE56">
        <v>464.3</v>
      </c>
      <c r="AF56" s="10">
        <v>469.4</v>
      </c>
      <c r="AG56" s="10">
        <v>461.4</v>
      </c>
      <c r="AH56">
        <v>449.9</v>
      </c>
      <c r="AI56" s="10">
        <v>462</v>
      </c>
      <c r="AJ56">
        <v>454.7</v>
      </c>
      <c r="AK56">
        <v>454.3</v>
      </c>
    </row>
    <row r="57" spans="1:37">
      <c r="A57" s="1">
        <v>56</v>
      </c>
      <c r="B57">
        <v>442.1</v>
      </c>
      <c r="C57">
        <v>438.3</v>
      </c>
      <c r="D57">
        <v>438.4</v>
      </c>
      <c r="E57">
        <v>456</v>
      </c>
      <c r="F57">
        <v>461.9</v>
      </c>
      <c r="G57">
        <v>455.2</v>
      </c>
      <c r="H57">
        <v>446.1</v>
      </c>
      <c r="I57">
        <v>466.5</v>
      </c>
      <c r="J57">
        <v>472.3</v>
      </c>
      <c r="K57" s="15">
        <v>462.5</v>
      </c>
      <c r="L57">
        <v>453</v>
      </c>
      <c r="M57">
        <v>473.09999999999997</v>
      </c>
      <c r="N57">
        <v>463.2</v>
      </c>
      <c r="O57">
        <v>451.6</v>
      </c>
      <c r="P57">
        <v>462.4</v>
      </c>
      <c r="Q57">
        <v>467.4</v>
      </c>
      <c r="R57">
        <v>456.4</v>
      </c>
      <c r="S57">
        <v>462.5</v>
      </c>
      <c r="T57" s="10">
        <v>449.6</v>
      </c>
      <c r="U57" s="10">
        <v>460.6</v>
      </c>
      <c r="V57">
        <v>450.1</v>
      </c>
      <c r="W57">
        <v>480.1</v>
      </c>
      <c r="X57" s="10">
        <v>467.3</v>
      </c>
      <c r="Y57">
        <v>455.1</v>
      </c>
      <c r="Z57" s="10">
        <v>483.1</v>
      </c>
      <c r="AA57" s="10">
        <v>470.6</v>
      </c>
      <c r="AB57">
        <v>456.5</v>
      </c>
      <c r="AC57" s="10">
        <v>474.7</v>
      </c>
      <c r="AD57" s="10">
        <v>459.2</v>
      </c>
      <c r="AE57">
        <v>469.1</v>
      </c>
      <c r="AF57" s="10">
        <v>476.1</v>
      </c>
      <c r="AG57" s="10">
        <v>463.9</v>
      </c>
      <c r="AH57">
        <v>452</v>
      </c>
      <c r="AI57" s="10">
        <v>474.4</v>
      </c>
      <c r="AJ57">
        <v>461.2</v>
      </c>
      <c r="AK57">
        <v>447.5</v>
      </c>
    </row>
    <row r="58" spans="1:37">
      <c r="A58" s="1">
        <v>57</v>
      </c>
      <c r="B58">
        <v>462.6</v>
      </c>
      <c r="C58">
        <v>463.1</v>
      </c>
      <c r="D58">
        <v>462.4</v>
      </c>
      <c r="E58">
        <v>460.9</v>
      </c>
      <c r="F58">
        <v>443</v>
      </c>
      <c r="G58">
        <v>461.7</v>
      </c>
      <c r="H58">
        <v>458.4</v>
      </c>
      <c r="I58">
        <v>454.4</v>
      </c>
      <c r="J58">
        <v>445.8</v>
      </c>
      <c r="K58" s="15">
        <v>464.8</v>
      </c>
      <c r="L58">
        <v>456.9</v>
      </c>
      <c r="M58">
        <v>462.7</v>
      </c>
      <c r="N58">
        <v>456.6</v>
      </c>
      <c r="O58">
        <v>451</v>
      </c>
      <c r="P58">
        <v>457.7</v>
      </c>
      <c r="Q58">
        <v>448.9</v>
      </c>
      <c r="R58">
        <v>441.8</v>
      </c>
      <c r="S58">
        <v>457.7</v>
      </c>
      <c r="T58" s="10">
        <v>451.6</v>
      </c>
      <c r="U58" s="10">
        <v>449.6</v>
      </c>
      <c r="V58">
        <v>446.3</v>
      </c>
      <c r="W58">
        <v>470.3</v>
      </c>
      <c r="X58" s="10">
        <v>468.4</v>
      </c>
      <c r="Y58">
        <v>467.3</v>
      </c>
      <c r="Z58" s="10">
        <v>485.3</v>
      </c>
      <c r="AA58" s="10">
        <v>463.2</v>
      </c>
      <c r="AB58">
        <v>461.8</v>
      </c>
      <c r="AC58" s="10">
        <v>459.3</v>
      </c>
      <c r="AD58" s="10">
        <v>454.8</v>
      </c>
      <c r="AE58">
        <v>447.1</v>
      </c>
      <c r="AF58" s="10">
        <v>465.4</v>
      </c>
      <c r="AG58" s="10">
        <v>455.8</v>
      </c>
      <c r="AH58">
        <v>448</v>
      </c>
      <c r="AI58" s="10">
        <v>465.9</v>
      </c>
      <c r="AJ58">
        <v>458.9</v>
      </c>
      <c r="AK58" s="10">
        <v>450</v>
      </c>
    </row>
    <row r="59" spans="1:37">
      <c r="A59" s="1">
        <v>58</v>
      </c>
      <c r="B59">
        <v>458.6</v>
      </c>
      <c r="C59">
        <v>459.6</v>
      </c>
      <c r="D59">
        <v>459</v>
      </c>
      <c r="E59">
        <v>458.2</v>
      </c>
      <c r="F59">
        <v>448.3</v>
      </c>
      <c r="G59">
        <v>447</v>
      </c>
      <c r="H59">
        <v>445.2</v>
      </c>
      <c r="I59">
        <v>453.6</v>
      </c>
      <c r="J59">
        <v>452.4</v>
      </c>
      <c r="K59" s="15">
        <v>450.90000000000003</v>
      </c>
      <c r="L59">
        <v>449.4</v>
      </c>
      <c r="M59">
        <v>466.2</v>
      </c>
      <c r="N59">
        <v>465.4</v>
      </c>
      <c r="O59">
        <v>464.5</v>
      </c>
      <c r="P59">
        <v>463.7</v>
      </c>
      <c r="Q59">
        <v>459.8</v>
      </c>
      <c r="R59">
        <v>458.9</v>
      </c>
      <c r="S59">
        <v>457.8</v>
      </c>
      <c r="T59" s="10">
        <v>456.2</v>
      </c>
      <c r="U59" s="10">
        <v>458.1</v>
      </c>
      <c r="V59">
        <v>456.9</v>
      </c>
      <c r="W59">
        <v>455.9</v>
      </c>
      <c r="X59" s="10">
        <v>454.5</v>
      </c>
      <c r="Y59">
        <v>453.5</v>
      </c>
      <c r="Z59" s="10">
        <v>452.6</v>
      </c>
      <c r="AA59" s="10">
        <v>451.3</v>
      </c>
      <c r="AB59">
        <v>457</v>
      </c>
      <c r="AC59" s="10">
        <v>456.2</v>
      </c>
      <c r="AD59" s="10">
        <v>454.6</v>
      </c>
      <c r="AE59">
        <v>453.3</v>
      </c>
      <c r="AF59" s="10">
        <v>469.1</v>
      </c>
      <c r="AG59" s="10">
        <v>468.6</v>
      </c>
      <c r="AH59">
        <v>467.6</v>
      </c>
      <c r="AI59" s="10">
        <v>464.1</v>
      </c>
      <c r="AJ59">
        <v>464.5</v>
      </c>
      <c r="AK59">
        <v>463.1</v>
      </c>
    </row>
    <row r="60" spans="1:37">
      <c r="A60" s="1">
        <v>59</v>
      </c>
      <c r="B60">
        <v>447.4</v>
      </c>
      <c r="C60">
        <v>445.5</v>
      </c>
      <c r="D60">
        <v>459.3</v>
      </c>
      <c r="E60">
        <v>450.1</v>
      </c>
      <c r="F60">
        <v>453.2</v>
      </c>
      <c r="G60">
        <v>471.9</v>
      </c>
      <c r="H60">
        <v>456.7</v>
      </c>
      <c r="I60">
        <v>456.8</v>
      </c>
      <c r="J60">
        <v>467.9</v>
      </c>
      <c r="K60" s="15">
        <v>471.1</v>
      </c>
      <c r="L60">
        <v>453.2</v>
      </c>
      <c r="M60">
        <v>464.4</v>
      </c>
      <c r="N60">
        <v>454.2</v>
      </c>
      <c r="O60">
        <v>465.4</v>
      </c>
      <c r="P60">
        <v>453.3</v>
      </c>
      <c r="Q60">
        <v>463</v>
      </c>
      <c r="R60">
        <v>463</v>
      </c>
      <c r="S60">
        <v>463.7</v>
      </c>
      <c r="T60" s="10">
        <v>463.4</v>
      </c>
      <c r="U60" s="10">
        <v>458.9</v>
      </c>
      <c r="V60">
        <v>440.8</v>
      </c>
      <c r="W60">
        <v>472.1</v>
      </c>
      <c r="X60" s="10">
        <v>456.9</v>
      </c>
      <c r="Y60">
        <v>468</v>
      </c>
      <c r="Z60" s="10">
        <v>478.1</v>
      </c>
      <c r="AA60" s="10">
        <v>461.1</v>
      </c>
      <c r="AB60">
        <v>465.8</v>
      </c>
      <c r="AC60" s="10">
        <v>471.5</v>
      </c>
      <c r="AD60" s="10">
        <v>453.7</v>
      </c>
      <c r="AE60">
        <v>471</v>
      </c>
      <c r="AF60" s="10">
        <v>472.6</v>
      </c>
      <c r="AG60" s="10">
        <v>469.3</v>
      </c>
      <c r="AH60">
        <v>474</v>
      </c>
      <c r="AI60" s="10">
        <v>469</v>
      </c>
      <c r="AJ60" s="10">
        <v>456</v>
      </c>
      <c r="AK60">
        <v>467.2</v>
      </c>
    </row>
    <row r="61" spans="1:37">
      <c r="A61" s="1">
        <v>60</v>
      </c>
      <c r="B61">
        <v>452.9</v>
      </c>
      <c r="C61">
        <v>438.7</v>
      </c>
      <c r="D61">
        <v>463.8</v>
      </c>
      <c r="E61">
        <v>451.5</v>
      </c>
      <c r="F61">
        <v>466.4</v>
      </c>
      <c r="G61">
        <v>464.5</v>
      </c>
      <c r="H61">
        <v>462.7</v>
      </c>
      <c r="I61">
        <v>464.5</v>
      </c>
      <c r="J61">
        <v>469.7</v>
      </c>
      <c r="K61" s="15">
        <v>468</v>
      </c>
      <c r="L61">
        <v>465.09999999999997</v>
      </c>
      <c r="M61">
        <v>465.5</v>
      </c>
      <c r="N61">
        <v>438.8</v>
      </c>
      <c r="O61">
        <v>463.9</v>
      </c>
      <c r="P61">
        <v>464</v>
      </c>
      <c r="Q61">
        <v>468.3</v>
      </c>
      <c r="R61">
        <v>448</v>
      </c>
      <c r="S61">
        <v>463</v>
      </c>
      <c r="T61" s="10">
        <v>462.9</v>
      </c>
      <c r="U61" s="10">
        <v>455.4</v>
      </c>
      <c r="V61">
        <v>456.3</v>
      </c>
      <c r="W61">
        <v>471.8</v>
      </c>
      <c r="X61" s="10">
        <v>467.4</v>
      </c>
      <c r="Y61">
        <v>437.3</v>
      </c>
      <c r="Z61" s="10">
        <v>474.3</v>
      </c>
      <c r="AA61" s="10">
        <v>474</v>
      </c>
      <c r="AB61">
        <v>465.3</v>
      </c>
      <c r="AC61" s="10">
        <v>476.4</v>
      </c>
      <c r="AD61" s="10">
        <v>466.1</v>
      </c>
      <c r="AE61">
        <v>464.5</v>
      </c>
      <c r="AF61" s="10">
        <v>464.7</v>
      </c>
      <c r="AG61" s="10">
        <v>464.8</v>
      </c>
      <c r="AH61">
        <v>469.2</v>
      </c>
      <c r="AI61" s="10">
        <v>468.3</v>
      </c>
      <c r="AJ61">
        <v>466.6</v>
      </c>
      <c r="AK61">
        <v>463.7</v>
      </c>
    </row>
    <row r="62" spans="1:37">
      <c r="A62" t="s">
        <v>130</v>
      </c>
      <c r="B62">
        <v>462.1</v>
      </c>
      <c r="C62">
        <v>465</v>
      </c>
      <c r="D62">
        <v>464</v>
      </c>
      <c r="E62">
        <v>463.1</v>
      </c>
      <c r="F62">
        <v>455.5</v>
      </c>
      <c r="G62">
        <v>454.7</v>
      </c>
      <c r="H62">
        <v>453.5</v>
      </c>
      <c r="I62">
        <v>452.7</v>
      </c>
      <c r="J62">
        <v>465</v>
      </c>
      <c r="K62" s="15">
        <v>464.2</v>
      </c>
      <c r="L62">
        <v>463.5</v>
      </c>
      <c r="M62">
        <v>462.79999999999995</v>
      </c>
      <c r="N62">
        <v>461.4</v>
      </c>
      <c r="O62">
        <v>460.7</v>
      </c>
      <c r="P62">
        <v>459.6</v>
      </c>
      <c r="Q62">
        <v>456.1</v>
      </c>
      <c r="R62">
        <v>455.3</v>
      </c>
      <c r="S62">
        <v>454.5</v>
      </c>
      <c r="T62" s="10">
        <v>453</v>
      </c>
      <c r="U62" s="10">
        <v>455</v>
      </c>
      <c r="V62">
        <v>453.7</v>
      </c>
      <c r="W62">
        <v>452.9</v>
      </c>
      <c r="X62" s="10">
        <v>451.5</v>
      </c>
      <c r="Y62">
        <v>450.7</v>
      </c>
      <c r="Z62" s="10">
        <v>481.4</v>
      </c>
      <c r="AA62" s="10">
        <v>480.7</v>
      </c>
      <c r="AB62">
        <v>480.2</v>
      </c>
      <c r="AC62" s="10">
        <v>474.9</v>
      </c>
      <c r="AD62" s="10">
        <v>474.3</v>
      </c>
      <c r="AE62">
        <v>473.1</v>
      </c>
      <c r="AF62" s="10">
        <v>477.9</v>
      </c>
      <c r="AG62" s="10">
        <v>477.6</v>
      </c>
      <c r="AH62">
        <v>476.6</v>
      </c>
      <c r="AI62" s="10">
        <v>473.5</v>
      </c>
      <c r="AJ62">
        <v>474.3</v>
      </c>
      <c r="AK62">
        <v>449.4</v>
      </c>
    </row>
    <row r="63" spans="1:37" s="18" customFormat="1">
      <c r="A63" s="18" t="s">
        <v>131</v>
      </c>
      <c r="B63" s="18">
        <v>462.1</v>
      </c>
      <c r="C63" s="18">
        <v>465</v>
      </c>
      <c r="D63" s="18">
        <v>463.6</v>
      </c>
      <c r="E63" s="18">
        <v>462.7</v>
      </c>
      <c r="F63" s="18">
        <v>453.7</v>
      </c>
      <c r="G63" s="18">
        <v>453.2</v>
      </c>
      <c r="H63" s="18">
        <v>452.3</v>
      </c>
      <c r="I63" s="18">
        <v>451.6</v>
      </c>
      <c r="J63" s="18">
        <v>463.3</v>
      </c>
      <c r="K63" s="20">
        <v>462.6</v>
      </c>
      <c r="L63" s="18">
        <v>462.09999999999997</v>
      </c>
      <c r="M63" s="18">
        <v>461.4</v>
      </c>
      <c r="N63" s="18">
        <v>459.8</v>
      </c>
      <c r="O63" s="18">
        <v>458.7</v>
      </c>
      <c r="P63" s="18">
        <v>457.9</v>
      </c>
      <c r="Q63" s="18">
        <v>454.4</v>
      </c>
      <c r="R63" s="18">
        <v>453.6</v>
      </c>
      <c r="S63" s="18">
        <v>453.1</v>
      </c>
      <c r="T63" s="24">
        <v>452.1</v>
      </c>
      <c r="U63" s="24">
        <v>454.5</v>
      </c>
      <c r="V63" s="18">
        <v>453.9</v>
      </c>
      <c r="W63" s="18">
        <v>453</v>
      </c>
      <c r="X63" s="24">
        <v>451.8</v>
      </c>
      <c r="Y63" s="18">
        <v>451.3</v>
      </c>
      <c r="Z63" s="24">
        <v>450.6</v>
      </c>
      <c r="AA63" s="24">
        <v>449.6</v>
      </c>
      <c r="AB63" s="18">
        <v>449</v>
      </c>
      <c r="AC63" s="24">
        <v>448.4</v>
      </c>
      <c r="AD63" s="24">
        <v>447.6</v>
      </c>
      <c r="AE63" s="18">
        <v>446.4</v>
      </c>
      <c r="AF63" s="24">
        <v>471.2</v>
      </c>
      <c r="AG63" s="24">
        <v>470.8</v>
      </c>
      <c r="AH63" s="18">
        <v>470.1</v>
      </c>
      <c r="AI63" s="24">
        <v>467</v>
      </c>
      <c r="AJ63" s="18">
        <v>467.8</v>
      </c>
      <c r="AK63" s="24">
        <v>467</v>
      </c>
    </row>
    <row r="64" spans="1:37">
      <c r="A64" t="s">
        <v>132</v>
      </c>
      <c r="B64">
        <v>500</v>
      </c>
      <c r="C64">
        <v>500</v>
      </c>
      <c r="D64">
        <v>500</v>
      </c>
      <c r="E64">
        <v>500</v>
      </c>
      <c r="F64">
        <v>500</v>
      </c>
      <c r="G64">
        <v>500</v>
      </c>
      <c r="H64">
        <v>500</v>
      </c>
      <c r="I64">
        <v>500</v>
      </c>
      <c r="J64">
        <v>500</v>
      </c>
      <c r="K64">
        <v>500</v>
      </c>
      <c r="L64">
        <v>500</v>
      </c>
      <c r="M64">
        <v>500</v>
      </c>
      <c r="N64">
        <v>500</v>
      </c>
      <c r="O64">
        <v>500</v>
      </c>
      <c r="P64">
        <v>500</v>
      </c>
      <c r="Q64">
        <v>497.2</v>
      </c>
      <c r="R64">
        <v>497.2</v>
      </c>
      <c r="S64">
        <v>497.2</v>
      </c>
      <c r="T64" s="10">
        <v>497</v>
      </c>
      <c r="U64" s="10">
        <v>500</v>
      </c>
      <c r="V64">
        <v>500.1</v>
      </c>
      <c r="W64">
        <v>500</v>
      </c>
      <c r="X64" s="10">
        <v>499.9</v>
      </c>
      <c r="Y64">
        <v>500.1</v>
      </c>
      <c r="Z64" s="10">
        <v>500</v>
      </c>
      <c r="AA64" s="10">
        <v>499.8</v>
      </c>
      <c r="AB64">
        <v>500</v>
      </c>
      <c r="AC64" s="10">
        <v>500.1</v>
      </c>
      <c r="AD64" s="10">
        <v>500</v>
      </c>
      <c r="AE64">
        <v>500</v>
      </c>
      <c r="AF64" s="10">
        <v>499.9</v>
      </c>
      <c r="AG64" s="10">
        <v>500</v>
      </c>
      <c r="AH64">
        <v>500</v>
      </c>
      <c r="AI64" s="10">
        <v>498.2</v>
      </c>
      <c r="AJ64" s="10">
        <v>500</v>
      </c>
      <c r="AK64" s="10">
        <v>500</v>
      </c>
    </row>
    <row r="65" spans="1:37">
      <c r="A65" t="s">
        <v>139</v>
      </c>
      <c r="B65">
        <f>500-B64</f>
        <v>0</v>
      </c>
      <c r="C65">
        <f t="shared" ref="C65:AK65" si="0">500-C64</f>
        <v>0</v>
      </c>
      <c r="D65">
        <f t="shared" si="0"/>
        <v>0</v>
      </c>
      <c r="E65">
        <f t="shared" si="0"/>
        <v>0</v>
      </c>
      <c r="F65">
        <f t="shared" si="0"/>
        <v>0</v>
      </c>
      <c r="G65">
        <f t="shared" si="0"/>
        <v>0</v>
      </c>
      <c r="H65">
        <f t="shared" si="0"/>
        <v>0</v>
      </c>
      <c r="I65">
        <f t="shared" si="0"/>
        <v>0</v>
      </c>
      <c r="J65">
        <f t="shared" si="0"/>
        <v>0</v>
      </c>
      <c r="K65">
        <f t="shared" si="0"/>
        <v>0</v>
      </c>
      <c r="L65">
        <f t="shared" si="0"/>
        <v>0</v>
      </c>
      <c r="M65">
        <f t="shared" si="0"/>
        <v>0</v>
      </c>
      <c r="N65">
        <f t="shared" si="0"/>
        <v>0</v>
      </c>
      <c r="O65">
        <f t="shared" si="0"/>
        <v>0</v>
      </c>
      <c r="P65">
        <f t="shared" si="0"/>
        <v>0</v>
      </c>
      <c r="Q65">
        <f t="shared" si="0"/>
        <v>2.8000000000000114</v>
      </c>
      <c r="R65">
        <f t="shared" si="0"/>
        <v>2.8000000000000114</v>
      </c>
      <c r="S65">
        <f t="shared" si="0"/>
        <v>2.8000000000000114</v>
      </c>
      <c r="T65">
        <f t="shared" si="0"/>
        <v>3</v>
      </c>
      <c r="U65">
        <f t="shared" si="0"/>
        <v>0</v>
      </c>
      <c r="V65">
        <f t="shared" si="0"/>
        <v>-0.10000000000002274</v>
      </c>
      <c r="W65">
        <f t="shared" si="0"/>
        <v>0</v>
      </c>
      <c r="X65">
        <f t="shared" si="0"/>
        <v>0.10000000000002274</v>
      </c>
      <c r="Y65">
        <f t="shared" si="0"/>
        <v>-0.10000000000002274</v>
      </c>
      <c r="Z65">
        <f t="shared" si="0"/>
        <v>0</v>
      </c>
      <c r="AA65">
        <f t="shared" si="0"/>
        <v>0.19999999999998863</v>
      </c>
      <c r="AB65">
        <f t="shared" si="0"/>
        <v>0</v>
      </c>
      <c r="AC65">
        <f t="shared" si="0"/>
        <v>-0.10000000000002274</v>
      </c>
      <c r="AD65">
        <f t="shared" si="0"/>
        <v>0</v>
      </c>
      <c r="AE65">
        <f t="shared" si="0"/>
        <v>0</v>
      </c>
      <c r="AF65">
        <f t="shared" si="0"/>
        <v>0.10000000000002274</v>
      </c>
      <c r="AG65">
        <f t="shared" si="0"/>
        <v>0</v>
      </c>
      <c r="AH65">
        <f t="shared" si="0"/>
        <v>0</v>
      </c>
      <c r="AI65">
        <f t="shared" si="0"/>
        <v>1.8000000000000114</v>
      </c>
      <c r="AJ65">
        <f t="shared" si="0"/>
        <v>0</v>
      </c>
      <c r="AK65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1210-2073-4844-82F3-3DAF5A662AF6}">
  <dimension ref="A1:AK65"/>
  <sheetViews>
    <sheetView tabSelected="1" workbookViewId="0">
      <pane xSplit="1" topLeftCell="Q1" activePane="topRight" state="frozen"/>
      <selection pane="topRight" sqref="A1:XFD1"/>
    </sheetView>
  </sheetViews>
  <sheetFormatPr defaultColWidth="7.453125" defaultRowHeight="14.5"/>
  <cols>
    <col min="2" max="19" width="7.453125" customWidth="1"/>
  </cols>
  <sheetData>
    <row r="1" spans="1:37" s="3" customFormat="1">
      <c r="A1" s="3" t="s">
        <v>1</v>
      </c>
      <c r="B1" s="45">
        <v>45873</v>
      </c>
      <c r="C1" s="45">
        <v>45875</v>
      </c>
      <c r="D1" s="45">
        <v>45877</v>
      </c>
      <c r="E1" s="45">
        <v>45880</v>
      </c>
      <c r="F1" s="45">
        <v>45882</v>
      </c>
      <c r="G1" s="45">
        <v>45884</v>
      </c>
      <c r="H1" s="45">
        <v>45887</v>
      </c>
      <c r="I1" s="45">
        <v>45889</v>
      </c>
      <c r="J1" s="45">
        <v>45891</v>
      </c>
      <c r="K1" s="45">
        <v>45894</v>
      </c>
      <c r="L1" s="45">
        <v>45896</v>
      </c>
      <c r="M1" s="45">
        <v>45898</v>
      </c>
      <c r="N1" s="45">
        <v>45901</v>
      </c>
      <c r="O1" s="45">
        <v>45903</v>
      </c>
      <c r="P1" s="45">
        <v>45905</v>
      </c>
      <c r="Q1" s="45">
        <v>45908</v>
      </c>
      <c r="R1" s="45">
        <v>45910</v>
      </c>
      <c r="S1" s="45">
        <v>45912</v>
      </c>
      <c r="T1" s="45">
        <v>45915</v>
      </c>
      <c r="U1" s="45">
        <v>45917</v>
      </c>
      <c r="V1" s="45">
        <v>45919</v>
      </c>
      <c r="W1" s="45">
        <v>45922</v>
      </c>
      <c r="X1" s="45">
        <v>45924</v>
      </c>
      <c r="Y1" s="45">
        <v>45926</v>
      </c>
      <c r="Z1" s="45">
        <v>45929</v>
      </c>
      <c r="AA1" s="45">
        <v>45931</v>
      </c>
      <c r="AB1" s="45">
        <v>45933</v>
      </c>
      <c r="AC1" s="45">
        <v>45936</v>
      </c>
      <c r="AD1" s="45">
        <v>45938</v>
      </c>
      <c r="AE1" s="45">
        <v>45940</v>
      </c>
      <c r="AF1" s="45">
        <v>45943</v>
      </c>
      <c r="AG1" s="45">
        <v>45945</v>
      </c>
      <c r="AH1" s="45">
        <v>45947</v>
      </c>
      <c r="AI1" s="45">
        <v>45950</v>
      </c>
      <c r="AJ1" s="45">
        <v>45952</v>
      </c>
      <c r="AK1" s="45">
        <v>45954</v>
      </c>
    </row>
    <row r="2" spans="1:37">
      <c r="A2" s="1">
        <v>1</v>
      </c>
      <c r="B2">
        <v>469.1</v>
      </c>
      <c r="C2">
        <v>460.8</v>
      </c>
      <c r="D2">
        <v>451</v>
      </c>
      <c r="E2">
        <v>440.1</v>
      </c>
      <c r="F2">
        <v>458.8</v>
      </c>
      <c r="G2">
        <v>471.3</v>
      </c>
      <c r="H2">
        <v>459.2</v>
      </c>
      <c r="I2">
        <v>464</v>
      </c>
      <c r="J2">
        <v>449.9</v>
      </c>
      <c r="K2">
        <v>463.59999999999997</v>
      </c>
      <c r="L2">
        <v>451.90000000000003</v>
      </c>
      <c r="M2">
        <v>468.9</v>
      </c>
      <c r="N2">
        <v>456.6</v>
      </c>
      <c r="O2">
        <v>444.4</v>
      </c>
      <c r="P2">
        <v>449.1</v>
      </c>
      <c r="Q2">
        <v>438.2</v>
      </c>
      <c r="R2">
        <v>458.70000000000005</v>
      </c>
      <c r="S2">
        <v>458</v>
      </c>
      <c r="T2">
        <v>464.5</v>
      </c>
      <c r="U2" s="10">
        <v>463.5</v>
      </c>
      <c r="V2">
        <v>449.7</v>
      </c>
      <c r="W2">
        <v>469</v>
      </c>
      <c r="X2" s="10">
        <v>457.6</v>
      </c>
      <c r="Y2">
        <v>444.4</v>
      </c>
      <c r="Z2" s="10">
        <v>475.9</v>
      </c>
      <c r="AA2">
        <v>463.7</v>
      </c>
      <c r="AB2">
        <v>465.2</v>
      </c>
      <c r="AC2">
        <v>470.5</v>
      </c>
      <c r="AD2">
        <v>458.8</v>
      </c>
      <c r="AE2">
        <v>463.7</v>
      </c>
      <c r="AF2">
        <v>464.9</v>
      </c>
      <c r="AG2" s="10">
        <v>453.4</v>
      </c>
      <c r="AH2">
        <v>462.6</v>
      </c>
      <c r="AI2" s="10">
        <v>445.4</v>
      </c>
      <c r="AJ2">
        <v>461.5</v>
      </c>
      <c r="AK2">
        <v>449.2</v>
      </c>
    </row>
    <row r="3" spans="1:37">
      <c r="A3" s="1">
        <v>2</v>
      </c>
      <c r="B3">
        <v>462.5</v>
      </c>
      <c r="C3">
        <v>458.9</v>
      </c>
      <c r="D3">
        <v>458.1</v>
      </c>
      <c r="E3">
        <v>453.6</v>
      </c>
      <c r="F3">
        <v>469.2</v>
      </c>
      <c r="G3">
        <v>460.2</v>
      </c>
      <c r="H3">
        <v>466.8</v>
      </c>
      <c r="I3">
        <v>473.4</v>
      </c>
      <c r="J3">
        <v>465.9</v>
      </c>
      <c r="K3">
        <v>477.4</v>
      </c>
      <c r="L3">
        <v>470.7</v>
      </c>
      <c r="M3">
        <v>462.2</v>
      </c>
      <c r="N3">
        <v>456.7</v>
      </c>
      <c r="O3">
        <v>464.2</v>
      </c>
      <c r="P3">
        <v>468.4</v>
      </c>
      <c r="Q3">
        <v>461.8</v>
      </c>
      <c r="R3">
        <v>456.20000000000005</v>
      </c>
      <c r="S3">
        <v>470.5</v>
      </c>
      <c r="T3">
        <v>465.4</v>
      </c>
      <c r="U3" s="10">
        <v>457.7</v>
      </c>
      <c r="V3">
        <v>467.6</v>
      </c>
      <c r="W3">
        <v>480.7</v>
      </c>
      <c r="X3" s="10">
        <v>474.1</v>
      </c>
      <c r="Y3">
        <v>468.6</v>
      </c>
      <c r="Z3" s="10">
        <v>461.1</v>
      </c>
      <c r="AA3">
        <v>483.8</v>
      </c>
      <c r="AB3">
        <v>475.9</v>
      </c>
      <c r="AC3">
        <v>468.6</v>
      </c>
      <c r="AD3">
        <v>460.5</v>
      </c>
      <c r="AE3">
        <v>471.4</v>
      </c>
      <c r="AF3">
        <v>477.3</v>
      </c>
      <c r="AG3" s="10">
        <v>470.8</v>
      </c>
      <c r="AH3">
        <v>461.7</v>
      </c>
      <c r="AI3" s="10">
        <v>450.6</v>
      </c>
      <c r="AJ3">
        <v>489.2</v>
      </c>
      <c r="AK3">
        <v>481.2</v>
      </c>
    </row>
    <row r="4" spans="1:37">
      <c r="A4" s="1">
        <v>3</v>
      </c>
      <c r="B4">
        <v>455.8</v>
      </c>
      <c r="C4">
        <v>457.7</v>
      </c>
      <c r="D4">
        <v>468.8</v>
      </c>
      <c r="E4">
        <v>449.2</v>
      </c>
      <c r="F4">
        <v>452.1</v>
      </c>
      <c r="G4">
        <v>454.3</v>
      </c>
      <c r="H4">
        <v>435.1</v>
      </c>
      <c r="I4">
        <v>454</v>
      </c>
      <c r="J4">
        <v>455.2</v>
      </c>
      <c r="K4">
        <v>459.79999999999995</v>
      </c>
      <c r="L4">
        <v>444</v>
      </c>
      <c r="M4">
        <v>458.5</v>
      </c>
      <c r="N4">
        <v>441.1</v>
      </c>
      <c r="O4">
        <v>451</v>
      </c>
      <c r="P4">
        <v>451</v>
      </c>
      <c r="Q4">
        <v>438.2</v>
      </c>
      <c r="R4">
        <v>446.5</v>
      </c>
      <c r="S4">
        <v>443.5</v>
      </c>
      <c r="T4">
        <v>453.9</v>
      </c>
      <c r="U4" s="10">
        <v>455.8</v>
      </c>
      <c r="V4">
        <v>441.3</v>
      </c>
      <c r="W4">
        <v>459.7</v>
      </c>
      <c r="X4" s="10">
        <v>458.7</v>
      </c>
      <c r="Y4">
        <v>440.5</v>
      </c>
      <c r="Z4" s="10">
        <v>422.6</v>
      </c>
      <c r="AA4">
        <v>443.6</v>
      </c>
      <c r="AB4">
        <v>451.3</v>
      </c>
      <c r="AC4">
        <v>458.5</v>
      </c>
      <c r="AD4">
        <v>440.5</v>
      </c>
      <c r="AE4">
        <v>452.8</v>
      </c>
      <c r="AF4">
        <v>454.9</v>
      </c>
      <c r="AG4" s="10">
        <v>455.8</v>
      </c>
      <c r="AH4">
        <v>432.6</v>
      </c>
      <c r="AI4" s="10">
        <v>442</v>
      </c>
      <c r="AJ4">
        <v>446.6</v>
      </c>
      <c r="AK4">
        <v>446.2</v>
      </c>
    </row>
    <row r="5" spans="1:37">
      <c r="A5" s="1">
        <v>4</v>
      </c>
      <c r="B5">
        <v>450.8</v>
      </c>
      <c r="C5">
        <v>453.2</v>
      </c>
      <c r="D5">
        <v>443.5</v>
      </c>
      <c r="E5">
        <v>462.6</v>
      </c>
      <c r="F5">
        <v>455.4</v>
      </c>
      <c r="G5">
        <v>469.8</v>
      </c>
      <c r="H5">
        <v>451.4</v>
      </c>
      <c r="I5">
        <v>456.3</v>
      </c>
      <c r="J5">
        <v>437.1</v>
      </c>
      <c r="K5">
        <v>452.09999999999997</v>
      </c>
      <c r="L5">
        <v>434.3</v>
      </c>
      <c r="M5">
        <v>446.3</v>
      </c>
      <c r="N5">
        <v>427.5</v>
      </c>
      <c r="O5">
        <v>436.7</v>
      </c>
      <c r="P5">
        <v>446.3</v>
      </c>
      <c r="Q5">
        <v>427.9</v>
      </c>
      <c r="R5">
        <v>448</v>
      </c>
      <c r="S5">
        <v>429.5</v>
      </c>
      <c r="T5">
        <v>448.3</v>
      </c>
      <c r="U5" s="10">
        <v>446.3</v>
      </c>
      <c r="V5">
        <v>427.2</v>
      </c>
      <c r="W5">
        <v>455.1</v>
      </c>
      <c r="X5" s="10">
        <v>454.9</v>
      </c>
      <c r="Y5">
        <v>461.7</v>
      </c>
      <c r="Z5" s="10">
        <v>443.2</v>
      </c>
      <c r="AA5">
        <v>426.1</v>
      </c>
      <c r="AB5">
        <v>452.3</v>
      </c>
      <c r="AC5">
        <v>464.4</v>
      </c>
      <c r="AD5">
        <v>445</v>
      </c>
      <c r="AE5">
        <v>452.2</v>
      </c>
      <c r="AF5">
        <v>465.4</v>
      </c>
      <c r="AG5" s="10">
        <v>448.6</v>
      </c>
      <c r="AH5">
        <v>451.7</v>
      </c>
      <c r="AI5" s="10">
        <v>430.5</v>
      </c>
      <c r="AJ5" s="10">
        <v>462</v>
      </c>
      <c r="AK5">
        <v>442.6</v>
      </c>
    </row>
    <row r="6" spans="1:37">
      <c r="A6" s="1">
        <v>5</v>
      </c>
      <c r="B6">
        <v>469</v>
      </c>
      <c r="C6">
        <v>467.4</v>
      </c>
      <c r="D6">
        <v>465.8</v>
      </c>
      <c r="E6">
        <v>464.9</v>
      </c>
      <c r="F6">
        <v>469.3</v>
      </c>
      <c r="G6">
        <v>468.4</v>
      </c>
      <c r="H6">
        <v>467.3</v>
      </c>
      <c r="I6">
        <v>465.7</v>
      </c>
      <c r="J6">
        <v>464.5</v>
      </c>
      <c r="K6">
        <v>463.79999999999995</v>
      </c>
      <c r="L6">
        <v>462.90000000000003</v>
      </c>
      <c r="M6">
        <v>459.8</v>
      </c>
      <c r="N6">
        <v>459.8</v>
      </c>
      <c r="O6">
        <v>459</v>
      </c>
      <c r="P6">
        <v>476.3</v>
      </c>
      <c r="Q6">
        <v>475.4</v>
      </c>
      <c r="R6">
        <v>474.79999999999995</v>
      </c>
      <c r="S6">
        <v>472.9</v>
      </c>
      <c r="T6">
        <v>474.8</v>
      </c>
      <c r="U6" s="10">
        <v>473.8</v>
      </c>
      <c r="V6">
        <v>463.1</v>
      </c>
      <c r="W6">
        <v>472.3</v>
      </c>
      <c r="X6" s="10">
        <v>471.8</v>
      </c>
      <c r="Y6">
        <v>471.2</v>
      </c>
      <c r="Z6" s="10">
        <v>470.2</v>
      </c>
      <c r="AA6">
        <v>469.1</v>
      </c>
      <c r="AB6">
        <v>468</v>
      </c>
      <c r="AC6">
        <v>466.8</v>
      </c>
      <c r="AD6">
        <v>465.8</v>
      </c>
      <c r="AE6">
        <v>464.7</v>
      </c>
      <c r="AF6">
        <v>475.6</v>
      </c>
      <c r="AG6" s="10">
        <v>474.5</v>
      </c>
      <c r="AH6">
        <v>473.2</v>
      </c>
      <c r="AI6" s="10">
        <v>469.3</v>
      </c>
      <c r="AJ6">
        <v>470.9</v>
      </c>
      <c r="AK6">
        <v>469.9</v>
      </c>
    </row>
    <row r="7" spans="1:37">
      <c r="A7" s="1">
        <v>6</v>
      </c>
      <c r="B7">
        <v>443.9</v>
      </c>
      <c r="C7">
        <v>456.5</v>
      </c>
      <c r="D7">
        <v>466.3</v>
      </c>
      <c r="E7">
        <v>453.5</v>
      </c>
      <c r="F7">
        <v>445.3</v>
      </c>
      <c r="G7">
        <v>459.5</v>
      </c>
      <c r="H7">
        <v>443.7</v>
      </c>
      <c r="I7">
        <v>451.3</v>
      </c>
      <c r="J7">
        <v>461.8</v>
      </c>
      <c r="K7">
        <v>461.5</v>
      </c>
      <c r="L7">
        <v>460</v>
      </c>
      <c r="M7">
        <v>450.9</v>
      </c>
      <c r="N7">
        <v>441.7</v>
      </c>
      <c r="O7">
        <v>460.6</v>
      </c>
      <c r="P7">
        <v>474.5</v>
      </c>
      <c r="Q7">
        <v>469.9</v>
      </c>
      <c r="R7">
        <v>463.29999999999995</v>
      </c>
      <c r="S7">
        <v>455.20000000000005</v>
      </c>
      <c r="T7">
        <v>460.9</v>
      </c>
      <c r="U7" s="10">
        <v>450.2</v>
      </c>
      <c r="V7">
        <v>447</v>
      </c>
      <c r="W7">
        <v>470.1</v>
      </c>
      <c r="X7" s="10">
        <v>459.5</v>
      </c>
      <c r="Y7">
        <v>446.3</v>
      </c>
      <c r="Z7" s="10">
        <v>467.1</v>
      </c>
      <c r="AA7">
        <v>456.2</v>
      </c>
      <c r="AB7">
        <v>459.3</v>
      </c>
      <c r="AC7">
        <v>444.3</v>
      </c>
      <c r="AD7">
        <v>456.4</v>
      </c>
      <c r="AE7">
        <v>460.2</v>
      </c>
      <c r="AF7">
        <v>463</v>
      </c>
      <c r="AG7" s="10">
        <v>449.7</v>
      </c>
      <c r="AH7">
        <v>456.1</v>
      </c>
      <c r="AI7" s="10">
        <v>438</v>
      </c>
      <c r="AJ7">
        <v>455.1</v>
      </c>
      <c r="AK7">
        <v>453.8</v>
      </c>
    </row>
    <row r="8" spans="1:37">
      <c r="A8" s="1">
        <v>7</v>
      </c>
      <c r="B8">
        <v>449.6</v>
      </c>
      <c r="C8">
        <v>462.3</v>
      </c>
      <c r="D8">
        <v>448.8</v>
      </c>
      <c r="E8">
        <v>462.3</v>
      </c>
      <c r="F8">
        <v>453.6</v>
      </c>
      <c r="G8">
        <v>461.6</v>
      </c>
      <c r="H8">
        <v>444.5</v>
      </c>
      <c r="I8">
        <v>462.6</v>
      </c>
      <c r="J8">
        <v>465.2</v>
      </c>
      <c r="K8">
        <v>464.7</v>
      </c>
      <c r="L8">
        <v>464.90000000000003</v>
      </c>
      <c r="M8">
        <v>464.7</v>
      </c>
      <c r="N8">
        <v>450.2</v>
      </c>
      <c r="O8">
        <v>462.5</v>
      </c>
      <c r="P8">
        <v>452.7</v>
      </c>
      <c r="Q8">
        <v>468.5</v>
      </c>
      <c r="R8">
        <v>448.79999999999995</v>
      </c>
      <c r="S8">
        <v>452.20000000000005</v>
      </c>
      <c r="T8">
        <v>459.3</v>
      </c>
      <c r="U8" s="10">
        <v>458.8</v>
      </c>
      <c r="V8">
        <v>445.4</v>
      </c>
      <c r="W8">
        <v>467.5</v>
      </c>
      <c r="X8" s="10">
        <v>462.3</v>
      </c>
      <c r="Y8">
        <v>455.5</v>
      </c>
      <c r="Z8" s="10">
        <v>434.3</v>
      </c>
      <c r="AA8">
        <v>462.3</v>
      </c>
      <c r="AB8">
        <v>456.2</v>
      </c>
      <c r="AC8">
        <v>434.2</v>
      </c>
      <c r="AD8">
        <v>453.9</v>
      </c>
      <c r="AE8">
        <v>456.3</v>
      </c>
      <c r="AF8">
        <v>470.1</v>
      </c>
      <c r="AG8" s="10">
        <v>453</v>
      </c>
      <c r="AH8">
        <v>458.4</v>
      </c>
      <c r="AI8" s="10">
        <v>434.1</v>
      </c>
      <c r="AJ8">
        <v>448.2</v>
      </c>
      <c r="AK8" s="10">
        <v>455</v>
      </c>
    </row>
    <row r="9" spans="1:37">
      <c r="A9" s="1">
        <v>8</v>
      </c>
      <c r="B9">
        <v>443</v>
      </c>
      <c r="C9">
        <v>447.3</v>
      </c>
      <c r="D9">
        <v>458.2</v>
      </c>
      <c r="E9">
        <v>437.1</v>
      </c>
      <c r="F9">
        <v>458.4</v>
      </c>
      <c r="G9">
        <v>454.9</v>
      </c>
      <c r="H9">
        <v>458.4</v>
      </c>
      <c r="I9">
        <v>464.5</v>
      </c>
      <c r="J9">
        <v>465.7</v>
      </c>
      <c r="K9">
        <v>468.09999999999997</v>
      </c>
      <c r="L9">
        <v>451.6</v>
      </c>
      <c r="M9">
        <v>459.5</v>
      </c>
      <c r="N9">
        <v>441</v>
      </c>
      <c r="O9">
        <v>461</v>
      </c>
      <c r="P9">
        <v>452.2</v>
      </c>
      <c r="Q9">
        <v>463.2</v>
      </c>
      <c r="R9">
        <v>444.5</v>
      </c>
      <c r="S9">
        <v>449.20000000000005</v>
      </c>
      <c r="T9">
        <v>468.4</v>
      </c>
      <c r="U9" s="10">
        <v>461</v>
      </c>
      <c r="V9">
        <v>446.5</v>
      </c>
      <c r="W9">
        <v>461</v>
      </c>
      <c r="X9" s="10">
        <v>468</v>
      </c>
      <c r="Y9">
        <v>448.1</v>
      </c>
      <c r="Z9" s="10">
        <v>468.6</v>
      </c>
      <c r="AA9">
        <v>449.6</v>
      </c>
      <c r="AB9">
        <v>458.1</v>
      </c>
      <c r="AC9">
        <v>439.4</v>
      </c>
      <c r="AD9">
        <v>458.4</v>
      </c>
      <c r="AE9">
        <v>461.4</v>
      </c>
      <c r="AF9">
        <v>470.4</v>
      </c>
      <c r="AG9" s="10">
        <v>448.4</v>
      </c>
      <c r="AH9">
        <v>457.7</v>
      </c>
      <c r="AI9" s="10">
        <v>432.7</v>
      </c>
      <c r="AJ9">
        <v>444.2</v>
      </c>
      <c r="AK9">
        <v>461.8</v>
      </c>
    </row>
    <row r="10" spans="1:37">
      <c r="A10" s="1">
        <v>9</v>
      </c>
      <c r="B10">
        <v>467.4</v>
      </c>
      <c r="C10">
        <v>441.3</v>
      </c>
      <c r="D10">
        <v>465.9</v>
      </c>
      <c r="E10">
        <v>464.6</v>
      </c>
      <c r="F10">
        <v>467.8</v>
      </c>
      <c r="G10">
        <v>466.3</v>
      </c>
      <c r="H10">
        <v>465.3</v>
      </c>
      <c r="I10">
        <v>463.3</v>
      </c>
      <c r="J10">
        <v>462.3</v>
      </c>
      <c r="K10">
        <v>460.79999999999995</v>
      </c>
      <c r="L10">
        <v>477</v>
      </c>
      <c r="M10">
        <v>474.5</v>
      </c>
      <c r="N10">
        <v>474.7</v>
      </c>
      <c r="O10">
        <v>473.6</v>
      </c>
      <c r="P10">
        <v>479.8</v>
      </c>
      <c r="Q10">
        <v>478.5</v>
      </c>
      <c r="R10">
        <v>477.5</v>
      </c>
      <c r="S10">
        <v>475.79999999999995</v>
      </c>
      <c r="T10">
        <v>477.7</v>
      </c>
      <c r="U10" s="10">
        <v>476.3</v>
      </c>
      <c r="V10">
        <v>475.7</v>
      </c>
      <c r="W10">
        <v>471.2</v>
      </c>
      <c r="X10" s="10">
        <v>470.5</v>
      </c>
      <c r="Y10">
        <v>469.4</v>
      </c>
      <c r="Z10" s="10">
        <v>468.7</v>
      </c>
      <c r="AA10">
        <v>467.5</v>
      </c>
      <c r="AB10">
        <v>466.6</v>
      </c>
      <c r="AC10">
        <v>465.6</v>
      </c>
      <c r="AD10">
        <v>464.3</v>
      </c>
      <c r="AE10">
        <v>462</v>
      </c>
      <c r="AF10">
        <v>484.3</v>
      </c>
      <c r="AG10" s="10">
        <v>482.3</v>
      </c>
      <c r="AH10">
        <v>481.4</v>
      </c>
      <c r="AI10" s="10">
        <v>475.7</v>
      </c>
      <c r="AJ10">
        <v>476.9</v>
      </c>
      <c r="AK10" s="10">
        <v>475</v>
      </c>
    </row>
    <row r="11" spans="1:37">
      <c r="A11" s="1">
        <v>10</v>
      </c>
      <c r="B11">
        <v>468.6</v>
      </c>
      <c r="C11">
        <v>468</v>
      </c>
      <c r="D11">
        <v>466.5</v>
      </c>
      <c r="E11">
        <v>462</v>
      </c>
      <c r="F11">
        <v>475.4</v>
      </c>
      <c r="G11">
        <v>474.4</v>
      </c>
      <c r="H11">
        <v>473.6</v>
      </c>
      <c r="I11">
        <v>472</v>
      </c>
      <c r="J11">
        <v>471.1</v>
      </c>
      <c r="K11">
        <v>470.29999999999995</v>
      </c>
      <c r="L11">
        <v>469</v>
      </c>
      <c r="M11">
        <v>466.6</v>
      </c>
      <c r="N11">
        <v>466.7</v>
      </c>
      <c r="O11">
        <v>466</v>
      </c>
      <c r="P11">
        <v>477.7</v>
      </c>
      <c r="Q11">
        <v>476.8</v>
      </c>
      <c r="R11">
        <v>476.1</v>
      </c>
      <c r="S11">
        <v>475.20000000000005</v>
      </c>
      <c r="T11">
        <v>476.9</v>
      </c>
      <c r="U11" s="10">
        <v>475.5</v>
      </c>
      <c r="V11">
        <v>474.9</v>
      </c>
      <c r="W11">
        <v>473.5</v>
      </c>
      <c r="X11" s="10">
        <v>472.6</v>
      </c>
      <c r="Y11">
        <v>471.9</v>
      </c>
      <c r="Z11" s="10">
        <v>470</v>
      </c>
      <c r="AA11">
        <v>468.7</v>
      </c>
      <c r="AB11">
        <v>467.6</v>
      </c>
      <c r="AC11">
        <v>465.6</v>
      </c>
      <c r="AD11">
        <v>475.8</v>
      </c>
      <c r="AE11">
        <v>474.9</v>
      </c>
      <c r="AF11">
        <v>487.1</v>
      </c>
      <c r="AG11" s="10">
        <v>486</v>
      </c>
      <c r="AH11">
        <v>484.9</v>
      </c>
      <c r="AI11" s="10">
        <v>480.9</v>
      </c>
      <c r="AJ11">
        <v>482.5</v>
      </c>
      <c r="AK11">
        <v>481.3</v>
      </c>
    </row>
    <row r="12" spans="1:37">
      <c r="A12" s="1">
        <v>11</v>
      </c>
      <c r="B12">
        <v>463.9</v>
      </c>
      <c r="C12">
        <v>456</v>
      </c>
      <c r="D12">
        <v>446.3</v>
      </c>
      <c r="E12">
        <v>462.9</v>
      </c>
      <c r="F12">
        <v>465</v>
      </c>
      <c r="G12">
        <v>465</v>
      </c>
      <c r="H12">
        <v>465</v>
      </c>
      <c r="I12">
        <v>455.3</v>
      </c>
      <c r="J12">
        <v>477.4</v>
      </c>
      <c r="K12">
        <v>477.4</v>
      </c>
      <c r="L12">
        <v>477.3</v>
      </c>
      <c r="M12">
        <v>465.4</v>
      </c>
      <c r="N12">
        <v>456.4</v>
      </c>
      <c r="O12">
        <v>445.1</v>
      </c>
      <c r="P12">
        <v>454.7</v>
      </c>
      <c r="Q12">
        <v>444.1</v>
      </c>
      <c r="R12">
        <v>457.6</v>
      </c>
      <c r="S12">
        <v>447.6</v>
      </c>
      <c r="T12">
        <v>457.5</v>
      </c>
      <c r="U12" s="10">
        <v>460</v>
      </c>
      <c r="V12">
        <v>450.1</v>
      </c>
      <c r="W12">
        <v>470.7</v>
      </c>
      <c r="X12" s="10">
        <v>460.2</v>
      </c>
      <c r="Y12">
        <v>449.9</v>
      </c>
      <c r="Z12" s="10">
        <v>480.6</v>
      </c>
      <c r="AA12">
        <v>472.7</v>
      </c>
      <c r="AB12">
        <v>463.4</v>
      </c>
      <c r="AC12">
        <v>454.9</v>
      </c>
      <c r="AD12">
        <v>461.1</v>
      </c>
      <c r="AE12">
        <v>449.5</v>
      </c>
      <c r="AF12">
        <v>474.8</v>
      </c>
      <c r="AG12" s="10">
        <v>464.7</v>
      </c>
      <c r="AH12">
        <v>455.6</v>
      </c>
      <c r="AI12" s="10">
        <v>441.1</v>
      </c>
      <c r="AJ12">
        <v>454.8</v>
      </c>
      <c r="AK12">
        <v>466.3</v>
      </c>
    </row>
    <row r="13" spans="1:37">
      <c r="A13" s="1">
        <v>12</v>
      </c>
      <c r="B13">
        <v>454</v>
      </c>
      <c r="C13">
        <v>441.5</v>
      </c>
      <c r="D13">
        <v>466.5</v>
      </c>
      <c r="E13">
        <v>450.5</v>
      </c>
      <c r="F13">
        <v>461.4</v>
      </c>
      <c r="G13">
        <v>447.5</v>
      </c>
      <c r="H13">
        <v>456</v>
      </c>
      <c r="I13">
        <v>465.4</v>
      </c>
      <c r="J13">
        <v>450.7</v>
      </c>
      <c r="K13">
        <v>458.4</v>
      </c>
      <c r="L13">
        <v>461.40000000000003</v>
      </c>
      <c r="M13">
        <v>445.1</v>
      </c>
      <c r="N13">
        <v>431.4</v>
      </c>
      <c r="O13">
        <v>459.7</v>
      </c>
      <c r="P13">
        <v>453.9</v>
      </c>
      <c r="Q13">
        <v>438.1</v>
      </c>
      <c r="R13">
        <v>458.29999999999995</v>
      </c>
      <c r="S13">
        <v>454.29999999999995</v>
      </c>
      <c r="T13">
        <v>452.8</v>
      </c>
      <c r="U13" s="10">
        <v>448</v>
      </c>
      <c r="V13">
        <v>433</v>
      </c>
      <c r="W13">
        <v>460.5</v>
      </c>
      <c r="X13" s="10">
        <v>462</v>
      </c>
      <c r="Y13">
        <v>446.1</v>
      </c>
      <c r="Z13" s="10">
        <v>466.1</v>
      </c>
      <c r="AA13">
        <v>449.7</v>
      </c>
      <c r="AB13">
        <v>461</v>
      </c>
      <c r="AC13">
        <v>447</v>
      </c>
      <c r="AD13">
        <v>453.9</v>
      </c>
      <c r="AE13">
        <v>461.5</v>
      </c>
      <c r="AF13">
        <v>467.7</v>
      </c>
      <c r="AG13" s="10">
        <v>452.3</v>
      </c>
      <c r="AH13">
        <v>461.4</v>
      </c>
      <c r="AI13" s="10">
        <v>446.9</v>
      </c>
      <c r="AJ13">
        <v>437.2</v>
      </c>
      <c r="AK13">
        <v>461.2</v>
      </c>
    </row>
    <row r="14" spans="1:37">
      <c r="A14" s="1">
        <v>13</v>
      </c>
      <c r="B14">
        <v>443.7</v>
      </c>
      <c r="C14">
        <v>428.2</v>
      </c>
      <c r="D14">
        <v>450</v>
      </c>
      <c r="E14">
        <v>433.7</v>
      </c>
      <c r="F14">
        <v>455.5</v>
      </c>
      <c r="G14">
        <v>465.6</v>
      </c>
      <c r="H14">
        <v>450.4</v>
      </c>
      <c r="I14">
        <v>457.4</v>
      </c>
      <c r="J14">
        <v>446.8</v>
      </c>
      <c r="K14">
        <v>460.5</v>
      </c>
      <c r="L14">
        <v>461.6</v>
      </c>
      <c r="M14">
        <v>446.1</v>
      </c>
      <c r="N14">
        <v>431.6</v>
      </c>
      <c r="O14">
        <v>448.5</v>
      </c>
      <c r="P14">
        <v>453.2</v>
      </c>
      <c r="Q14">
        <v>436.4</v>
      </c>
      <c r="R14">
        <v>449.1</v>
      </c>
      <c r="S14">
        <v>456.29999999999995</v>
      </c>
      <c r="T14">
        <v>441.5</v>
      </c>
      <c r="U14" s="10">
        <v>450.1</v>
      </c>
      <c r="V14">
        <v>437.4</v>
      </c>
      <c r="W14">
        <v>463.2</v>
      </c>
      <c r="X14" s="10">
        <v>446.9</v>
      </c>
      <c r="Y14">
        <v>443.6</v>
      </c>
      <c r="Z14" s="10">
        <v>470.9</v>
      </c>
      <c r="AA14">
        <v>453.9</v>
      </c>
      <c r="AB14">
        <v>450.9</v>
      </c>
      <c r="AC14">
        <v>436.5</v>
      </c>
      <c r="AD14">
        <v>455</v>
      </c>
      <c r="AE14">
        <v>453.5</v>
      </c>
      <c r="AF14">
        <v>463.3</v>
      </c>
      <c r="AG14" s="10">
        <v>454.6</v>
      </c>
      <c r="AH14">
        <v>433.7</v>
      </c>
      <c r="AI14" s="10">
        <v>449</v>
      </c>
      <c r="AJ14">
        <v>434.3</v>
      </c>
      <c r="AK14">
        <v>457.7</v>
      </c>
    </row>
    <row r="15" spans="1:37">
      <c r="A15" s="1">
        <v>14</v>
      </c>
      <c r="B15">
        <v>452</v>
      </c>
      <c r="C15">
        <v>447.9</v>
      </c>
      <c r="D15">
        <v>439.4</v>
      </c>
      <c r="E15">
        <v>449</v>
      </c>
      <c r="F15">
        <v>456.7</v>
      </c>
      <c r="G15">
        <v>443.1</v>
      </c>
      <c r="H15">
        <v>431.4</v>
      </c>
      <c r="I15">
        <v>450.3</v>
      </c>
      <c r="J15">
        <v>450.8</v>
      </c>
      <c r="K15">
        <v>438.7</v>
      </c>
      <c r="L15">
        <v>455.6</v>
      </c>
      <c r="M15">
        <v>442.2</v>
      </c>
      <c r="N15">
        <v>430.8</v>
      </c>
      <c r="O15">
        <v>417.5</v>
      </c>
      <c r="P15">
        <v>447.2</v>
      </c>
      <c r="Q15">
        <v>436</v>
      </c>
      <c r="R15">
        <v>451.9</v>
      </c>
      <c r="S15">
        <v>440.29999999999995</v>
      </c>
      <c r="T15">
        <v>449.7</v>
      </c>
      <c r="U15" s="10">
        <v>453.9</v>
      </c>
      <c r="V15">
        <v>440.3</v>
      </c>
      <c r="W15">
        <v>459</v>
      </c>
      <c r="X15" s="10">
        <v>450.6</v>
      </c>
      <c r="Y15">
        <v>439.2</v>
      </c>
      <c r="Z15" s="10">
        <v>427.2</v>
      </c>
      <c r="AA15">
        <v>454.9</v>
      </c>
      <c r="AB15">
        <v>442.3</v>
      </c>
      <c r="AC15">
        <v>429.4</v>
      </c>
      <c r="AD15">
        <v>451</v>
      </c>
      <c r="AE15">
        <v>438.9</v>
      </c>
      <c r="AF15">
        <v>459.1</v>
      </c>
      <c r="AG15" s="10">
        <v>445</v>
      </c>
      <c r="AH15">
        <v>432.2</v>
      </c>
      <c r="AI15" s="10">
        <v>414.1</v>
      </c>
      <c r="AJ15">
        <v>448.5</v>
      </c>
      <c r="AK15">
        <v>433.2</v>
      </c>
    </row>
    <row r="16" spans="1:37">
      <c r="A16" s="1">
        <v>15</v>
      </c>
      <c r="B16">
        <v>459.5</v>
      </c>
      <c r="C16">
        <v>455.4</v>
      </c>
      <c r="D16">
        <v>454.5</v>
      </c>
      <c r="E16">
        <v>452.9</v>
      </c>
      <c r="F16">
        <v>462.6</v>
      </c>
      <c r="G16">
        <v>461.5</v>
      </c>
      <c r="H16">
        <v>460.6</v>
      </c>
      <c r="I16">
        <v>458.8</v>
      </c>
      <c r="J16">
        <v>457.5</v>
      </c>
      <c r="K16">
        <v>455.79999999999995</v>
      </c>
      <c r="L16">
        <v>454.2</v>
      </c>
      <c r="M16">
        <v>451.6</v>
      </c>
      <c r="N16">
        <v>450.6</v>
      </c>
      <c r="O16">
        <v>449.2</v>
      </c>
      <c r="P16">
        <v>457.4</v>
      </c>
      <c r="Q16">
        <v>455.7</v>
      </c>
      <c r="R16">
        <v>454.29999999999995</v>
      </c>
      <c r="S16">
        <v>453.20000000000005</v>
      </c>
      <c r="T16">
        <v>460.2</v>
      </c>
      <c r="U16" s="10">
        <v>458.6</v>
      </c>
      <c r="V16">
        <v>457.1</v>
      </c>
      <c r="W16">
        <v>453.7</v>
      </c>
      <c r="X16" s="10">
        <v>452.3</v>
      </c>
      <c r="Y16">
        <v>450.3</v>
      </c>
      <c r="Z16" s="10">
        <v>447.8</v>
      </c>
      <c r="AA16">
        <v>447.4</v>
      </c>
      <c r="AB16">
        <v>461.6</v>
      </c>
      <c r="AC16">
        <v>458.2</v>
      </c>
      <c r="AD16">
        <v>455.4</v>
      </c>
      <c r="AE16">
        <v>452.5</v>
      </c>
      <c r="AF16">
        <v>471.6</v>
      </c>
      <c r="AG16" s="10">
        <v>468.9</v>
      </c>
      <c r="AH16">
        <v>467.8</v>
      </c>
      <c r="AI16" s="10">
        <v>461.8</v>
      </c>
      <c r="AJ16">
        <v>463.3</v>
      </c>
      <c r="AK16">
        <v>461.2</v>
      </c>
    </row>
    <row r="17" spans="1:37">
      <c r="A17" s="1">
        <v>16</v>
      </c>
      <c r="B17">
        <v>454.6</v>
      </c>
      <c r="C17">
        <v>448.6</v>
      </c>
      <c r="D17">
        <v>447.7</v>
      </c>
      <c r="E17">
        <v>446.3</v>
      </c>
      <c r="F17">
        <v>465.8</v>
      </c>
      <c r="G17">
        <v>465</v>
      </c>
      <c r="H17">
        <v>462</v>
      </c>
      <c r="I17">
        <v>452.1</v>
      </c>
      <c r="J17">
        <v>467.9</v>
      </c>
      <c r="K17">
        <v>464.59999999999997</v>
      </c>
      <c r="L17">
        <v>463.5</v>
      </c>
      <c r="M17">
        <v>461</v>
      </c>
      <c r="N17">
        <v>459.7</v>
      </c>
      <c r="O17">
        <v>457.6</v>
      </c>
      <c r="P17">
        <v>470.2</v>
      </c>
      <c r="Q17">
        <v>467</v>
      </c>
      <c r="R17">
        <v>464.79999999999995</v>
      </c>
      <c r="S17">
        <v>459.6</v>
      </c>
      <c r="T17">
        <v>458.6</v>
      </c>
      <c r="U17" s="10">
        <v>452.5</v>
      </c>
      <c r="V17">
        <v>450.3</v>
      </c>
      <c r="W17">
        <v>445.8</v>
      </c>
      <c r="X17" s="10">
        <v>440.5</v>
      </c>
      <c r="Y17">
        <v>455.4</v>
      </c>
      <c r="Z17" s="10">
        <v>449.4</v>
      </c>
      <c r="AA17">
        <v>442.8</v>
      </c>
      <c r="AB17">
        <v>455.7</v>
      </c>
      <c r="AC17">
        <v>448.1</v>
      </c>
      <c r="AD17">
        <v>441.1</v>
      </c>
      <c r="AE17">
        <v>456.1</v>
      </c>
      <c r="AF17">
        <v>458.8</v>
      </c>
      <c r="AG17" s="10">
        <v>449.9</v>
      </c>
      <c r="AH17">
        <v>440.2</v>
      </c>
      <c r="AI17" s="10">
        <v>426.1</v>
      </c>
      <c r="AJ17">
        <v>451.8</v>
      </c>
      <c r="AK17" s="10">
        <v>444</v>
      </c>
    </row>
    <row r="18" spans="1:37">
      <c r="A18" s="1">
        <v>17</v>
      </c>
      <c r="B18">
        <v>446.3</v>
      </c>
      <c r="C18">
        <v>446.1</v>
      </c>
      <c r="D18">
        <v>432.8</v>
      </c>
      <c r="E18">
        <v>461</v>
      </c>
      <c r="F18">
        <v>442.9</v>
      </c>
      <c r="G18">
        <v>458.6</v>
      </c>
      <c r="H18">
        <v>445.8</v>
      </c>
      <c r="I18">
        <v>450.5</v>
      </c>
      <c r="J18">
        <v>456.8</v>
      </c>
      <c r="K18">
        <v>445.5</v>
      </c>
      <c r="L18">
        <v>433</v>
      </c>
      <c r="M18">
        <v>449.5</v>
      </c>
      <c r="N18">
        <v>435</v>
      </c>
      <c r="O18">
        <v>460.4</v>
      </c>
      <c r="P18">
        <v>441.3</v>
      </c>
      <c r="Q18">
        <v>424.7</v>
      </c>
      <c r="R18">
        <v>440.9</v>
      </c>
      <c r="S18">
        <v>443.1</v>
      </c>
      <c r="T18">
        <v>446.8</v>
      </c>
      <c r="U18" s="10">
        <v>444</v>
      </c>
      <c r="V18">
        <v>433</v>
      </c>
      <c r="W18">
        <v>453.3</v>
      </c>
      <c r="X18" s="10">
        <v>438</v>
      </c>
      <c r="Y18">
        <v>417.2</v>
      </c>
      <c r="Z18" s="10">
        <v>455</v>
      </c>
      <c r="AA18">
        <v>436.2</v>
      </c>
      <c r="AB18">
        <v>446.4</v>
      </c>
      <c r="AC18">
        <v>439.5</v>
      </c>
      <c r="AD18">
        <v>444</v>
      </c>
      <c r="AE18">
        <v>450</v>
      </c>
      <c r="AF18">
        <v>451</v>
      </c>
      <c r="AG18" s="10">
        <v>446.8</v>
      </c>
      <c r="AH18">
        <v>444.7</v>
      </c>
      <c r="AI18" s="10">
        <v>422.5</v>
      </c>
      <c r="AJ18">
        <v>450.8</v>
      </c>
      <c r="AK18">
        <v>428.8</v>
      </c>
    </row>
    <row r="19" spans="1:37">
      <c r="A19" s="1">
        <v>18</v>
      </c>
      <c r="B19">
        <v>440.9</v>
      </c>
      <c r="C19">
        <v>436.9</v>
      </c>
      <c r="D19">
        <v>457.1</v>
      </c>
      <c r="E19">
        <v>448.5</v>
      </c>
      <c r="F19">
        <v>452.2</v>
      </c>
      <c r="G19">
        <v>442.5</v>
      </c>
      <c r="H19">
        <v>449.5</v>
      </c>
      <c r="I19">
        <v>435.4</v>
      </c>
      <c r="J19">
        <v>445</v>
      </c>
      <c r="K19">
        <v>447.5</v>
      </c>
      <c r="L19">
        <v>432.40000000000003</v>
      </c>
      <c r="M19">
        <v>448</v>
      </c>
      <c r="N19">
        <v>435.6</v>
      </c>
      <c r="O19">
        <v>446.7</v>
      </c>
      <c r="P19">
        <v>441.9</v>
      </c>
      <c r="Q19">
        <v>428.2</v>
      </c>
      <c r="R19">
        <v>445.29999999999995</v>
      </c>
      <c r="S19">
        <v>449.29999999999995</v>
      </c>
      <c r="T19">
        <v>444.5</v>
      </c>
      <c r="U19" s="10">
        <v>443.2</v>
      </c>
      <c r="V19">
        <v>433.8</v>
      </c>
      <c r="W19">
        <v>459.2</v>
      </c>
      <c r="X19" s="10">
        <v>442.2</v>
      </c>
      <c r="Y19">
        <v>446.8</v>
      </c>
      <c r="Z19" s="10">
        <v>457.1</v>
      </c>
      <c r="AA19">
        <v>446.1</v>
      </c>
      <c r="AB19">
        <v>454.6</v>
      </c>
      <c r="AC19">
        <v>437.9</v>
      </c>
      <c r="AD19">
        <v>447.3</v>
      </c>
      <c r="AE19">
        <v>454.2</v>
      </c>
      <c r="AF19">
        <v>454.1</v>
      </c>
      <c r="AG19" s="10">
        <v>434.9</v>
      </c>
      <c r="AH19">
        <v>460.1</v>
      </c>
      <c r="AI19" s="10">
        <v>437.7</v>
      </c>
      <c r="AJ19">
        <v>442.9</v>
      </c>
      <c r="AK19">
        <v>446.5</v>
      </c>
    </row>
    <row r="20" spans="1:37">
      <c r="A20" s="1">
        <v>19</v>
      </c>
      <c r="B20">
        <v>456.6</v>
      </c>
      <c r="C20">
        <v>449.7</v>
      </c>
      <c r="D20">
        <v>448.7</v>
      </c>
      <c r="E20">
        <v>445</v>
      </c>
      <c r="F20">
        <v>455.9</v>
      </c>
      <c r="G20">
        <v>453.7</v>
      </c>
      <c r="H20">
        <v>447.3</v>
      </c>
      <c r="I20">
        <v>459.8</v>
      </c>
      <c r="J20">
        <v>455.1</v>
      </c>
      <c r="K20">
        <v>450.59999999999997</v>
      </c>
      <c r="L20">
        <v>447.8</v>
      </c>
      <c r="M20">
        <v>462.5</v>
      </c>
      <c r="N20">
        <v>460.4</v>
      </c>
      <c r="O20">
        <v>457.2</v>
      </c>
      <c r="P20">
        <v>458.8</v>
      </c>
      <c r="Q20">
        <v>452.4</v>
      </c>
      <c r="R20">
        <v>445.20000000000005</v>
      </c>
      <c r="S20">
        <v>454.29999999999995</v>
      </c>
      <c r="T20">
        <v>455.7</v>
      </c>
      <c r="U20" s="10">
        <v>451.1</v>
      </c>
      <c r="V20">
        <v>445.9</v>
      </c>
      <c r="W20">
        <v>441.1</v>
      </c>
      <c r="X20" s="10">
        <v>458.6</v>
      </c>
      <c r="Y20">
        <v>454.1</v>
      </c>
      <c r="Z20" s="10">
        <v>449.7</v>
      </c>
      <c r="AA20">
        <v>446.1</v>
      </c>
      <c r="AB20">
        <v>457</v>
      </c>
      <c r="AC20">
        <v>449.2</v>
      </c>
      <c r="AD20">
        <v>440.5</v>
      </c>
      <c r="AE20">
        <v>455.8</v>
      </c>
      <c r="AF20">
        <v>464.6</v>
      </c>
      <c r="AG20" s="10">
        <v>456.8</v>
      </c>
      <c r="AH20">
        <v>450.9</v>
      </c>
      <c r="AI20" s="10">
        <v>443.3</v>
      </c>
      <c r="AJ20">
        <v>442.2</v>
      </c>
      <c r="AK20">
        <v>459.9</v>
      </c>
    </row>
    <row r="21" spans="1:37">
      <c r="A21" s="1">
        <v>20</v>
      </c>
      <c r="B21">
        <v>457.6</v>
      </c>
      <c r="C21">
        <v>453.3</v>
      </c>
      <c r="D21">
        <v>452.4</v>
      </c>
      <c r="E21">
        <v>451.2</v>
      </c>
      <c r="F21">
        <v>462.9</v>
      </c>
      <c r="G21">
        <v>461.8</v>
      </c>
      <c r="H21">
        <v>460.4</v>
      </c>
      <c r="I21">
        <v>472</v>
      </c>
      <c r="J21">
        <v>470.8</v>
      </c>
      <c r="K21">
        <v>470.2</v>
      </c>
      <c r="L21">
        <v>469.2</v>
      </c>
      <c r="M21">
        <v>466.9</v>
      </c>
      <c r="N21">
        <v>467</v>
      </c>
      <c r="O21">
        <v>466.2</v>
      </c>
      <c r="P21">
        <v>479.8</v>
      </c>
      <c r="Q21">
        <v>479</v>
      </c>
      <c r="R21">
        <v>478.20000000000005</v>
      </c>
      <c r="S21">
        <v>477.5</v>
      </c>
      <c r="T21">
        <v>479.5</v>
      </c>
      <c r="U21" s="10">
        <v>478.4</v>
      </c>
      <c r="V21">
        <v>477.8</v>
      </c>
      <c r="W21">
        <v>476.7</v>
      </c>
      <c r="X21" s="10">
        <v>475.6</v>
      </c>
      <c r="Y21">
        <v>474.7</v>
      </c>
      <c r="Z21" s="10">
        <v>473.8</v>
      </c>
      <c r="AA21">
        <v>472.2</v>
      </c>
      <c r="AB21">
        <v>471.4</v>
      </c>
      <c r="AC21">
        <v>469.9</v>
      </c>
      <c r="AD21">
        <v>468.5</v>
      </c>
      <c r="AE21">
        <v>467.6</v>
      </c>
      <c r="AF21">
        <v>484.2</v>
      </c>
      <c r="AG21" s="10">
        <v>483.1</v>
      </c>
      <c r="AH21">
        <v>482.3</v>
      </c>
      <c r="AI21" s="10">
        <v>478.1</v>
      </c>
      <c r="AJ21">
        <v>479.6</v>
      </c>
      <c r="AK21">
        <v>478.8</v>
      </c>
    </row>
    <row r="22" spans="1:37">
      <c r="A22" s="1">
        <v>21</v>
      </c>
      <c r="B22" t="s">
        <v>133</v>
      </c>
      <c r="C22">
        <v>439.6</v>
      </c>
      <c r="D22">
        <v>457.3</v>
      </c>
      <c r="E22">
        <v>448.5</v>
      </c>
      <c r="F22">
        <v>446.9</v>
      </c>
      <c r="G22">
        <v>436.4</v>
      </c>
      <c r="H22">
        <v>464.4</v>
      </c>
      <c r="I22">
        <v>456.2</v>
      </c>
      <c r="J22">
        <v>448</v>
      </c>
      <c r="K22">
        <v>459.4</v>
      </c>
      <c r="L22">
        <v>451.7</v>
      </c>
      <c r="M22">
        <v>440</v>
      </c>
      <c r="N22">
        <v>431.2</v>
      </c>
      <c r="O22">
        <v>454.8</v>
      </c>
      <c r="P22">
        <v>452.1</v>
      </c>
      <c r="Q22">
        <v>439.5</v>
      </c>
      <c r="R22">
        <v>446.1</v>
      </c>
      <c r="S22">
        <v>447.29999999999995</v>
      </c>
      <c r="T22">
        <v>445.8</v>
      </c>
      <c r="U22" s="10">
        <v>450.3</v>
      </c>
      <c r="V22">
        <v>438.7</v>
      </c>
      <c r="W22">
        <v>427.8</v>
      </c>
      <c r="X22" s="10">
        <v>453.2</v>
      </c>
      <c r="Y22">
        <v>442.1</v>
      </c>
      <c r="Z22" s="10">
        <v>463.1</v>
      </c>
      <c r="AA22">
        <v>451.1</v>
      </c>
      <c r="AB22">
        <v>448.3</v>
      </c>
      <c r="AC22">
        <v>452</v>
      </c>
      <c r="AD22">
        <v>439.7</v>
      </c>
      <c r="AE22">
        <v>450.6</v>
      </c>
      <c r="AF22">
        <v>459.5</v>
      </c>
      <c r="AG22" s="10">
        <v>445.8</v>
      </c>
      <c r="AH22">
        <v>432.7</v>
      </c>
      <c r="AI22" s="10">
        <v>417.3</v>
      </c>
      <c r="AJ22">
        <v>442.1</v>
      </c>
      <c r="AK22">
        <v>449.7</v>
      </c>
    </row>
    <row r="23" spans="1:37">
      <c r="A23" s="1">
        <v>22</v>
      </c>
      <c r="B23">
        <v>433.1</v>
      </c>
      <c r="C23">
        <v>419.9</v>
      </c>
      <c r="D23">
        <v>453.1</v>
      </c>
      <c r="E23">
        <v>439.1</v>
      </c>
      <c r="F23">
        <v>436.9</v>
      </c>
      <c r="G23">
        <v>451.1</v>
      </c>
      <c r="H23">
        <v>437.6</v>
      </c>
      <c r="I23">
        <v>454.3</v>
      </c>
      <c r="J23">
        <v>439.9</v>
      </c>
      <c r="K23">
        <v>456.09999999999997</v>
      </c>
      <c r="L23">
        <v>452.40000000000003</v>
      </c>
      <c r="M23">
        <v>436.9</v>
      </c>
      <c r="N23">
        <v>423.1</v>
      </c>
      <c r="O23">
        <v>447.3</v>
      </c>
      <c r="P23">
        <v>441.4</v>
      </c>
      <c r="Q23">
        <v>429.5</v>
      </c>
      <c r="R23">
        <v>441.79999999999995</v>
      </c>
      <c r="S23">
        <v>443.1</v>
      </c>
      <c r="T23">
        <v>445</v>
      </c>
      <c r="U23" s="10">
        <v>448.6</v>
      </c>
      <c r="V23">
        <v>435.6</v>
      </c>
      <c r="W23">
        <v>417.7</v>
      </c>
      <c r="X23" s="10">
        <v>453.7</v>
      </c>
      <c r="Y23">
        <v>437.3</v>
      </c>
      <c r="Z23" s="10">
        <v>460.5</v>
      </c>
      <c r="AA23">
        <v>446.4</v>
      </c>
      <c r="AB23">
        <v>443.2</v>
      </c>
      <c r="AC23">
        <v>453.8</v>
      </c>
      <c r="AD23">
        <v>439.5</v>
      </c>
      <c r="AE23">
        <v>442.8</v>
      </c>
      <c r="AF23">
        <v>453.7</v>
      </c>
      <c r="AG23" s="10">
        <v>449.9</v>
      </c>
      <c r="AH23">
        <v>434.1</v>
      </c>
      <c r="AI23" s="10">
        <v>417</v>
      </c>
      <c r="AJ23">
        <v>445.8</v>
      </c>
      <c r="AK23">
        <v>446.3</v>
      </c>
    </row>
    <row r="24" spans="1:37">
      <c r="A24" s="1">
        <v>23</v>
      </c>
      <c r="B24">
        <v>471.3</v>
      </c>
      <c r="C24">
        <v>464.6</v>
      </c>
      <c r="D24">
        <v>457.4</v>
      </c>
      <c r="E24">
        <v>446.6</v>
      </c>
      <c r="F24">
        <v>449</v>
      </c>
      <c r="G24">
        <v>436</v>
      </c>
      <c r="H24">
        <v>446.7</v>
      </c>
      <c r="I24">
        <v>456.9</v>
      </c>
      <c r="J24">
        <v>447.3</v>
      </c>
      <c r="K24">
        <v>457.7</v>
      </c>
      <c r="L24">
        <v>448.3</v>
      </c>
      <c r="M24">
        <v>452.2</v>
      </c>
      <c r="N24">
        <v>441.3</v>
      </c>
      <c r="O24">
        <v>427.6</v>
      </c>
      <c r="P24">
        <v>440.5</v>
      </c>
      <c r="Q24">
        <v>425.9</v>
      </c>
      <c r="R24">
        <v>448.79999999999995</v>
      </c>
      <c r="S24">
        <v>436.4</v>
      </c>
      <c r="T24">
        <v>446.2</v>
      </c>
      <c r="U24" s="10">
        <v>448.4</v>
      </c>
      <c r="V24">
        <v>436.3</v>
      </c>
      <c r="W24">
        <v>457.9</v>
      </c>
      <c r="X24" s="10">
        <v>457.6</v>
      </c>
      <c r="Y24">
        <v>445.2</v>
      </c>
      <c r="Z24" s="10">
        <v>427</v>
      </c>
      <c r="AA24">
        <v>460</v>
      </c>
      <c r="AB24">
        <v>444.1</v>
      </c>
      <c r="AC24">
        <v>450.7</v>
      </c>
      <c r="AD24">
        <v>452.3</v>
      </c>
      <c r="AE24">
        <v>450.2</v>
      </c>
      <c r="AF24">
        <v>459</v>
      </c>
      <c r="AG24" s="10">
        <v>445.2</v>
      </c>
      <c r="AH24">
        <v>430.8</v>
      </c>
      <c r="AI24" s="10">
        <v>413.9</v>
      </c>
      <c r="AJ24">
        <v>444.2</v>
      </c>
      <c r="AK24">
        <v>450.4</v>
      </c>
    </row>
    <row r="25" spans="1:37">
      <c r="A25" s="1">
        <v>24</v>
      </c>
      <c r="B25">
        <v>438.5</v>
      </c>
      <c r="C25">
        <v>427.4</v>
      </c>
      <c r="D25">
        <v>440.7</v>
      </c>
      <c r="E25">
        <v>444</v>
      </c>
      <c r="F25">
        <v>453.4</v>
      </c>
      <c r="G25">
        <v>451.7</v>
      </c>
      <c r="H25">
        <v>429.3</v>
      </c>
      <c r="I25">
        <v>442.5</v>
      </c>
      <c r="J25">
        <v>449.8</v>
      </c>
      <c r="K25">
        <v>424.59999999999997</v>
      </c>
      <c r="L25">
        <v>447.3</v>
      </c>
      <c r="M25">
        <v>440.8</v>
      </c>
      <c r="N25">
        <v>421</v>
      </c>
      <c r="O25">
        <v>434.5</v>
      </c>
      <c r="P25">
        <v>437.7</v>
      </c>
      <c r="Q25">
        <v>416.9</v>
      </c>
      <c r="R25">
        <v>428.4</v>
      </c>
      <c r="S25">
        <v>433.29999999999995</v>
      </c>
      <c r="T25">
        <v>440</v>
      </c>
      <c r="U25" s="10">
        <v>441.5</v>
      </c>
      <c r="V25">
        <v>423.1</v>
      </c>
      <c r="W25">
        <v>449</v>
      </c>
      <c r="X25" s="10">
        <v>444.6</v>
      </c>
      <c r="Y25">
        <v>421.1</v>
      </c>
      <c r="Z25" s="10">
        <v>456.6</v>
      </c>
      <c r="AA25">
        <v>430.8</v>
      </c>
      <c r="AB25">
        <v>437.2</v>
      </c>
      <c r="AC25">
        <v>449.9</v>
      </c>
      <c r="AD25">
        <v>438.8</v>
      </c>
      <c r="AE25">
        <v>435.7</v>
      </c>
      <c r="AF25">
        <v>442.5</v>
      </c>
      <c r="AG25" s="10">
        <v>433.4</v>
      </c>
      <c r="AH25" s="10">
        <v>433</v>
      </c>
      <c r="AI25" s="10">
        <v>403.8</v>
      </c>
      <c r="AJ25">
        <v>432.3</v>
      </c>
      <c r="AK25">
        <v>436.2</v>
      </c>
    </row>
    <row r="26" spans="1:37">
      <c r="A26" s="1">
        <v>25</v>
      </c>
      <c r="B26">
        <v>448.8</v>
      </c>
      <c r="C26">
        <v>434.5</v>
      </c>
      <c r="D26">
        <v>456.5</v>
      </c>
      <c r="E26">
        <v>439.1</v>
      </c>
      <c r="F26">
        <v>443.9</v>
      </c>
      <c r="G26">
        <v>447.3</v>
      </c>
      <c r="H26">
        <v>436.7</v>
      </c>
      <c r="I26">
        <v>447.4</v>
      </c>
      <c r="J26">
        <v>448.3</v>
      </c>
      <c r="K26">
        <v>450.59999999999997</v>
      </c>
      <c r="L26">
        <v>450.7</v>
      </c>
      <c r="M26">
        <v>444.1</v>
      </c>
      <c r="N26">
        <v>423.2</v>
      </c>
      <c r="O26">
        <v>436.6</v>
      </c>
      <c r="P26">
        <v>437.2</v>
      </c>
      <c r="Q26">
        <v>412.6</v>
      </c>
      <c r="R26">
        <v>444</v>
      </c>
      <c r="S26">
        <v>427.29999999999995</v>
      </c>
      <c r="T26">
        <v>443.3</v>
      </c>
      <c r="U26" s="10">
        <v>442.9</v>
      </c>
      <c r="V26">
        <v>452.6</v>
      </c>
      <c r="W26">
        <v>428.2</v>
      </c>
      <c r="X26" s="10">
        <v>440.2</v>
      </c>
      <c r="Y26">
        <v>432.3</v>
      </c>
      <c r="Z26" s="10">
        <v>449.6</v>
      </c>
      <c r="AA26">
        <v>425.8</v>
      </c>
      <c r="AB26">
        <v>435.3</v>
      </c>
      <c r="AC26">
        <v>449.8</v>
      </c>
      <c r="AD26">
        <v>440.6</v>
      </c>
      <c r="AE26">
        <v>436.9</v>
      </c>
      <c r="AF26">
        <v>447.6</v>
      </c>
      <c r="AG26" s="10">
        <v>433.7</v>
      </c>
      <c r="AH26">
        <v>443.8</v>
      </c>
      <c r="AI26" s="10">
        <v>416.2</v>
      </c>
      <c r="AJ26">
        <v>446.9</v>
      </c>
      <c r="AK26">
        <v>437.3</v>
      </c>
    </row>
    <row r="27" spans="1:37">
      <c r="A27" s="1">
        <v>26</v>
      </c>
      <c r="B27">
        <v>417.9</v>
      </c>
      <c r="C27">
        <v>447.4</v>
      </c>
      <c r="D27">
        <v>439.4</v>
      </c>
      <c r="E27">
        <v>450.3</v>
      </c>
      <c r="F27">
        <v>451.4</v>
      </c>
      <c r="G27">
        <v>441.1</v>
      </c>
      <c r="H27">
        <v>428.6</v>
      </c>
      <c r="I27">
        <v>447.1</v>
      </c>
      <c r="J27">
        <v>431.5</v>
      </c>
      <c r="K27">
        <v>444.79999999999995</v>
      </c>
      <c r="L27">
        <v>428.6</v>
      </c>
      <c r="M27">
        <v>441.3</v>
      </c>
      <c r="N27">
        <v>423.8</v>
      </c>
      <c r="O27">
        <v>431.9</v>
      </c>
      <c r="P27">
        <v>434.8</v>
      </c>
      <c r="Q27">
        <v>417.9</v>
      </c>
      <c r="R27">
        <v>443.20000000000005</v>
      </c>
      <c r="S27">
        <v>438.4</v>
      </c>
      <c r="T27">
        <v>451.6</v>
      </c>
      <c r="U27" s="10">
        <v>436.2</v>
      </c>
      <c r="V27">
        <v>441.9</v>
      </c>
      <c r="W27">
        <v>423.5</v>
      </c>
      <c r="X27" s="10">
        <v>450</v>
      </c>
      <c r="Y27">
        <v>430.9</v>
      </c>
      <c r="Z27" s="10">
        <v>453.1</v>
      </c>
      <c r="AA27">
        <v>434.2</v>
      </c>
      <c r="AB27">
        <v>439.2</v>
      </c>
      <c r="AC27">
        <v>452.6</v>
      </c>
      <c r="AD27">
        <v>433</v>
      </c>
      <c r="AE27">
        <v>446</v>
      </c>
      <c r="AF27">
        <v>455.3</v>
      </c>
      <c r="AG27" s="10">
        <v>438.4</v>
      </c>
      <c r="AH27">
        <v>422.4</v>
      </c>
      <c r="AI27" s="10">
        <v>438.2</v>
      </c>
      <c r="AJ27">
        <v>424.1</v>
      </c>
      <c r="AK27">
        <v>438.2</v>
      </c>
    </row>
    <row r="28" spans="1:37">
      <c r="A28" s="1">
        <v>27</v>
      </c>
      <c r="B28">
        <v>452.4</v>
      </c>
      <c r="C28">
        <v>445</v>
      </c>
      <c r="D28">
        <v>460.9</v>
      </c>
      <c r="E28">
        <v>451.4</v>
      </c>
      <c r="F28">
        <v>449.4</v>
      </c>
      <c r="G28">
        <v>448.5</v>
      </c>
      <c r="H28">
        <v>437.4</v>
      </c>
      <c r="I28">
        <v>456.1</v>
      </c>
      <c r="J28">
        <v>444.5</v>
      </c>
      <c r="K28">
        <v>451</v>
      </c>
      <c r="L28">
        <v>439.1</v>
      </c>
      <c r="M28">
        <v>449</v>
      </c>
      <c r="N28">
        <v>436.9</v>
      </c>
      <c r="O28">
        <v>446.9</v>
      </c>
      <c r="P28">
        <v>442.5</v>
      </c>
      <c r="Q28">
        <v>430</v>
      </c>
      <c r="R28">
        <v>445</v>
      </c>
      <c r="S28">
        <v>448.6</v>
      </c>
      <c r="T28">
        <v>446.6</v>
      </c>
      <c r="U28" s="10">
        <v>450.1</v>
      </c>
      <c r="V28">
        <v>440</v>
      </c>
      <c r="W28">
        <v>424.5</v>
      </c>
      <c r="X28" s="10">
        <v>445.9</v>
      </c>
      <c r="Y28">
        <v>430.8</v>
      </c>
      <c r="Z28" s="10">
        <v>457.2</v>
      </c>
      <c r="AA28">
        <v>444.1</v>
      </c>
      <c r="AB28">
        <v>446.2</v>
      </c>
      <c r="AC28">
        <v>456.6</v>
      </c>
      <c r="AD28">
        <v>443.2</v>
      </c>
      <c r="AE28">
        <v>448.1</v>
      </c>
      <c r="AF28">
        <v>461</v>
      </c>
      <c r="AG28" s="10">
        <v>445.2</v>
      </c>
      <c r="AH28">
        <v>429.7</v>
      </c>
      <c r="AI28" s="10">
        <v>412.9</v>
      </c>
      <c r="AJ28">
        <v>456.1</v>
      </c>
      <c r="AK28">
        <v>442.6</v>
      </c>
    </row>
    <row r="29" spans="1:37">
      <c r="A29" s="1">
        <v>28</v>
      </c>
      <c r="B29">
        <v>441.4</v>
      </c>
      <c r="C29">
        <v>438</v>
      </c>
      <c r="D29">
        <v>461.9</v>
      </c>
      <c r="E29">
        <v>455.7</v>
      </c>
      <c r="F29">
        <v>449.8</v>
      </c>
      <c r="G29">
        <v>463.1</v>
      </c>
      <c r="H29">
        <v>453.9</v>
      </c>
      <c r="I29">
        <v>446.3</v>
      </c>
      <c r="J29">
        <v>453.1</v>
      </c>
      <c r="K29">
        <v>457.09999999999997</v>
      </c>
      <c r="L29">
        <v>447.8</v>
      </c>
      <c r="M29">
        <v>458.4</v>
      </c>
      <c r="N29">
        <v>448.9</v>
      </c>
      <c r="O29">
        <v>439.3</v>
      </c>
      <c r="P29">
        <v>455.6</v>
      </c>
      <c r="Q29">
        <v>446</v>
      </c>
      <c r="R29">
        <v>451.20000000000005</v>
      </c>
      <c r="S29">
        <v>456.20000000000005</v>
      </c>
      <c r="T29">
        <v>458</v>
      </c>
      <c r="U29" s="10">
        <v>453.3</v>
      </c>
      <c r="V29">
        <v>466.6</v>
      </c>
      <c r="W29">
        <v>455.8</v>
      </c>
      <c r="X29" s="10">
        <v>459.8</v>
      </c>
      <c r="Y29">
        <v>450.9</v>
      </c>
      <c r="Z29" s="10">
        <v>468.3</v>
      </c>
      <c r="AA29">
        <v>456.9</v>
      </c>
      <c r="AB29">
        <v>446.1</v>
      </c>
      <c r="AC29">
        <v>463.3</v>
      </c>
      <c r="AD29">
        <v>451.7</v>
      </c>
      <c r="AE29">
        <v>455.4</v>
      </c>
      <c r="AF29">
        <v>465.7</v>
      </c>
      <c r="AG29" s="10">
        <v>457.3</v>
      </c>
      <c r="AH29">
        <v>447.7</v>
      </c>
      <c r="AI29" s="10">
        <v>458.1</v>
      </c>
      <c r="AJ29">
        <v>452.7</v>
      </c>
      <c r="AK29">
        <v>462.3</v>
      </c>
    </row>
    <row r="30" spans="1:37">
      <c r="A30" s="1">
        <v>29</v>
      </c>
      <c r="B30">
        <v>450.5</v>
      </c>
      <c r="C30">
        <v>447.6</v>
      </c>
      <c r="D30">
        <v>446.1</v>
      </c>
      <c r="E30">
        <v>465</v>
      </c>
      <c r="F30">
        <v>462</v>
      </c>
      <c r="G30">
        <v>460.1</v>
      </c>
      <c r="H30">
        <v>457.8</v>
      </c>
      <c r="I30">
        <v>456.2</v>
      </c>
      <c r="J30">
        <v>454.5</v>
      </c>
      <c r="K30">
        <v>468</v>
      </c>
      <c r="L30">
        <v>466.8</v>
      </c>
      <c r="M30">
        <v>464.7</v>
      </c>
      <c r="N30">
        <v>464.7</v>
      </c>
      <c r="O30">
        <v>463.9</v>
      </c>
      <c r="P30">
        <v>476.6</v>
      </c>
      <c r="Q30">
        <v>475.7</v>
      </c>
      <c r="R30">
        <v>474.9</v>
      </c>
      <c r="S30">
        <v>474.20000000000005</v>
      </c>
      <c r="T30">
        <v>475.9</v>
      </c>
      <c r="U30" s="10">
        <v>474.7</v>
      </c>
      <c r="V30">
        <v>474.2</v>
      </c>
      <c r="W30">
        <v>473</v>
      </c>
      <c r="X30" s="10">
        <v>472</v>
      </c>
      <c r="Y30">
        <v>471.1</v>
      </c>
      <c r="Z30" s="10">
        <v>470</v>
      </c>
      <c r="AA30">
        <v>468.6</v>
      </c>
      <c r="AB30">
        <v>467.2</v>
      </c>
      <c r="AC30">
        <v>465.1</v>
      </c>
      <c r="AD30">
        <v>463.9</v>
      </c>
      <c r="AE30">
        <v>462.6</v>
      </c>
      <c r="AF30">
        <v>472.6</v>
      </c>
      <c r="AG30" s="10">
        <v>471.3</v>
      </c>
      <c r="AH30">
        <v>469.4</v>
      </c>
      <c r="AI30" s="10">
        <v>463.5</v>
      </c>
      <c r="AJ30">
        <v>464.4</v>
      </c>
      <c r="AK30">
        <v>461.7</v>
      </c>
    </row>
    <row r="31" spans="1:37">
      <c r="A31" s="1">
        <v>30</v>
      </c>
      <c r="B31">
        <v>440.5</v>
      </c>
      <c r="C31">
        <v>435</v>
      </c>
      <c r="D31">
        <v>431.8</v>
      </c>
      <c r="E31">
        <v>461.2</v>
      </c>
      <c r="F31">
        <v>463</v>
      </c>
      <c r="G31">
        <v>459.9</v>
      </c>
      <c r="H31">
        <v>454.3</v>
      </c>
      <c r="I31">
        <v>468.2</v>
      </c>
      <c r="J31">
        <v>461.1</v>
      </c>
      <c r="K31">
        <v>452.59999999999997</v>
      </c>
      <c r="L31">
        <v>465.40000000000003</v>
      </c>
      <c r="M31">
        <v>456.3</v>
      </c>
      <c r="N31">
        <v>448.5</v>
      </c>
      <c r="O31">
        <v>442</v>
      </c>
      <c r="P31">
        <v>448.5</v>
      </c>
      <c r="Q31">
        <v>442.2</v>
      </c>
      <c r="R31">
        <v>455.5</v>
      </c>
      <c r="S31">
        <v>448.5</v>
      </c>
      <c r="T31">
        <v>454.9</v>
      </c>
      <c r="U31" s="10">
        <v>459.1</v>
      </c>
      <c r="V31">
        <v>455.2</v>
      </c>
      <c r="W31">
        <v>451.1</v>
      </c>
      <c r="X31" s="10">
        <v>459.7</v>
      </c>
      <c r="Y31">
        <v>454.7</v>
      </c>
      <c r="Z31" s="10">
        <v>448.3</v>
      </c>
      <c r="AA31">
        <v>441.3</v>
      </c>
      <c r="AB31">
        <v>456.8</v>
      </c>
      <c r="AC31">
        <v>448</v>
      </c>
      <c r="AD31">
        <v>459.9</v>
      </c>
      <c r="AE31">
        <v>450.8</v>
      </c>
      <c r="AF31">
        <v>468.1</v>
      </c>
      <c r="AG31" s="10">
        <v>461.2</v>
      </c>
      <c r="AH31">
        <v>455.4</v>
      </c>
      <c r="AI31" s="10">
        <v>447.3</v>
      </c>
      <c r="AJ31">
        <v>445.6</v>
      </c>
      <c r="AK31">
        <v>460.1</v>
      </c>
    </row>
    <row r="32" spans="1:37">
      <c r="A32" s="1">
        <v>31</v>
      </c>
      <c r="B32">
        <v>454.7</v>
      </c>
      <c r="C32">
        <v>449.9</v>
      </c>
      <c r="D32">
        <v>434.7</v>
      </c>
      <c r="E32">
        <v>451.2</v>
      </c>
      <c r="F32">
        <v>460.1</v>
      </c>
      <c r="G32">
        <v>448.9</v>
      </c>
      <c r="H32">
        <v>434.2</v>
      </c>
      <c r="I32">
        <v>450.1</v>
      </c>
      <c r="J32">
        <v>450.3</v>
      </c>
      <c r="K32">
        <v>457.79999999999995</v>
      </c>
      <c r="L32">
        <v>455.6</v>
      </c>
      <c r="M32">
        <v>452.8</v>
      </c>
      <c r="N32">
        <v>443.6</v>
      </c>
      <c r="O32">
        <v>433.1</v>
      </c>
      <c r="P32">
        <v>448.1</v>
      </c>
      <c r="Q32">
        <v>438.7</v>
      </c>
      <c r="R32">
        <v>448.1</v>
      </c>
      <c r="S32">
        <v>451.20000000000005</v>
      </c>
      <c r="T32">
        <v>454.1</v>
      </c>
      <c r="U32" s="10">
        <v>445.7</v>
      </c>
      <c r="V32">
        <v>468.7</v>
      </c>
      <c r="W32">
        <v>457</v>
      </c>
      <c r="X32" s="10">
        <v>460.2</v>
      </c>
      <c r="Y32">
        <v>452.2</v>
      </c>
      <c r="Z32" s="10">
        <v>444</v>
      </c>
      <c r="AA32">
        <v>470.6</v>
      </c>
      <c r="AB32">
        <v>462.9</v>
      </c>
      <c r="AC32">
        <v>450.8</v>
      </c>
      <c r="AD32">
        <v>437.6</v>
      </c>
      <c r="AE32">
        <v>454.9</v>
      </c>
      <c r="AF32">
        <v>465.6</v>
      </c>
      <c r="AG32" s="10">
        <v>453.7</v>
      </c>
      <c r="AH32">
        <v>442.3</v>
      </c>
      <c r="AI32" s="10">
        <v>442.1</v>
      </c>
      <c r="AJ32">
        <v>450.8</v>
      </c>
      <c r="AK32" s="10">
        <v>441</v>
      </c>
    </row>
    <row r="33" spans="1:37">
      <c r="A33" s="1">
        <v>32</v>
      </c>
      <c r="B33">
        <v>435.3</v>
      </c>
      <c r="C33">
        <v>446.6</v>
      </c>
      <c r="D33">
        <v>445.4</v>
      </c>
      <c r="E33">
        <v>462.4</v>
      </c>
      <c r="F33">
        <v>450.9</v>
      </c>
      <c r="G33">
        <v>449.5</v>
      </c>
      <c r="H33">
        <v>446.8</v>
      </c>
      <c r="I33">
        <v>445.3</v>
      </c>
      <c r="J33">
        <v>442.6</v>
      </c>
      <c r="K33">
        <v>465.59999999999997</v>
      </c>
      <c r="L33">
        <v>462.40000000000003</v>
      </c>
      <c r="M33">
        <v>458.2</v>
      </c>
      <c r="N33">
        <v>455.8</v>
      </c>
      <c r="O33">
        <v>453.3</v>
      </c>
      <c r="P33">
        <v>464.4</v>
      </c>
      <c r="Q33">
        <v>459.5</v>
      </c>
      <c r="R33">
        <v>453.9</v>
      </c>
      <c r="S33">
        <v>449.4</v>
      </c>
      <c r="T33">
        <v>443.3</v>
      </c>
      <c r="U33" s="10">
        <v>452.8</v>
      </c>
      <c r="V33">
        <v>446.1</v>
      </c>
      <c r="W33">
        <v>439.3</v>
      </c>
      <c r="X33" s="10">
        <v>457.2</v>
      </c>
      <c r="Y33">
        <v>449.5</v>
      </c>
      <c r="Z33" s="10">
        <v>441.9</v>
      </c>
      <c r="AA33">
        <v>434.8</v>
      </c>
      <c r="AB33">
        <v>452.9</v>
      </c>
      <c r="AC33">
        <v>447.5</v>
      </c>
      <c r="AD33">
        <v>450.6</v>
      </c>
      <c r="AE33">
        <v>446.7</v>
      </c>
      <c r="AF33">
        <v>468.7</v>
      </c>
      <c r="AG33" s="10">
        <v>462.6</v>
      </c>
      <c r="AH33">
        <v>453.7</v>
      </c>
      <c r="AI33" s="10">
        <v>441</v>
      </c>
      <c r="AJ33">
        <v>435.2</v>
      </c>
      <c r="AK33">
        <v>453.4</v>
      </c>
    </row>
    <row r="34" spans="1:37">
      <c r="A34" s="1">
        <v>33</v>
      </c>
      <c r="B34">
        <v>454.1</v>
      </c>
      <c r="C34">
        <v>465.7</v>
      </c>
      <c r="D34">
        <v>458.6</v>
      </c>
      <c r="E34">
        <v>447.8</v>
      </c>
      <c r="F34">
        <v>459</v>
      </c>
      <c r="G34">
        <v>448.6</v>
      </c>
      <c r="H34">
        <v>434.4</v>
      </c>
      <c r="I34">
        <v>455.4</v>
      </c>
      <c r="J34">
        <v>452.6</v>
      </c>
      <c r="K34">
        <v>452.9</v>
      </c>
      <c r="L34">
        <v>456</v>
      </c>
      <c r="M34">
        <v>438.5</v>
      </c>
      <c r="N34">
        <v>422.9</v>
      </c>
      <c r="O34">
        <v>449.5</v>
      </c>
      <c r="P34">
        <v>451.3</v>
      </c>
      <c r="Q34">
        <v>437.6</v>
      </c>
      <c r="R34">
        <v>445.5</v>
      </c>
      <c r="S34">
        <v>449</v>
      </c>
      <c r="T34">
        <v>450.9</v>
      </c>
      <c r="U34" s="10">
        <v>436.7</v>
      </c>
      <c r="V34">
        <v>442.4</v>
      </c>
      <c r="W34">
        <v>424.7</v>
      </c>
      <c r="X34" s="10">
        <v>445.7</v>
      </c>
      <c r="Y34">
        <v>447.2</v>
      </c>
      <c r="Z34" s="10">
        <v>451.4</v>
      </c>
      <c r="AA34">
        <v>435.3</v>
      </c>
      <c r="AB34">
        <v>444.2</v>
      </c>
      <c r="AC34">
        <v>452.5</v>
      </c>
      <c r="AD34">
        <v>435</v>
      </c>
      <c r="AE34">
        <v>451.1</v>
      </c>
      <c r="AF34">
        <v>454.5</v>
      </c>
      <c r="AG34" s="10">
        <v>452.8</v>
      </c>
      <c r="AH34">
        <v>438.6</v>
      </c>
      <c r="AI34" s="10">
        <v>448.5</v>
      </c>
      <c r="AJ34">
        <v>430.1</v>
      </c>
      <c r="AK34">
        <v>445.4</v>
      </c>
    </row>
    <row r="35" spans="1:37">
      <c r="A35" s="1">
        <v>34</v>
      </c>
      <c r="B35">
        <v>411.9</v>
      </c>
      <c r="C35">
        <v>399.8</v>
      </c>
      <c r="D35">
        <v>453.2</v>
      </c>
      <c r="E35">
        <v>437</v>
      </c>
      <c r="F35">
        <v>444.3</v>
      </c>
      <c r="G35">
        <v>448</v>
      </c>
      <c r="H35">
        <v>426.4</v>
      </c>
      <c r="I35">
        <v>443.6</v>
      </c>
      <c r="J35">
        <v>445.8</v>
      </c>
      <c r="K35">
        <v>445.29999999999995</v>
      </c>
      <c r="L35">
        <v>447.3</v>
      </c>
      <c r="M35">
        <v>444.6</v>
      </c>
      <c r="N35">
        <v>422.3</v>
      </c>
      <c r="O35">
        <v>435.4</v>
      </c>
      <c r="P35">
        <v>448</v>
      </c>
      <c r="Q35">
        <v>423.7</v>
      </c>
      <c r="R35">
        <v>440.70000000000005</v>
      </c>
      <c r="S35">
        <v>445.70000000000005</v>
      </c>
      <c r="T35">
        <v>438.5</v>
      </c>
      <c r="U35" s="10">
        <v>440.3</v>
      </c>
      <c r="V35">
        <v>441.5</v>
      </c>
      <c r="W35">
        <v>452.6</v>
      </c>
      <c r="X35" s="10">
        <v>442.8</v>
      </c>
      <c r="Y35">
        <v>433.2</v>
      </c>
      <c r="Z35" s="10">
        <v>452</v>
      </c>
      <c r="AA35">
        <v>427.8</v>
      </c>
      <c r="AB35">
        <v>431.2</v>
      </c>
      <c r="AC35">
        <v>445.3</v>
      </c>
      <c r="AD35">
        <v>438.1</v>
      </c>
      <c r="AE35">
        <v>435.7</v>
      </c>
      <c r="AF35">
        <v>448.3</v>
      </c>
      <c r="AG35" s="10">
        <v>437.6</v>
      </c>
      <c r="AH35">
        <v>408.3</v>
      </c>
      <c r="AI35" s="10">
        <v>428.8</v>
      </c>
      <c r="AJ35">
        <v>429.1</v>
      </c>
      <c r="AK35">
        <v>432.3</v>
      </c>
    </row>
    <row r="36" spans="1:37">
      <c r="A36" s="1">
        <v>35</v>
      </c>
      <c r="B36">
        <v>430.3</v>
      </c>
      <c r="C36">
        <v>423.7</v>
      </c>
      <c r="D36">
        <v>462.8</v>
      </c>
      <c r="E36">
        <v>455.1</v>
      </c>
      <c r="F36">
        <v>443.4</v>
      </c>
      <c r="G36">
        <v>454.6</v>
      </c>
      <c r="H36">
        <v>443.8</v>
      </c>
      <c r="I36">
        <v>455.7</v>
      </c>
      <c r="J36">
        <v>449</v>
      </c>
      <c r="K36">
        <v>456.29999999999995</v>
      </c>
      <c r="L36">
        <v>448.90000000000003</v>
      </c>
      <c r="M36">
        <v>438</v>
      </c>
      <c r="N36">
        <v>428.8</v>
      </c>
      <c r="O36">
        <v>417.4</v>
      </c>
      <c r="P36">
        <v>450.2</v>
      </c>
      <c r="Q36">
        <v>440.2</v>
      </c>
      <c r="R36">
        <v>430.1</v>
      </c>
      <c r="S36">
        <v>444.5</v>
      </c>
      <c r="T36">
        <v>451.3</v>
      </c>
      <c r="U36" s="10">
        <v>440</v>
      </c>
      <c r="V36">
        <v>430.2</v>
      </c>
      <c r="W36">
        <v>457.1</v>
      </c>
      <c r="X36" s="10">
        <v>445.7</v>
      </c>
      <c r="Y36">
        <v>435.7</v>
      </c>
      <c r="Z36" s="10">
        <v>464.2</v>
      </c>
      <c r="AA36">
        <v>455.6</v>
      </c>
      <c r="AB36">
        <v>446.5</v>
      </c>
      <c r="AC36">
        <v>439.9</v>
      </c>
      <c r="AD36">
        <v>430</v>
      </c>
      <c r="AE36">
        <v>452.6</v>
      </c>
      <c r="AF36">
        <v>464.1</v>
      </c>
      <c r="AG36" s="10">
        <v>454.1</v>
      </c>
      <c r="AH36">
        <v>442.3</v>
      </c>
      <c r="AI36" s="10">
        <v>431.2</v>
      </c>
      <c r="AJ36">
        <v>460.7</v>
      </c>
      <c r="AK36">
        <v>451.3</v>
      </c>
    </row>
    <row r="37" spans="1:37">
      <c r="A37" s="1">
        <v>36</v>
      </c>
      <c r="B37">
        <v>451.3</v>
      </c>
      <c r="C37">
        <v>440.5</v>
      </c>
      <c r="D37">
        <v>428.4</v>
      </c>
      <c r="E37">
        <v>454.5</v>
      </c>
      <c r="F37">
        <v>449.7</v>
      </c>
      <c r="G37">
        <v>467.3</v>
      </c>
      <c r="H37">
        <v>457.2</v>
      </c>
      <c r="I37">
        <v>445.4</v>
      </c>
      <c r="J37">
        <v>455.3</v>
      </c>
      <c r="K37">
        <v>444.29999999999995</v>
      </c>
      <c r="L37">
        <v>452.3</v>
      </c>
      <c r="M37">
        <v>451.6</v>
      </c>
      <c r="N37">
        <v>443.1</v>
      </c>
      <c r="O37">
        <v>431.9</v>
      </c>
      <c r="P37">
        <v>449.4</v>
      </c>
      <c r="Q37">
        <v>436.2</v>
      </c>
      <c r="R37">
        <v>449.5</v>
      </c>
      <c r="S37">
        <v>435.70000000000005</v>
      </c>
      <c r="T37">
        <v>449</v>
      </c>
      <c r="U37" s="10">
        <v>444.6</v>
      </c>
      <c r="V37">
        <v>431.4</v>
      </c>
      <c r="W37">
        <v>456.8</v>
      </c>
      <c r="X37" s="10">
        <v>443.2</v>
      </c>
      <c r="Y37">
        <v>447.3</v>
      </c>
      <c r="Z37" s="10">
        <v>466.6</v>
      </c>
      <c r="AA37">
        <v>454</v>
      </c>
      <c r="AB37">
        <v>439.2</v>
      </c>
      <c r="AC37">
        <v>465.9</v>
      </c>
      <c r="AD37">
        <v>450.4</v>
      </c>
      <c r="AE37">
        <v>449.2</v>
      </c>
      <c r="AF37">
        <v>462.1</v>
      </c>
      <c r="AG37" s="10">
        <v>447.1</v>
      </c>
      <c r="AH37">
        <v>432.9</v>
      </c>
      <c r="AI37" s="10">
        <v>417.8</v>
      </c>
      <c r="AJ37">
        <v>455.9</v>
      </c>
      <c r="AK37">
        <v>442.5</v>
      </c>
    </row>
    <row r="38" spans="1:37">
      <c r="A38" s="1">
        <v>37</v>
      </c>
      <c r="B38">
        <v>430.2</v>
      </c>
      <c r="C38">
        <v>413.6</v>
      </c>
      <c r="D38">
        <v>441</v>
      </c>
      <c r="E38">
        <v>445.5</v>
      </c>
      <c r="F38">
        <v>435.7</v>
      </c>
      <c r="G38">
        <v>441.8</v>
      </c>
      <c r="H38">
        <v>447.8</v>
      </c>
      <c r="I38">
        <v>429.8</v>
      </c>
      <c r="J38">
        <v>442</v>
      </c>
      <c r="K38">
        <v>439.7</v>
      </c>
      <c r="L38">
        <v>445.6</v>
      </c>
      <c r="M38">
        <v>438.6</v>
      </c>
      <c r="N38">
        <v>417.4</v>
      </c>
      <c r="O38">
        <v>419.1</v>
      </c>
      <c r="P38">
        <v>427.5</v>
      </c>
      <c r="Q38">
        <v>440.5</v>
      </c>
      <c r="R38">
        <v>439.1</v>
      </c>
      <c r="S38">
        <v>434.5</v>
      </c>
      <c r="T38">
        <v>438.9</v>
      </c>
      <c r="U38" s="10">
        <v>442</v>
      </c>
      <c r="V38">
        <v>420.7</v>
      </c>
      <c r="W38">
        <v>442.2</v>
      </c>
      <c r="X38" s="10">
        <v>437.6</v>
      </c>
      <c r="Y38">
        <v>438.8</v>
      </c>
      <c r="Z38" s="10">
        <v>452.8</v>
      </c>
      <c r="AA38">
        <v>423.6</v>
      </c>
      <c r="AB38">
        <v>428.8</v>
      </c>
      <c r="AC38">
        <v>444.7</v>
      </c>
      <c r="AD38">
        <v>432.8</v>
      </c>
      <c r="AE38">
        <v>427.9</v>
      </c>
      <c r="AF38">
        <v>443.3</v>
      </c>
      <c r="AG38" s="10">
        <v>432.8</v>
      </c>
      <c r="AH38">
        <v>433.5</v>
      </c>
      <c r="AI38" s="10">
        <v>433.1</v>
      </c>
      <c r="AJ38">
        <v>434.8</v>
      </c>
      <c r="AK38">
        <v>436.2</v>
      </c>
    </row>
    <row r="39" spans="1:37">
      <c r="A39" s="1">
        <v>38</v>
      </c>
      <c r="B39">
        <v>417.3</v>
      </c>
      <c r="C39">
        <v>438.8</v>
      </c>
      <c r="D39">
        <v>426</v>
      </c>
      <c r="E39">
        <v>447.3</v>
      </c>
      <c r="F39">
        <v>449.6</v>
      </c>
      <c r="G39">
        <v>435.4</v>
      </c>
      <c r="H39">
        <v>443.3</v>
      </c>
      <c r="I39">
        <v>444</v>
      </c>
      <c r="J39">
        <v>449.8</v>
      </c>
      <c r="K39">
        <v>443.09999999999997</v>
      </c>
      <c r="L39">
        <v>427.5</v>
      </c>
      <c r="M39">
        <v>441.2</v>
      </c>
      <c r="N39">
        <v>424.9</v>
      </c>
      <c r="O39">
        <v>408.5</v>
      </c>
      <c r="P39">
        <v>432.1</v>
      </c>
      <c r="Q39">
        <v>448.7</v>
      </c>
      <c r="R39">
        <v>435</v>
      </c>
      <c r="S39">
        <v>440.9</v>
      </c>
      <c r="T39">
        <v>428.8</v>
      </c>
      <c r="U39" s="10">
        <v>443.4</v>
      </c>
      <c r="V39">
        <v>428.5</v>
      </c>
      <c r="W39">
        <v>452</v>
      </c>
      <c r="X39" s="10">
        <v>434.7</v>
      </c>
      <c r="Y39">
        <v>435.7</v>
      </c>
      <c r="Z39" s="10">
        <v>457.1</v>
      </c>
      <c r="AA39">
        <v>443.1</v>
      </c>
      <c r="AB39">
        <v>426.3</v>
      </c>
      <c r="AC39">
        <v>451.1</v>
      </c>
      <c r="AD39">
        <v>425</v>
      </c>
      <c r="AE39">
        <v>443</v>
      </c>
      <c r="AF39">
        <v>455.2</v>
      </c>
      <c r="AG39" s="10">
        <v>438.5</v>
      </c>
      <c r="AH39">
        <v>446.7</v>
      </c>
      <c r="AI39" s="10">
        <v>446.3</v>
      </c>
      <c r="AJ39">
        <v>431.8</v>
      </c>
      <c r="AK39">
        <v>445.5</v>
      </c>
    </row>
    <row r="40" spans="1:37">
      <c r="A40" s="1">
        <v>39</v>
      </c>
      <c r="B40">
        <v>444.7</v>
      </c>
      <c r="C40">
        <v>443</v>
      </c>
      <c r="D40">
        <v>441.6</v>
      </c>
      <c r="E40">
        <v>464.9</v>
      </c>
      <c r="F40">
        <v>449.9</v>
      </c>
      <c r="G40">
        <v>448.9</v>
      </c>
      <c r="H40">
        <v>445</v>
      </c>
      <c r="I40">
        <v>462.5</v>
      </c>
      <c r="J40">
        <v>460.5</v>
      </c>
      <c r="K40">
        <v>457.59999999999997</v>
      </c>
      <c r="L40">
        <v>452.40000000000003</v>
      </c>
      <c r="M40">
        <v>448.1</v>
      </c>
      <c r="N40">
        <v>443</v>
      </c>
      <c r="O40">
        <v>434.4</v>
      </c>
      <c r="P40">
        <v>445.7</v>
      </c>
      <c r="Q40">
        <v>436.7</v>
      </c>
      <c r="R40">
        <v>452.20000000000005</v>
      </c>
      <c r="S40">
        <v>438.1</v>
      </c>
      <c r="T40" t="s">
        <v>134</v>
      </c>
      <c r="U40" s="10">
        <v>441</v>
      </c>
      <c r="V40">
        <v>445.7</v>
      </c>
      <c r="W40">
        <v>422.5</v>
      </c>
      <c r="X40" s="10">
        <v>439.5</v>
      </c>
      <c r="Y40">
        <v>417.1</v>
      </c>
      <c r="Z40" s="10">
        <v>454.1</v>
      </c>
      <c r="AA40">
        <v>434.1</v>
      </c>
      <c r="AB40">
        <v>442</v>
      </c>
      <c r="AC40">
        <v>454.3</v>
      </c>
      <c r="AD40">
        <v>430.4</v>
      </c>
      <c r="AE40">
        <v>438.4</v>
      </c>
      <c r="AF40">
        <v>445.1</v>
      </c>
      <c r="AG40" s="10">
        <v>435</v>
      </c>
      <c r="AH40">
        <v>434.3</v>
      </c>
      <c r="AI40" s="10">
        <v>430.9</v>
      </c>
      <c r="AJ40">
        <v>437.9</v>
      </c>
      <c r="AK40">
        <v>439.7</v>
      </c>
    </row>
    <row r="41" spans="1:37">
      <c r="A41" s="1">
        <v>40</v>
      </c>
      <c r="B41">
        <v>449.8</v>
      </c>
      <c r="C41">
        <v>448.2</v>
      </c>
      <c r="D41">
        <v>447.1</v>
      </c>
      <c r="E41">
        <v>445.8</v>
      </c>
      <c r="F41">
        <v>447.1</v>
      </c>
      <c r="G41">
        <v>463.9</v>
      </c>
      <c r="H41">
        <v>462.8</v>
      </c>
      <c r="I41">
        <v>459.7</v>
      </c>
      <c r="J41">
        <v>457.7</v>
      </c>
      <c r="K41">
        <v>456.7</v>
      </c>
      <c r="L41">
        <v>455.2</v>
      </c>
      <c r="M41">
        <v>452.8</v>
      </c>
      <c r="N41">
        <v>452.8</v>
      </c>
      <c r="O41">
        <v>451.9</v>
      </c>
      <c r="P41">
        <v>456.7</v>
      </c>
      <c r="Q41">
        <v>455.5</v>
      </c>
      <c r="R41">
        <v>454.70000000000005</v>
      </c>
      <c r="S41">
        <v>465.20000000000005</v>
      </c>
      <c r="T41" t="s">
        <v>134</v>
      </c>
      <c r="U41" s="10">
        <v>465.3</v>
      </c>
      <c r="V41">
        <v>464.6</v>
      </c>
      <c r="W41">
        <v>463.5</v>
      </c>
      <c r="X41" s="10">
        <v>468.2</v>
      </c>
      <c r="Y41">
        <v>461.2</v>
      </c>
      <c r="Z41" s="10">
        <v>460</v>
      </c>
      <c r="AA41">
        <v>458.6</v>
      </c>
      <c r="AB41">
        <v>457.8</v>
      </c>
      <c r="AC41">
        <v>456.5</v>
      </c>
      <c r="AD41">
        <v>455</v>
      </c>
      <c r="AE41">
        <v>453.8</v>
      </c>
      <c r="AF41">
        <v>466.5</v>
      </c>
      <c r="AG41" s="10">
        <v>465.1</v>
      </c>
      <c r="AH41">
        <v>463.9</v>
      </c>
      <c r="AI41" s="10">
        <v>459.7</v>
      </c>
      <c r="AJ41">
        <v>461.1</v>
      </c>
      <c r="AK41" s="10">
        <v>460</v>
      </c>
    </row>
    <row r="42" spans="1:37">
      <c r="A42" s="1">
        <v>41</v>
      </c>
      <c r="B42">
        <v>437.2</v>
      </c>
      <c r="C42">
        <v>442.2</v>
      </c>
      <c r="D42">
        <v>429.3</v>
      </c>
      <c r="E42">
        <v>457.9</v>
      </c>
      <c r="F42">
        <v>437.6</v>
      </c>
      <c r="G42">
        <v>443.3</v>
      </c>
      <c r="H42">
        <v>430</v>
      </c>
      <c r="I42">
        <v>447</v>
      </c>
      <c r="J42">
        <v>444.9</v>
      </c>
      <c r="K42">
        <v>446.9</v>
      </c>
      <c r="L42">
        <v>432.5</v>
      </c>
      <c r="M42">
        <v>440.8</v>
      </c>
      <c r="N42">
        <v>424.1</v>
      </c>
      <c r="O42">
        <v>443.8</v>
      </c>
      <c r="P42">
        <v>444.8</v>
      </c>
      <c r="Q42">
        <v>430</v>
      </c>
      <c r="R42">
        <v>444.1</v>
      </c>
      <c r="S42">
        <v>442.6</v>
      </c>
      <c r="T42" t="s">
        <v>134</v>
      </c>
      <c r="U42" s="10">
        <v>447.5</v>
      </c>
      <c r="V42">
        <v>430.6</v>
      </c>
      <c r="W42">
        <v>457.5</v>
      </c>
      <c r="X42" s="10">
        <v>441.7</v>
      </c>
      <c r="Y42">
        <v>439.9</v>
      </c>
      <c r="Z42" s="10">
        <v>459.3</v>
      </c>
      <c r="AA42">
        <v>443.2</v>
      </c>
      <c r="AB42">
        <v>445.6</v>
      </c>
      <c r="AC42">
        <v>428.6</v>
      </c>
      <c r="AD42">
        <v>439.7</v>
      </c>
      <c r="AE42">
        <v>451</v>
      </c>
      <c r="AF42">
        <v>451.3</v>
      </c>
      <c r="AG42" s="10">
        <v>449.8</v>
      </c>
      <c r="AH42">
        <v>431.9</v>
      </c>
      <c r="AI42" s="10">
        <v>437.2</v>
      </c>
      <c r="AJ42">
        <v>449.9</v>
      </c>
      <c r="AK42">
        <v>431.9</v>
      </c>
    </row>
    <row r="43" spans="1:37">
      <c r="A43" s="1">
        <v>42</v>
      </c>
      <c r="B43">
        <v>445.8</v>
      </c>
      <c r="C43">
        <v>465.6</v>
      </c>
      <c r="D43">
        <v>458.3</v>
      </c>
      <c r="E43">
        <v>454.5</v>
      </c>
      <c r="F43">
        <v>450</v>
      </c>
      <c r="G43">
        <v>454.7</v>
      </c>
      <c r="H43">
        <v>447.6</v>
      </c>
      <c r="I43">
        <v>441.4</v>
      </c>
      <c r="J43">
        <v>459.3</v>
      </c>
      <c r="K43">
        <v>452.79999999999995</v>
      </c>
      <c r="L43">
        <v>443.8</v>
      </c>
      <c r="M43">
        <v>457.4</v>
      </c>
      <c r="N43">
        <v>448.6</v>
      </c>
      <c r="O43">
        <v>441</v>
      </c>
      <c r="P43">
        <v>456.3</v>
      </c>
      <c r="Q43">
        <v>448.3</v>
      </c>
      <c r="R43">
        <v>442.70000000000005</v>
      </c>
      <c r="S43">
        <v>458.70000000000005</v>
      </c>
      <c r="T43" t="s">
        <v>134</v>
      </c>
      <c r="U43" s="10">
        <v>447.7</v>
      </c>
      <c r="V43">
        <v>441.6</v>
      </c>
      <c r="W43">
        <v>433.8</v>
      </c>
      <c r="X43" s="10">
        <v>453.4</v>
      </c>
      <c r="Y43">
        <v>445.9</v>
      </c>
      <c r="Z43" s="10">
        <v>437.2</v>
      </c>
      <c r="AA43">
        <v>457.5</v>
      </c>
      <c r="AB43">
        <v>448.4</v>
      </c>
      <c r="AC43">
        <v>465.1</v>
      </c>
      <c r="AD43">
        <v>456.1</v>
      </c>
      <c r="AE43">
        <v>446.4</v>
      </c>
      <c r="AF43">
        <v>467.8</v>
      </c>
      <c r="AG43" s="10">
        <v>459.6</v>
      </c>
      <c r="AH43">
        <v>450.4</v>
      </c>
      <c r="AI43" s="10">
        <v>444.2</v>
      </c>
      <c r="AJ43">
        <v>437.7</v>
      </c>
      <c r="AK43" s="10">
        <v>455</v>
      </c>
    </row>
    <row r="44" spans="1:37">
      <c r="A44" s="1">
        <v>43</v>
      </c>
      <c r="B44">
        <v>457.6</v>
      </c>
      <c r="C44">
        <v>456.9</v>
      </c>
      <c r="D44">
        <v>450.4</v>
      </c>
      <c r="E44">
        <v>443.6</v>
      </c>
      <c r="F44">
        <v>452.8</v>
      </c>
      <c r="G44">
        <v>443.9</v>
      </c>
      <c r="H44">
        <v>455.6</v>
      </c>
      <c r="I44">
        <v>447.6</v>
      </c>
      <c r="J44">
        <v>454.2</v>
      </c>
      <c r="K44">
        <v>445.4</v>
      </c>
      <c r="L44">
        <v>458.40000000000003</v>
      </c>
      <c r="M44">
        <v>446.9</v>
      </c>
      <c r="N44">
        <v>438</v>
      </c>
      <c r="O44">
        <v>429.9</v>
      </c>
      <c r="P44">
        <v>444.4</v>
      </c>
      <c r="Q44">
        <v>434.5</v>
      </c>
      <c r="R44">
        <v>453.5</v>
      </c>
      <c r="S44">
        <v>443.79999999999995</v>
      </c>
      <c r="T44" t="s">
        <v>134</v>
      </c>
      <c r="U44" s="10">
        <v>450.8</v>
      </c>
      <c r="V44">
        <v>439.8</v>
      </c>
      <c r="W44">
        <v>464.7</v>
      </c>
      <c r="X44" s="10">
        <v>450.3</v>
      </c>
      <c r="Y44">
        <v>437.2</v>
      </c>
      <c r="Z44" s="10">
        <v>426.7</v>
      </c>
      <c r="AA44">
        <v>456.4</v>
      </c>
      <c r="AB44">
        <v>443.4</v>
      </c>
      <c r="AC44">
        <v>464.9</v>
      </c>
      <c r="AD44">
        <v>452</v>
      </c>
      <c r="AE44">
        <v>452.8</v>
      </c>
      <c r="AF44">
        <v>455.9</v>
      </c>
      <c r="AG44" s="10">
        <v>456.3</v>
      </c>
      <c r="AH44">
        <v>442.9</v>
      </c>
      <c r="AI44" s="10">
        <v>435.9</v>
      </c>
      <c r="AJ44">
        <v>463.4</v>
      </c>
      <c r="AK44">
        <v>450.5</v>
      </c>
    </row>
    <row r="45" spans="1:37">
      <c r="A45" s="1">
        <v>44</v>
      </c>
      <c r="B45">
        <v>454.2</v>
      </c>
      <c r="C45">
        <v>449.7</v>
      </c>
      <c r="D45">
        <v>441.4</v>
      </c>
      <c r="E45">
        <v>461.6</v>
      </c>
      <c r="F45">
        <v>454.7</v>
      </c>
      <c r="G45">
        <v>442.6</v>
      </c>
      <c r="H45">
        <v>451.7</v>
      </c>
      <c r="I45">
        <v>441.4</v>
      </c>
      <c r="J45">
        <v>459</v>
      </c>
      <c r="K45">
        <v>445.7</v>
      </c>
      <c r="L45">
        <v>452.90000000000003</v>
      </c>
      <c r="M45">
        <v>437.8</v>
      </c>
      <c r="N45">
        <v>425</v>
      </c>
      <c r="O45">
        <v>429</v>
      </c>
      <c r="P45">
        <v>439</v>
      </c>
      <c r="Q45">
        <v>460.3</v>
      </c>
      <c r="R45">
        <v>446.1</v>
      </c>
      <c r="S45">
        <v>450.70000000000005</v>
      </c>
      <c r="T45" t="s">
        <v>134</v>
      </c>
      <c r="U45" s="10">
        <v>442.3</v>
      </c>
      <c r="V45">
        <v>451.9</v>
      </c>
      <c r="W45">
        <v>436.7</v>
      </c>
      <c r="X45" s="10">
        <v>450.6</v>
      </c>
      <c r="Y45">
        <v>432.2</v>
      </c>
      <c r="Z45" s="10">
        <v>464.2</v>
      </c>
      <c r="AA45">
        <v>450.2</v>
      </c>
      <c r="AB45">
        <v>435</v>
      </c>
      <c r="AC45">
        <v>458.3</v>
      </c>
      <c r="AD45">
        <v>442.5</v>
      </c>
      <c r="AE45">
        <v>450.5</v>
      </c>
      <c r="AF45">
        <v>465.9</v>
      </c>
      <c r="AG45" s="10">
        <v>450.3</v>
      </c>
      <c r="AH45" s="10">
        <v>434</v>
      </c>
      <c r="AI45" s="10">
        <v>444.1</v>
      </c>
      <c r="AJ45" s="10">
        <v>457</v>
      </c>
      <c r="AK45">
        <v>442.3</v>
      </c>
    </row>
    <row r="46" spans="1:37">
      <c r="A46" s="1">
        <v>45</v>
      </c>
      <c r="B46">
        <v>440.5</v>
      </c>
      <c r="C46">
        <v>436.9</v>
      </c>
      <c r="D46">
        <v>458.8</v>
      </c>
      <c r="E46">
        <v>447.1</v>
      </c>
      <c r="F46">
        <v>449.3</v>
      </c>
      <c r="G46">
        <v>445</v>
      </c>
      <c r="H46">
        <v>456.2</v>
      </c>
      <c r="I46">
        <v>445</v>
      </c>
      <c r="J46">
        <v>457.4</v>
      </c>
      <c r="K46">
        <v>453.9</v>
      </c>
      <c r="L46">
        <v>442.3</v>
      </c>
      <c r="M46">
        <v>446.4</v>
      </c>
      <c r="N46">
        <v>432.6</v>
      </c>
      <c r="O46">
        <v>440.2</v>
      </c>
      <c r="P46">
        <v>447.9</v>
      </c>
      <c r="Q46">
        <v>455.7</v>
      </c>
      <c r="R46">
        <v>441.20000000000005</v>
      </c>
      <c r="S46">
        <v>445.6</v>
      </c>
      <c r="T46" t="s">
        <v>134</v>
      </c>
      <c r="U46" s="10">
        <v>444.9</v>
      </c>
      <c r="V46">
        <v>447</v>
      </c>
      <c r="W46">
        <v>431.5</v>
      </c>
      <c r="X46" s="10">
        <v>445.3</v>
      </c>
      <c r="Y46">
        <v>431</v>
      </c>
      <c r="Z46" s="10">
        <v>456</v>
      </c>
      <c r="AA46">
        <v>442.5</v>
      </c>
      <c r="AB46">
        <v>446.8</v>
      </c>
      <c r="AC46">
        <v>429.9</v>
      </c>
      <c r="AD46">
        <v>448.3</v>
      </c>
      <c r="AE46">
        <v>433.2</v>
      </c>
      <c r="AF46">
        <v>458.8</v>
      </c>
      <c r="AG46" s="10">
        <v>441.9</v>
      </c>
      <c r="AH46">
        <v>426.8</v>
      </c>
      <c r="AI46" s="10">
        <v>447.4</v>
      </c>
      <c r="AJ46">
        <v>433.9</v>
      </c>
      <c r="AK46">
        <v>448.3</v>
      </c>
    </row>
    <row r="47" spans="1:37">
      <c r="A47" s="1">
        <v>46</v>
      </c>
      <c r="B47">
        <v>427</v>
      </c>
      <c r="C47">
        <v>438.9</v>
      </c>
      <c r="D47">
        <v>450</v>
      </c>
      <c r="E47">
        <v>434.6</v>
      </c>
      <c r="F47">
        <v>445</v>
      </c>
      <c r="G47">
        <v>441.6</v>
      </c>
      <c r="H47">
        <v>447.2</v>
      </c>
      <c r="I47">
        <v>445.6</v>
      </c>
      <c r="J47">
        <v>445.1</v>
      </c>
      <c r="K47">
        <v>422.79999999999995</v>
      </c>
      <c r="L47">
        <v>445.90000000000003</v>
      </c>
      <c r="M47">
        <v>442.3</v>
      </c>
      <c r="N47">
        <v>411.7</v>
      </c>
      <c r="O47">
        <v>425.9</v>
      </c>
      <c r="P47">
        <v>450.3</v>
      </c>
      <c r="Q47">
        <v>423.7</v>
      </c>
      <c r="R47">
        <v>440.9</v>
      </c>
      <c r="S47">
        <v>446.20000000000005</v>
      </c>
      <c r="T47" t="s">
        <v>134</v>
      </c>
      <c r="U47" s="10">
        <v>449.2</v>
      </c>
      <c r="V47">
        <v>444.4</v>
      </c>
      <c r="W47">
        <v>452.4</v>
      </c>
      <c r="X47" s="10">
        <v>439.5</v>
      </c>
      <c r="Y47">
        <v>435.4</v>
      </c>
      <c r="Z47" s="10">
        <v>462.2</v>
      </c>
      <c r="AA47">
        <v>437.2</v>
      </c>
      <c r="AB47">
        <v>443.1</v>
      </c>
      <c r="AC47">
        <v>453.4</v>
      </c>
      <c r="AD47">
        <v>446.2</v>
      </c>
      <c r="AE47">
        <v>444.8</v>
      </c>
      <c r="AF47">
        <v>447.7</v>
      </c>
      <c r="AG47" s="10">
        <v>449</v>
      </c>
      <c r="AH47">
        <v>445.2</v>
      </c>
      <c r="AI47" s="10">
        <v>442.1</v>
      </c>
      <c r="AJ47">
        <v>444.5</v>
      </c>
      <c r="AK47" s="10">
        <v>441</v>
      </c>
    </row>
    <row r="48" spans="1:37">
      <c r="A48" s="1">
        <v>47</v>
      </c>
      <c r="B48">
        <v>423.8</v>
      </c>
      <c r="C48">
        <v>452.3</v>
      </c>
      <c r="D48">
        <v>434.9</v>
      </c>
      <c r="E48">
        <v>463.3</v>
      </c>
      <c r="F48">
        <v>453.7</v>
      </c>
      <c r="G48">
        <v>466.2</v>
      </c>
      <c r="H48">
        <v>457.1</v>
      </c>
      <c r="I48">
        <v>441.8</v>
      </c>
      <c r="J48">
        <v>449.6</v>
      </c>
      <c r="K48">
        <v>435.9</v>
      </c>
      <c r="L48">
        <v>465.40000000000003</v>
      </c>
      <c r="M48">
        <v>456.3</v>
      </c>
      <c r="N48">
        <v>442.5</v>
      </c>
      <c r="O48">
        <v>431.1</v>
      </c>
      <c r="P48">
        <v>451.2</v>
      </c>
      <c r="Q48">
        <v>441.7</v>
      </c>
      <c r="R48">
        <v>436.6</v>
      </c>
      <c r="S48">
        <v>456.6</v>
      </c>
      <c r="T48" t="s">
        <v>134</v>
      </c>
      <c r="U48" s="10">
        <v>446.7</v>
      </c>
      <c r="V48">
        <v>441.2</v>
      </c>
      <c r="W48">
        <v>476</v>
      </c>
      <c r="X48" s="10">
        <v>469.1</v>
      </c>
      <c r="Y48">
        <v>458.7</v>
      </c>
      <c r="Z48" s="10">
        <v>443.6</v>
      </c>
      <c r="AA48">
        <v>454.4</v>
      </c>
      <c r="AB48">
        <v>435.2</v>
      </c>
      <c r="AC48">
        <v>471.9</v>
      </c>
      <c r="AD48">
        <v>456</v>
      </c>
      <c r="AE48">
        <v>457.6</v>
      </c>
      <c r="AF48">
        <v>460.3</v>
      </c>
      <c r="AG48" s="10">
        <v>444.9</v>
      </c>
      <c r="AH48">
        <v>430.9</v>
      </c>
      <c r="AI48" s="10">
        <v>461.3</v>
      </c>
      <c r="AJ48">
        <v>452.8</v>
      </c>
      <c r="AK48">
        <v>440.9</v>
      </c>
    </row>
    <row r="49" spans="1:37">
      <c r="A49" s="1">
        <v>48</v>
      </c>
      <c r="B49">
        <v>426.1</v>
      </c>
      <c r="C49">
        <v>435.3</v>
      </c>
      <c r="D49">
        <v>462.2</v>
      </c>
      <c r="E49">
        <v>444.1</v>
      </c>
      <c r="F49">
        <v>431.2</v>
      </c>
      <c r="G49">
        <v>445.6</v>
      </c>
      <c r="H49">
        <v>417.7</v>
      </c>
      <c r="I49">
        <v>442.6</v>
      </c>
      <c r="J49">
        <v>440.5</v>
      </c>
      <c r="K49">
        <v>416.7</v>
      </c>
      <c r="L49">
        <v>435.3</v>
      </c>
      <c r="M49">
        <v>434.8</v>
      </c>
      <c r="N49">
        <v>407.3</v>
      </c>
      <c r="O49">
        <v>418.2</v>
      </c>
      <c r="P49">
        <v>424</v>
      </c>
      <c r="Q49">
        <v>441.9</v>
      </c>
      <c r="R49">
        <v>433.9</v>
      </c>
      <c r="S49">
        <v>436.9</v>
      </c>
      <c r="T49" t="s">
        <v>134</v>
      </c>
      <c r="U49" s="10">
        <v>432.2</v>
      </c>
      <c r="V49">
        <v>444.1</v>
      </c>
      <c r="W49">
        <v>413</v>
      </c>
      <c r="X49" s="10">
        <v>429.9</v>
      </c>
      <c r="Y49">
        <v>428.3</v>
      </c>
      <c r="Z49" s="10">
        <v>443.3</v>
      </c>
      <c r="AA49">
        <v>451.8</v>
      </c>
      <c r="AB49">
        <v>422.9</v>
      </c>
      <c r="AC49">
        <v>440.7</v>
      </c>
      <c r="AD49">
        <v>429.5</v>
      </c>
      <c r="AE49">
        <v>434.8</v>
      </c>
      <c r="AF49">
        <v>440.1</v>
      </c>
      <c r="AG49" s="10">
        <v>432.6</v>
      </c>
      <c r="AH49">
        <v>443.6</v>
      </c>
      <c r="AI49" s="10">
        <v>435</v>
      </c>
      <c r="AJ49">
        <v>404.5</v>
      </c>
      <c r="AK49">
        <v>431.2</v>
      </c>
    </row>
    <row r="50" spans="1:37">
      <c r="A50" s="1">
        <v>49</v>
      </c>
      <c r="B50">
        <v>454</v>
      </c>
      <c r="C50">
        <v>464.4</v>
      </c>
      <c r="D50">
        <v>463.8</v>
      </c>
      <c r="E50">
        <v>462.5</v>
      </c>
      <c r="F50">
        <v>467.3</v>
      </c>
      <c r="G50">
        <v>465.8</v>
      </c>
      <c r="H50">
        <v>462.8</v>
      </c>
      <c r="I50">
        <v>457.8</v>
      </c>
      <c r="J50">
        <v>472.7</v>
      </c>
      <c r="K50">
        <v>465.5</v>
      </c>
      <c r="L50">
        <v>458</v>
      </c>
      <c r="M50">
        <v>464.6</v>
      </c>
      <c r="N50">
        <v>450.9</v>
      </c>
      <c r="O50">
        <v>443.3</v>
      </c>
      <c r="P50">
        <v>446.9</v>
      </c>
      <c r="Q50">
        <v>465.5</v>
      </c>
      <c r="R50">
        <v>455.29999999999995</v>
      </c>
      <c r="S50">
        <v>440.6</v>
      </c>
      <c r="T50" t="s">
        <v>134</v>
      </c>
      <c r="U50" s="10">
        <v>452.1</v>
      </c>
      <c r="V50">
        <v>440.3</v>
      </c>
      <c r="W50">
        <v>468</v>
      </c>
      <c r="X50" s="10">
        <v>456.4</v>
      </c>
      <c r="Y50">
        <v>442</v>
      </c>
      <c r="Z50" s="10">
        <v>468.5</v>
      </c>
      <c r="AA50">
        <v>454.1</v>
      </c>
      <c r="AB50">
        <v>454.5</v>
      </c>
      <c r="AC50">
        <v>466.9</v>
      </c>
      <c r="AD50">
        <v>450.9</v>
      </c>
      <c r="AE50">
        <v>453.4</v>
      </c>
      <c r="AF50">
        <v>463.1</v>
      </c>
      <c r="AG50" s="10">
        <v>449.4</v>
      </c>
      <c r="AH50">
        <v>441.1</v>
      </c>
      <c r="AI50" s="10">
        <v>454</v>
      </c>
      <c r="AJ50">
        <v>445.7</v>
      </c>
      <c r="AK50">
        <v>460.3</v>
      </c>
    </row>
    <row r="51" spans="1:37">
      <c r="A51" s="1">
        <v>50</v>
      </c>
      <c r="B51">
        <v>425.6</v>
      </c>
      <c r="C51">
        <v>430.3</v>
      </c>
      <c r="D51">
        <v>451.2</v>
      </c>
      <c r="E51">
        <v>443.5</v>
      </c>
      <c r="F51">
        <v>446.2</v>
      </c>
      <c r="G51">
        <v>433.5</v>
      </c>
      <c r="H51">
        <v>456.8</v>
      </c>
      <c r="I51">
        <v>446.8</v>
      </c>
      <c r="J51">
        <v>453.5</v>
      </c>
      <c r="K51">
        <v>438.59999999999997</v>
      </c>
      <c r="L51">
        <v>447.90000000000003</v>
      </c>
      <c r="M51">
        <v>441.2</v>
      </c>
      <c r="N51">
        <v>428.6</v>
      </c>
      <c r="O51">
        <v>431.8</v>
      </c>
      <c r="P51">
        <v>435.4</v>
      </c>
      <c r="Q51">
        <v>452.9</v>
      </c>
      <c r="R51">
        <v>433</v>
      </c>
      <c r="S51">
        <v>439.29999999999995</v>
      </c>
      <c r="T51" t="s">
        <v>134</v>
      </c>
      <c r="U51" s="10">
        <v>436.4</v>
      </c>
      <c r="V51">
        <v>423.1</v>
      </c>
      <c r="W51">
        <v>455.3</v>
      </c>
      <c r="X51" s="10">
        <v>434.8</v>
      </c>
      <c r="Y51">
        <v>441.2</v>
      </c>
      <c r="Z51" s="10">
        <v>451.3</v>
      </c>
      <c r="AA51">
        <v>432.4</v>
      </c>
      <c r="AB51">
        <v>441.1</v>
      </c>
      <c r="AC51">
        <v>454.6</v>
      </c>
      <c r="AD51">
        <v>437.4</v>
      </c>
      <c r="AE51">
        <v>444</v>
      </c>
      <c r="AF51">
        <v>447</v>
      </c>
      <c r="AG51" s="10">
        <v>426.8</v>
      </c>
      <c r="AH51">
        <v>443.6</v>
      </c>
      <c r="AI51" s="10">
        <v>439.1</v>
      </c>
      <c r="AJ51" s="10">
        <v>426</v>
      </c>
      <c r="AK51">
        <v>437.5</v>
      </c>
    </row>
    <row r="52" spans="1:37">
      <c r="A52" s="1">
        <v>51</v>
      </c>
      <c r="B52">
        <v>458.1</v>
      </c>
      <c r="C52">
        <v>449.3</v>
      </c>
      <c r="D52">
        <v>439.9</v>
      </c>
      <c r="E52">
        <v>463.5</v>
      </c>
      <c r="F52">
        <v>447.3</v>
      </c>
      <c r="G52">
        <v>457</v>
      </c>
      <c r="H52">
        <v>446</v>
      </c>
      <c r="I52">
        <v>455.1</v>
      </c>
      <c r="J52">
        <v>446</v>
      </c>
      <c r="K52">
        <v>437.4</v>
      </c>
      <c r="L52">
        <v>449.90000000000003</v>
      </c>
      <c r="M52">
        <v>436.2</v>
      </c>
      <c r="N52">
        <v>427.1</v>
      </c>
      <c r="O52">
        <v>471.2</v>
      </c>
      <c r="P52">
        <v>459</v>
      </c>
      <c r="Q52">
        <v>450.4</v>
      </c>
      <c r="R52">
        <v>441.20000000000005</v>
      </c>
      <c r="S52">
        <v>429.6</v>
      </c>
      <c r="T52" t="s">
        <v>134</v>
      </c>
      <c r="U52" s="10">
        <v>444.7</v>
      </c>
      <c r="V52">
        <v>433.1</v>
      </c>
      <c r="W52">
        <v>470.2</v>
      </c>
      <c r="X52" s="10">
        <v>459.7</v>
      </c>
      <c r="Y52">
        <v>449.9</v>
      </c>
      <c r="Z52" s="10">
        <v>438.4</v>
      </c>
      <c r="AA52">
        <v>428.4</v>
      </c>
      <c r="AB52">
        <v>445</v>
      </c>
      <c r="AC52">
        <v>453</v>
      </c>
      <c r="AD52">
        <v>441.9</v>
      </c>
      <c r="AE52">
        <v>448.7</v>
      </c>
      <c r="AF52">
        <v>456.5</v>
      </c>
      <c r="AG52" s="10">
        <v>447.6</v>
      </c>
      <c r="AH52">
        <v>436.9</v>
      </c>
      <c r="AI52" s="10">
        <v>446.7</v>
      </c>
      <c r="AJ52">
        <v>439.7</v>
      </c>
      <c r="AK52">
        <v>449.3</v>
      </c>
    </row>
    <row r="53" spans="1:37">
      <c r="A53" s="1">
        <v>52</v>
      </c>
      <c r="B53">
        <v>452.1</v>
      </c>
      <c r="C53">
        <v>454</v>
      </c>
      <c r="D53">
        <v>444.7</v>
      </c>
      <c r="E53">
        <v>436.3</v>
      </c>
      <c r="F53">
        <v>454.3</v>
      </c>
      <c r="G53">
        <v>444</v>
      </c>
      <c r="H53">
        <v>449.7</v>
      </c>
      <c r="I53">
        <v>452.6</v>
      </c>
      <c r="J53">
        <v>465.5</v>
      </c>
      <c r="K53">
        <v>454.7</v>
      </c>
      <c r="L53">
        <v>459.3</v>
      </c>
      <c r="M53">
        <v>448.5</v>
      </c>
      <c r="N53">
        <v>437.1</v>
      </c>
      <c r="O53">
        <v>463.2</v>
      </c>
      <c r="P53">
        <v>451.7</v>
      </c>
      <c r="Q53">
        <v>442.4</v>
      </c>
      <c r="R53">
        <v>452</v>
      </c>
      <c r="S53">
        <v>458.20000000000005</v>
      </c>
      <c r="T53" t="s">
        <v>134</v>
      </c>
      <c r="U53" s="10">
        <v>450.3</v>
      </c>
      <c r="V53">
        <v>440.6</v>
      </c>
      <c r="W53">
        <v>430.3</v>
      </c>
      <c r="X53" s="10">
        <v>454.1</v>
      </c>
      <c r="Y53">
        <v>441.4</v>
      </c>
      <c r="Z53" s="10">
        <v>466.8</v>
      </c>
      <c r="AA53">
        <v>453.4</v>
      </c>
      <c r="AB53">
        <v>442.4</v>
      </c>
      <c r="AC53">
        <v>467.1</v>
      </c>
      <c r="AD53">
        <v>454.4</v>
      </c>
      <c r="AE53">
        <v>442</v>
      </c>
      <c r="AF53">
        <v>462.2</v>
      </c>
      <c r="AG53" s="10">
        <v>449.6</v>
      </c>
      <c r="AH53">
        <v>435.6</v>
      </c>
      <c r="AI53" s="10">
        <v>457.4</v>
      </c>
      <c r="AJ53">
        <v>447.8</v>
      </c>
      <c r="AK53">
        <v>434.2</v>
      </c>
    </row>
    <row r="54" spans="1:37">
      <c r="A54" s="1">
        <v>53</v>
      </c>
      <c r="B54">
        <v>457.4</v>
      </c>
      <c r="C54">
        <v>461</v>
      </c>
      <c r="D54">
        <v>452.1</v>
      </c>
      <c r="E54">
        <v>434.6</v>
      </c>
      <c r="F54">
        <v>437.1</v>
      </c>
      <c r="G54">
        <v>439.5</v>
      </c>
      <c r="H54">
        <v>443.5</v>
      </c>
      <c r="I54">
        <v>435.5</v>
      </c>
      <c r="J54">
        <v>443.6</v>
      </c>
      <c r="K54">
        <v>421.7</v>
      </c>
      <c r="L54">
        <v>443.40000000000003</v>
      </c>
      <c r="M54">
        <v>434.1</v>
      </c>
      <c r="N54">
        <v>407.5</v>
      </c>
      <c r="O54">
        <v>454.3</v>
      </c>
      <c r="P54">
        <v>426.7</v>
      </c>
      <c r="Q54">
        <v>441.3</v>
      </c>
      <c r="R54">
        <v>415.9</v>
      </c>
      <c r="S54">
        <v>437.1</v>
      </c>
      <c r="T54" t="s">
        <v>134</v>
      </c>
      <c r="U54" s="10">
        <v>430.6</v>
      </c>
      <c r="V54">
        <v>435.2</v>
      </c>
      <c r="W54">
        <v>456.2</v>
      </c>
      <c r="X54" s="10">
        <v>431.6</v>
      </c>
      <c r="Y54">
        <v>438.5</v>
      </c>
      <c r="Z54" s="10">
        <v>448.8</v>
      </c>
      <c r="AA54">
        <v>423</v>
      </c>
      <c r="AB54">
        <v>427.6</v>
      </c>
      <c r="AC54">
        <v>437</v>
      </c>
      <c r="AD54">
        <v>433</v>
      </c>
      <c r="AE54">
        <v>429.4</v>
      </c>
      <c r="AF54">
        <v>440.6</v>
      </c>
      <c r="AG54" s="10">
        <v>433.6</v>
      </c>
      <c r="AH54">
        <v>441.1</v>
      </c>
      <c r="AI54" s="10">
        <v>442.6</v>
      </c>
      <c r="AJ54">
        <v>431.3</v>
      </c>
      <c r="AK54">
        <v>432.9</v>
      </c>
    </row>
    <row r="55" spans="1:37">
      <c r="A55" s="1">
        <v>54</v>
      </c>
      <c r="B55">
        <v>445.1</v>
      </c>
      <c r="C55">
        <v>456.2</v>
      </c>
      <c r="D55">
        <v>446.1</v>
      </c>
      <c r="E55">
        <v>430.8</v>
      </c>
      <c r="F55">
        <v>436.8</v>
      </c>
      <c r="G55">
        <v>451.6</v>
      </c>
      <c r="H55">
        <v>434.3</v>
      </c>
      <c r="I55">
        <v>455.9</v>
      </c>
      <c r="J55">
        <v>463.8</v>
      </c>
      <c r="K55">
        <v>439.09999999999997</v>
      </c>
      <c r="L55">
        <v>441.7</v>
      </c>
      <c r="M55">
        <v>451.2</v>
      </c>
      <c r="N55">
        <v>432.2</v>
      </c>
      <c r="O55">
        <v>438.5</v>
      </c>
      <c r="P55">
        <v>437.5</v>
      </c>
      <c r="Q55">
        <v>453.8</v>
      </c>
      <c r="R55">
        <v>435.20000000000005</v>
      </c>
      <c r="S55">
        <v>438.9</v>
      </c>
      <c r="T55" t="s">
        <v>134</v>
      </c>
      <c r="U55" s="10">
        <v>439</v>
      </c>
      <c r="V55">
        <v>422.8</v>
      </c>
      <c r="W55">
        <v>465.2</v>
      </c>
      <c r="X55" s="10">
        <v>445.8</v>
      </c>
      <c r="Y55">
        <v>423.4</v>
      </c>
      <c r="Z55" s="10">
        <v>458.1</v>
      </c>
      <c r="AA55">
        <v>439.5</v>
      </c>
      <c r="AB55">
        <v>423.9</v>
      </c>
      <c r="AC55">
        <v>444.1</v>
      </c>
      <c r="AD55">
        <v>423.7</v>
      </c>
      <c r="AE55">
        <v>440.1</v>
      </c>
      <c r="AF55">
        <v>445.7</v>
      </c>
      <c r="AG55" s="10">
        <v>426.1</v>
      </c>
      <c r="AH55">
        <v>437.8</v>
      </c>
      <c r="AI55" s="10">
        <v>434.8</v>
      </c>
      <c r="AJ55">
        <v>444.8</v>
      </c>
      <c r="AK55">
        <v>425.2</v>
      </c>
    </row>
    <row r="56" spans="1:37">
      <c r="A56" s="1">
        <v>55</v>
      </c>
      <c r="B56">
        <v>459.6</v>
      </c>
      <c r="C56">
        <v>454.2</v>
      </c>
      <c r="D56">
        <v>450.5</v>
      </c>
      <c r="E56">
        <v>446.9</v>
      </c>
      <c r="F56">
        <v>463.5</v>
      </c>
      <c r="G56">
        <v>455.1</v>
      </c>
      <c r="H56">
        <v>446.9</v>
      </c>
      <c r="I56">
        <v>438</v>
      </c>
      <c r="J56">
        <v>455.7</v>
      </c>
      <c r="K56">
        <v>447.2</v>
      </c>
      <c r="L56">
        <v>440.90000000000003</v>
      </c>
      <c r="M56">
        <v>453.5</v>
      </c>
      <c r="N56">
        <v>446</v>
      </c>
      <c r="O56">
        <v>436.9</v>
      </c>
      <c r="P56">
        <v>455.9</v>
      </c>
      <c r="Q56">
        <v>447.9</v>
      </c>
      <c r="R56">
        <v>438.4</v>
      </c>
      <c r="S56">
        <v>452.70000000000005</v>
      </c>
      <c r="T56" t="s">
        <v>134</v>
      </c>
      <c r="U56" s="10">
        <v>436.2</v>
      </c>
      <c r="V56">
        <v>424.6</v>
      </c>
      <c r="W56">
        <v>468.9</v>
      </c>
      <c r="X56" s="10">
        <v>459.3</v>
      </c>
      <c r="Y56">
        <v>449.5</v>
      </c>
      <c r="Z56" s="10">
        <v>466.9</v>
      </c>
      <c r="AA56">
        <v>456.8</v>
      </c>
      <c r="AB56">
        <v>445.7</v>
      </c>
      <c r="AC56">
        <v>455.1</v>
      </c>
      <c r="AD56">
        <v>442.8</v>
      </c>
      <c r="AE56">
        <v>453.9</v>
      </c>
      <c r="AF56">
        <v>461.5</v>
      </c>
      <c r="AG56" s="10">
        <v>450.1</v>
      </c>
      <c r="AH56" s="10">
        <v>439</v>
      </c>
      <c r="AI56" s="10">
        <v>452</v>
      </c>
      <c r="AJ56">
        <v>445.4</v>
      </c>
      <c r="AK56">
        <v>434.5</v>
      </c>
    </row>
    <row r="57" spans="1:37">
      <c r="A57" s="1">
        <v>56</v>
      </c>
      <c r="B57">
        <v>439.2</v>
      </c>
      <c r="C57">
        <v>438.4</v>
      </c>
      <c r="D57">
        <v>428.7</v>
      </c>
      <c r="E57">
        <v>448</v>
      </c>
      <c r="F57">
        <v>455.3</v>
      </c>
      <c r="G57">
        <v>446.4</v>
      </c>
      <c r="H57">
        <v>435</v>
      </c>
      <c r="I57">
        <v>452.8</v>
      </c>
      <c r="J57">
        <v>462.6</v>
      </c>
      <c r="K57">
        <v>453.2</v>
      </c>
      <c r="L57">
        <v>445.2</v>
      </c>
      <c r="M57">
        <v>462.4</v>
      </c>
      <c r="N57">
        <v>451.7</v>
      </c>
      <c r="O57">
        <v>442.1</v>
      </c>
      <c r="P57">
        <v>449.3</v>
      </c>
      <c r="Q57">
        <v>456.6</v>
      </c>
      <c r="R57">
        <v>444.5</v>
      </c>
      <c r="S57">
        <v>450</v>
      </c>
      <c r="T57" t="s">
        <v>134</v>
      </c>
      <c r="U57" s="10">
        <v>450</v>
      </c>
      <c r="V57">
        <v>437</v>
      </c>
      <c r="W57">
        <v>467.5</v>
      </c>
      <c r="X57" s="10">
        <v>455.2</v>
      </c>
      <c r="Y57">
        <v>441.6</v>
      </c>
      <c r="Z57" s="10">
        <v>471</v>
      </c>
      <c r="AA57">
        <v>456.5</v>
      </c>
      <c r="AB57">
        <v>441.8</v>
      </c>
      <c r="AC57">
        <v>459.4</v>
      </c>
      <c r="AD57">
        <v>444.8</v>
      </c>
      <c r="AE57">
        <v>455.9</v>
      </c>
      <c r="AF57">
        <v>464</v>
      </c>
      <c r="AG57" s="10">
        <v>452.1</v>
      </c>
      <c r="AH57">
        <v>438.8</v>
      </c>
      <c r="AI57" s="10">
        <v>458.5</v>
      </c>
      <c r="AJ57">
        <v>447.7</v>
      </c>
      <c r="AK57">
        <v>433.4</v>
      </c>
    </row>
    <row r="58" spans="1:37">
      <c r="A58" s="1">
        <v>57</v>
      </c>
      <c r="B58">
        <v>463.7</v>
      </c>
      <c r="C58">
        <v>462.5</v>
      </c>
      <c r="D58">
        <v>461.1</v>
      </c>
      <c r="E58">
        <v>459.7</v>
      </c>
      <c r="F58">
        <v>439.7</v>
      </c>
      <c r="G58">
        <v>459</v>
      </c>
      <c r="H58">
        <v>454.6</v>
      </c>
      <c r="I58">
        <v>445.9</v>
      </c>
      <c r="J58">
        <v>438.4</v>
      </c>
      <c r="K58">
        <v>457.09999999999997</v>
      </c>
      <c r="L58">
        <v>451.90000000000003</v>
      </c>
      <c r="M58">
        <v>455.8</v>
      </c>
      <c r="N58">
        <v>451.1</v>
      </c>
      <c r="O58">
        <v>445.9</v>
      </c>
      <c r="P58">
        <v>449</v>
      </c>
      <c r="Q58">
        <v>442</v>
      </c>
      <c r="R58">
        <v>435.20000000000005</v>
      </c>
      <c r="S58">
        <v>452</v>
      </c>
      <c r="T58" t="s">
        <v>134</v>
      </c>
      <c r="U58" s="10">
        <v>446.2</v>
      </c>
      <c r="V58">
        <v>442.6</v>
      </c>
      <c r="W58">
        <v>468.6</v>
      </c>
      <c r="X58" s="10">
        <v>467.4</v>
      </c>
      <c r="Y58">
        <v>465.5</v>
      </c>
      <c r="Z58" s="10">
        <v>463.5</v>
      </c>
      <c r="AA58">
        <v>461.9</v>
      </c>
      <c r="AB58">
        <v>459.5</v>
      </c>
      <c r="AC58">
        <v>454.9</v>
      </c>
      <c r="AD58">
        <v>447.2</v>
      </c>
      <c r="AE58">
        <v>436.6</v>
      </c>
      <c r="AF58">
        <v>455.8</v>
      </c>
      <c r="AG58" s="10">
        <v>448.2</v>
      </c>
      <c r="AH58" s="10">
        <v>440</v>
      </c>
      <c r="AI58" s="10">
        <v>456.3</v>
      </c>
      <c r="AJ58">
        <v>450.1</v>
      </c>
      <c r="AK58">
        <v>443.3</v>
      </c>
    </row>
    <row r="59" spans="1:37">
      <c r="A59" s="1">
        <v>58</v>
      </c>
      <c r="B59">
        <v>460.5</v>
      </c>
      <c r="C59">
        <v>459.1</v>
      </c>
      <c r="D59">
        <v>458.5</v>
      </c>
      <c r="E59">
        <v>457.4</v>
      </c>
      <c r="F59">
        <v>447</v>
      </c>
      <c r="G59">
        <v>445.5</v>
      </c>
      <c r="H59">
        <v>444.3</v>
      </c>
      <c r="I59">
        <v>452.5</v>
      </c>
      <c r="J59">
        <v>451.1</v>
      </c>
      <c r="K59">
        <v>449.59999999999997</v>
      </c>
      <c r="L59">
        <v>448.1</v>
      </c>
      <c r="M59">
        <v>464.6</v>
      </c>
      <c r="N59">
        <v>464.6</v>
      </c>
      <c r="O59">
        <v>463.8</v>
      </c>
      <c r="P59">
        <v>460</v>
      </c>
      <c r="Q59">
        <v>459</v>
      </c>
      <c r="R59">
        <v>458</v>
      </c>
      <c r="S59">
        <v>456.6</v>
      </c>
      <c r="T59" t="s">
        <v>134</v>
      </c>
      <c r="U59" s="10">
        <v>456.8</v>
      </c>
      <c r="V59">
        <v>456.1</v>
      </c>
      <c r="W59">
        <v>454.7</v>
      </c>
      <c r="X59" s="10">
        <v>453.6</v>
      </c>
      <c r="Y59">
        <v>452.8</v>
      </c>
      <c r="Z59" s="10">
        <v>451.6</v>
      </c>
      <c r="AA59">
        <v>450.6</v>
      </c>
      <c r="AB59">
        <v>456.3</v>
      </c>
      <c r="AC59">
        <v>454.8</v>
      </c>
      <c r="AD59">
        <v>453.4</v>
      </c>
      <c r="AE59">
        <v>452.3</v>
      </c>
      <c r="AF59">
        <v>468.7</v>
      </c>
      <c r="AG59" s="10">
        <v>467.8</v>
      </c>
      <c r="AH59">
        <v>466.2</v>
      </c>
      <c r="AI59" s="10">
        <v>461.8</v>
      </c>
      <c r="AJ59">
        <v>463.3</v>
      </c>
      <c r="AK59" s="10">
        <v>462</v>
      </c>
    </row>
    <row r="60" spans="1:37">
      <c r="A60" s="1">
        <v>59</v>
      </c>
      <c r="B60">
        <v>446</v>
      </c>
      <c r="C60">
        <v>431</v>
      </c>
      <c r="D60">
        <v>450.2</v>
      </c>
      <c r="E60">
        <v>437.8</v>
      </c>
      <c r="F60">
        <v>438.4</v>
      </c>
      <c r="G60">
        <v>457</v>
      </c>
      <c r="H60">
        <v>438.9</v>
      </c>
      <c r="I60">
        <v>438.6</v>
      </c>
      <c r="J60">
        <v>450.1</v>
      </c>
      <c r="K60">
        <v>453.4</v>
      </c>
      <c r="L60">
        <v>434.1</v>
      </c>
      <c r="M60">
        <v>444.5</v>
      </c>
      <c r="N60">
        <v>430.9</v>
      </c>
      <c r="O60">
        <v>446.5</v>
      </c>
      <c r="P60">
        <v>434.7</v>
      </c>
      <c r="Q60">
        <v>445.5</v>
      </c>
      <c r="R60">
        <v>447.4</v>
      </c>
      <c r="S60">
        <v>445.9</v>
      </c>
      <c r="T60" t="s">
        <v>134</v>
      </c>
      <c r="U60" s="10">
        <v>440.7</v>
      </c>
      <c r="V60">
        <v>423.3</v>
      </c>
      <c r="W60">
        <v>457.2</v>
      </c>
      <c r="X60" s="10">
        <v>440</v>
      </c>
      <c r="Y60">
        <v>448.5</v>
      </c>
      <c r="Z60" s="10">
        <v>461.5</v>
      </c>
      <c r="AA60">
        <v>442.9</v>
      </c>
      <c r="AB60">
        <v>448.1</v>
      </c>
      <c r="AC60">
        <v>453.9</v>
      </c>
      <c r="AD60">
        <v>436.8</v>
      </c>
      <c r="AE60">
        <v>453.9</v>
      </c>
      <c r="AF60">
        <v>456.3</v>
      </c>
      <c r="AG60" s="10">
        <v>450.8</v>
      </c>
      <c r="AH60">
        <v>455.3</v>
      </c>
      <c r="AI60" s="10">
        <v>453.3</v>
      </c>
      <c r="AJ60">
        <v>438.4</v>
      </c>
      <c r="AK60">
        <v>449.3</v>
      </c>
    </row>
    <row r="61" spans="1:37">
      <c r="A61" s="1">
        <v>60</v>
      </c>
      <c r="B61">
        <v>438.7</v>
      </c>
      <c r="C61">
        <v>420.1</v>
      </c>
      <c r="D61">
        <v>451.6</v>
      </c>
      <c r="E61">
        <v>433.4</v>
      </c>
      <c r="F61">
        <v>450.2</v>
      </c>
      <c r="G61">
        <v>445</v>
      </c>
      <c r="H61">
        <v>436.2</v>
      </c>
      <c r="I61">
        <v>437.3</v>
      </c>
      <c r="J61">
        <v>444.6</v>
      </c>
      <c r="K61">
        <v>440.9</v>
      </c>
      <c r="L61">
        <v>438</v>
      </c>
      <c r="M61">
        <v>438</v>
      </c>
      <c r="N61">
        <v>410.6</v>
      </c>
      <c r="O61">
        <v>432.4</v>
      </c>
      <c r="P61">
        <v>429.7</v>
      </c>
      <c r="Q61">
        <v>448.1</v>
      </c>
      <c r="R61">
        <v>414.6</v>
      </c>
      <c r="S61">
        <v>430.6</v>
      </c>
      <c r="T61" t="s">
        <v>134</v>
      </c>
      <c r="U61" s="10">
        <v>424.8</v>
      </c>
      <c r="V61">
        <v>426.3</v>
      </c>
      <c r="W61">
        <v>439.6</v>
      </c>
      <c r="X61" s="10">
        <v>437.4</v>
      </c>
      <c r="Y61">
        <v>403.8</v>
      </c>
      <c r="Z61" s="10">
        <v>440.6</v>
      </c>
      <c r="AA61">
        <v>443.7</v>
      </c>
      <c r="AB61">
        <v>435.9</v>
      </c>
      <c r="AC61">
        <v>445.7</v>
      </c>
      <c r="AD61">
        <v>434</v>
      </c>
      <c r="AE61">
        <v>431.5</v>
      </c>
      <c r="AF61">
        <v>430.7</v>
      </c>
      <c r="AG61" s="10">
        <v>431.6</v>
      </c>
      <c r="AH61">
        <v>435.5</v>
      </c>
      <c r="AI61" s="10">
        <v>435.6</v>
      </c>
      <c r="AJ61" s="10">
        <v>429</v>
      </c>
      <c r="AK61">
        <v>431.1</v>
      </c>
    </row>
    <row r="62" spans="1:37">
      <c r="A62" t="s">
        <v>130</v>
      </c>
      <c r="B62">
        <v>465</v>
      </c>
      <c r="C62">
        <v>464.1</v>
      </c>
      <c r="D62">
        <v>463.3</v>
      </c>
      <c r="E62">
        <v>462.3</v>
      </c>
      <c r="F62">
        <v>454.7</v>
      </c>
      <c r="G62">
        <v>453.8</v>
      </c>
      <c r="H62">
        <v>452.8</v>
      </c>
      <c r="I62">
        <v>451.6</v>
      </c>
      <c r="J62">
        <v>464.4</v>
      </c>
      <c r="K62">
        <v>463.59999999999997</v>
      </c>
      <c r="L62">
        <v>462.90000000000003</v>
      </c>
      <c r="M62">
        <v>460.7</v>
      </c>
      <c r="N62">
        <v>460.8</v>
      </c>
      <c r="O62">
        <v>459.8</v>
      </c>
      <c r="P62">
        <v>456.2</v>
      </c>
      <c r="Q62">
        <v>455.5</v>
      </c>
      <c r="R62">
        <v>454.70000000000005</v>
      </c>
      <c r="S62">
        <v>453.4</v>
      </c>
      <c r="T62" t="s">
        <v>134</v>
      </c>
      <c r="U62" s="10">
        <v>453.6</v>
      </c>
      <c r="V62">
        <v>453.1</v>
      </c>
      <c r="W62">
        <v>451.7</v>
      </c>
      <c r="X62" s="10">
        <v>450.7</v>
      </c>
      <c r="Y62">
        <v>450.1</v>
      </c>
      <c r="Z62" s="10">
        <v>481</v>
      </c>
      <c r="AA62">
        <v>480.3</v>
      </c>
      <c r="AB62">
        <v>479.9</v>
      </c>
      <c r="AC62">
        <v>474.5</v>
      </c>
      <c r="AD62">
        <v>473.3</v>
      </c>
      <c r="AE62">
        <v>472.7</v>
      </c>
      <c r="AF62">
        <v>477.6</v>
      </c>
      <c r="AG62" s="10">
        <v>476.8</v>
      </c>
      <c r="AH62">
        <v>475.5</v>
      </c>
      <c r="AI62" s="10">
        <v>471.7</v>
      </c>
      <c r="AJ62">
        <v>472.8</v>
      </c>
      <c r="AK62">
        <v>448.2</v>
      </c>
    </row>
    <row r="63" spans="1:37" s="18" customFormat="1">
      <c r="A63" s="18" t="s">
        <v>131</v>
      </c>
      <c r="B63" s="18">
        <v>465.1</v>
      </c>
      <c r="C63" s="18">
        <v>463.6</v>
      </c>
      <c r="D63" s="18">
        <v>463</v>
      </c>
      <c r="E63" s="18">
        <v>462.2</v>
      </c>
      <c r="F63" s="18">
        <v>453.3</v>
      </c>
      <c r="G63" s="18">
        <v>452.6</v>
      </c>
      <c r="H63" s="18">
        <v>451.7</v>
      </c>
      <c r="I63" s="18">
        <v>451</v>
      </c>
      <c r="J63" s="18">
        <v>462.8</v>
      </c>
      <c r="K63" s="18">
        <v>462.2</v>
      </c>
      <c r="L63" s="18">
        <v>461.40000000000003</v>
      </c>
      <c r="M63" s="18">
        <v>459</v>
      </c>
      <c r="N63" s="18">
        <v>458.8</v>
      </c>
      <c r="O63" s="18">
        <v>458</v>
      </c>
      <c r="P63" s="18">
        <v>454.5</v>
      </c>
      <c r="Q63" s="18">
        <v>453.8</v>
      </c>
      <c r="R63" s="18">
        <v>453.20000000000005</v>
      </c>
      <c r="S63" s="18">
        <v>452.5</v>
      </c>
      <c r="T63" t="s">
        <v>134</v>
      </c>
      <c r="U63" s="24">
        <v>453.9</v>
      </c>
      <c r="V63" s="18">
        <v>453.3</v>
      </c>
      <c r="W63" s="18">
        <v>452</v>
      </c>
      <c r="X63" s="24">
        <v>451.4</v>
      </c>
      <c r="Y63" s="18">
        <v>450.8</v>
      </c>
      <c r="Z63" s="24">
        <v>449.8</v>
      </c>
      <c r="AA63" s="18">
        <v>449.1</v>
      </c>
      <c r="AB63" s="18">
        <v>448.5</v>
      </c>
      <c r="AC63" s="18">
        <v>447.7</v>
      </c>
      <c r="AD63" s="18">
        <v>446.5</v>
      </c>
      <c r="AE63" s="18">
        <v>445.7</v>
      </c>
      <c r="AF63" s="18">
        <v>470.9</v>
      </c>
      <c r="AG63" s="24">
        <v>470.3</v>
      </c>
      <c r="AH63" s="18">
        <v>469.1</v>
      </c>
      <c r="AI63" s="24">
        <v>465.1</v>
      </c>
      <c r="AJ63" s="18">
        <v>467.2</v>
      </c>
      <c r="AK63" s="18">
        <v>466.4</v>
      </c>
    </row>
    <row r="64" spans="1:37">
      <c r="A64" t="s">
        <v>132</v>
      </c>
      <c r="B64">
        <v>500</v>
      </c>
      <c r="C64">
        <v>500</v>
      </c>
      <c r="D64">
        <v>500</v>
      </c>
      <c r="E64">
        <v>500</v>
      </c>
      <c r="F64">
        <v>500</v>
      </c>
      <c r="G64">
        <v>500</v>
      </c>
      <c r="H64">
        <v>500</v>
      </c>
      <c r="I64">
        <v>500</v>
      </c>
      <c r="J64">
        <v>500</v>
      </c>
      <c r="K64">
        <v>500</v>
      </c>
      <c r="L64">
        <v>500</v>
      </c>
      <c r="M64">
        <v>500</v>
      </c>
      <c r="N64">
        <v>500</v>
      </c>
      <c r="O64">
        <v>500</v>
      </c>
      <c r="P64">
        <v>497.2</v>
      </c>
      <c r="Q64">
        <v>497.3</v>
      </c>
      <c r="R64">
        <v>497.3</v>
      </c>
      <c r="S64">
        <v>497.2</v>
      </c>
      <c r="T64">
        <v>500</v>
      </c>
      <c r="U64" s="10">
        <v>499.9</v>
      </c>
      <c r="V64">
        <v>500.1</v>
      </c>
      <c r="W64">
        <v>500</v>
      </c>
      <c r="X64" s="10">
        <v>500.1</v>
      </c>
      <c r="Y64">
        <v>500.1</v>
      </c>
      <c r="Z64" s="10">
        <v>500</v>
      </c>
      <c r="AA64">
        <v>500</v>
      </c>
      <c r="AB64">
        <v>500</v>
      </c>
      <c r="AC64">
        <v>500</v>
      </c>
      <c r="AD64" s="36">
        <v>500</v>
      </c>
      <c r="AE64" s="36">
        <v>500</v>
      </c>
      <c r="AF64">
        <v>500</v>
      </c>
      <c r="AG64" s="10">
        <v>500</v>
      </c>
      <c r="AH64" s="10">
        <v>500</v>
      </c>
      <c r="AI64" s="10">
        <v>497.2</v>
      </c>
      <c r="AJ64" s="10">
        <v>500</v>
      </c>
      <c r="AK64" s="10">
        <v>500</v>
      </c>
    </row>
    <row r="65" spans="1:37">
      <c r="A65" t="s">
        <v>139</v>
      </c>
      <c r="B65">
        <f>500-B64</f>
        <v>0</v>
      </c>
      <c r="C65">
        <f t="shared" ref="C65:AK65" si="0">500-C64</f>
        <v>0</v>
      </c>
      <c r="D65">
        <f t="shared" si="0"/>
        <v>0</v>
      </c>
      <c r="E65">
        <f t="shared" si="0"/>
        <v>0</v>
      </c>
      <c r="F65">
        <f t="shared" si="0"/>
        <v>0</v>
      </c>
      <c r="G65">
        <f t="shared" si="0"/>
        <v>0</v>
      </c>
      <c r="H65">
        <f t="shared" si="0"/>
        <v>0</v>
      </c>
      <c r="I65">
        <f t="shared" si="0"/>
        <v>0</v>
      </c>
      <c r="J65">
        <f t="shared" si="0"/>
        <v>0</v>
      </c>
      <c r="K65">
        <f t="shared" si="0"/>
        <v>0</v>
      </c>
      <c r="L65">
        <f t="shared" si="0"/>
        <v>0</v>
      </c>
      <c r="M65">
        <f t="shared" si="0"/>
        <v>0</v>
      </c>
      <c r="N65">
        <f t="shared" si="0"/>
        <v>0</v>
      </c>
      <c r="O65">
        <f t="shared" si="0"/>
        <v>0</v>
      </c>
      <c r="P65">
        <f t="shared" si="0"/>
        <v>2.8000000000000114</v>
      </c>
      <c r="Q65">
        <f t="shared" si="0"/>
        <v>2.6999999999999886</v>
      </c>
      <c r="R65">
        <f t="shared" si="0"/>
        <v>2.6999999999999886</v>
      </c>
      <c r="S65">
        <f t="shared" si="0"/>
        <v>2.8000000000000114</v>
      </c>
      <c r="T65">
        <f t="shared" si="0"/>
        <v>0</v>
      </c>
      <c r="U65">
        <f t="shared" si="0"/>
        <v>0.10000000000002274</v>
      </c>
      <c r="V65">
        <f t="shared" si="0"/>
        <v>-0.10000000000002274</v>
      </c>
      <c r="W65">
        <f t="shared" si="0"/>
        <v>0</v>
      </c>
      <c r="X65">
        <f t="shared" si="0"/>
        <v>-0.10000000000002274</v>
      </c>
      <c r="Y65">
        <f t="shared" si="0"/>
        <v>-0.10000000000002274</v>
      </c>
      <c r="Z65">
        <f t="shared" si="0"/>
        <v>0</v>
      </c>
      <c r="AA65">
        <f t="shared" si="0"/>
        <v>0</v>
      </c>
      <c r="AB65">
        <f t="shared" si="0"/>
        <v>0</v>
      </c>
      <c r="AC65">
        <f t="shared" si="0"/>
        <v>0</v>
      </c>
      <c r="AD65">
        <f t="shared" si="0"/>
        <v>0</v>
      </c>
      <c r="AE65">
        <f t="shared" si="0"/>
        <v>0</v>
      </c>
      <c r="AF65">
        <f t="shared" si="0"/>
        <v>0</v>
      </c>
      <c r="AG65">
        <f t="shared" si="0"/>
        <v>0</v>
      </c>
      <c r="AH65">
        <f t="shared" si="0"/>
        <v>0</v>
      </c>
      <c r="AI65">
        <f t="shared" si="0"/>
        <v>2.8000000000000114</v>
      </c>
      <c r="AJ65">
        <f t="shared" si="0"/>
        <v>0</v>
      </c>
      <c r="AK65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6D08-6460-4DCE-92A3-F71EDAFCD4D0}">
  <dimension ref="A1:BM63"/>
  <sheetViews>
    <sheetView topLeftCell="S1" workbookViewId="0">
      <selection activeCell="S1" sqref="A1:XFD1"/>
    </sheetView>
  </sheetViews>
  <sheetFormatPr defaultColWidth="7.453125" defaultRowHeight="14.5"/>
  <cols>
    <col min="1" max="1" width="7.453125" style="29"/>
    <col min="2" max="2" width="7.81640625" bestFit="1" customWidth="1"/>
    <col min="3" max="19" width="7.54296875" bestFit="1" customWidth="1"/>
    <col min="20" max="20" width="7.453125" customWidth="1"/>
    <col min="21" max="21" width="7.54296875" bestFit="1" customWidth="1"/>
    <col min="22" max="36" width="7.453125" customWidth="1"/>
    <col min="37" max="37" width="7.453125" style="29" customWidth="1"/>
  </cols>
  <sheetData>
    <row r="1" spans="1:65" s="3" customFormat="1">
      <c r="A1" s="3" t="s">
        <v>1</v>
      </c>
      <c r="B1" s="45">
        <v>45873</v>
      </c>
      <c r="C1" s="45">
        <v>45875</v>
      </c>
      <c r="D1" s="45">
        <v>45877</v>
      </c>
      <c r="E1" s="45">
        <v>45880</v>
      </c>
      <c r="F1" s="45">
        <v>45882</v>
      </c>
      <c r="G1" s="45">
        <v>45884</v>
      </c>
      <c r="H1" s="45">
        <v>45887</v>
      </c>
      <c r="I1" s="45">
        <v>45889</v>
      </c>
      <c r="J1" s="45">
        <v>45891</v>
      </c>
      <c r="K1" s="45">
        <v>45894</v>
      </c>
      <c r="L1" s="45">
        <v>45896</v>
      </c>
      <c r="M1" s="45">
        <v>45898</v>
      </c>
      <c r="N1" s="45">
        <v>45901</v>
      </c>
      <c r="O1" s="45">
        <v>45903</v>
      </c>
      <c r="P1" s="45">
        <v>45905</v>
      </c>
      <c r="Q1" s="45">
        <v>45908</v>
      </c>
      <c r="R1" s="45">
        <v>45910</v>
      </c>
      <c r="S1" s="45">
        <v>45912</v>
      </c>
      <c r="T1" s="45">
        <v>45915</v>
      </c>
      <c r="U1" s="45">
        <v>45917</v>
      </c>
      <c r="V1" s="45">
        <v>45919</v>
      </c>
      <c r="W1" s="45">
        <v>45922</v>
      </c>
      <c r="X1" s="45">
        <v>45924</v>
      </c>
      <c r="Y1" s="45">
        <v>45926</v>
      </c>
      <c r="Z1" s="45">
        <v>45929</v>
      </c>
      <c r="AA1" s="45">
        <v>45931</v>
      </c>
      <c r="AB1" s="45">
        <v>45933</v>
      </c>
      <c r="AC1" s="45">
        <v>45936</v>
      </c>
      <c r="AD1" s="45">
        <v>45938</v>
      </c>
      <c r="AE1" s="45">
        <v>45940</v>
      </c>
      <c r="AF1" s="45">
        <v>45943</v>
      </c>
      <c r="AG1" s="45">
        <v>45945</v>
      </c>
      <c r="AH1" s="45">
        <v>45947</v>
      </c>
      <c r="AI1" s="45">
        <v>45950</v>
      </c>
      <c r="AJ1" s="45">
        <v>45952</v>
      </c>
      <c r="AK1" s="45">
        <v>45954</v>
      </c>
    </row>
    <row r="2" spans="1:65">
      <c r="A2" s="30">
        <v>1</v>
      </c>
      <c r="B2" s="10">
        <f>eth_ON!B2 - eth_OFF!B2 - AVERAGE(B$62:B$63)</f>
        <v>4.3499999999999659</v>
      </c>
      <c r="C2" s="10">
        <f>eth_ON!C2 - eth_OFF!C2 - AVERAGE(C$62:C$63)</f>
        <v>7.1500000000000341</v>
      </c>
      <c r="D2" s="10">
        <f>eth_ON!D2 - eth_OFF!D2 - AVERAGE(D$62:D$63)</f>
        <v>9.0499999999999829</v>
      </c>
      <c r="E2" s="10">
        <f>eth_ON!E2 - eth_OFF!E2 - AVERAGE(E$62:E$63)</f>
        <v>9.9499999999999602</v>
      </c>
      <c r="F2" s="10">
        <f>eth_ON!F2 - eth_OFF!F2 - AVERAGE(F$62:F$63)</f>
        <v>10.099999999999994</v>
      </c>
      <c r="G2" s="10">
        <f>eth_ON!G2 - eth_OFF!G2 - AVERAGE(G$62:G$63)</f>
        <v>11.150000000000006</v>
      </c>
      <c r="H2" s="10">
        <f>eth_ON!H2 - eth_OFF!H2 - AVERAGE(H$62:H$63)</f>
        <v>11.150000000000006</v>
      </c>
      <c r="I2" s="10">
        <f>eth_ON!I2 - eth_OFF!I2 - AVERAGE(I$62:I$63)</f>
        <v>11.750000000000028</v>
      </c>
      <c r="J2" s="10">
        <f>eth_ON!J2 - eth_OFF!J2 - AVERAGE(J$62:J$63)</f>
        <v>13.350000000000023</v>
      </c>
      <c r="K2" s="10">
        <f>eth_ON!K2 - eth_OFF!K2 - AVERAGE(K$62:K$63)</f>
        <v>14.500000000000028</v>
      </c>
      <c r="L2" s="10">
        <f>eth_ON!L2 - eth_OFF!L2 - AVERAGE(L$62:L$63)</f>
        <v>10.750000000000028</v>
      </c>
      <c r="M2" s="10">
        <f>eth_ON!M2 - eth_OFF!M2 - AVERAGE(M$62:M$63)</f>
        <v>11.55000000000004</v>
      </c>
      <c r="N2" s="10">
        <f>eth_ON!N2 - eth_OFF!N2 - AVERAGE(N$62:N$63)</f>
        <v>11.999999999999972</v>
      </c>
      <c r="O2" s="10">
        <f>eth_ON!O2 - eth_OFF!O2 - AVERAGE(O$62:O$63)</f>
        <v>11.30000000000004</v>
      </c>
      <c r="P2" s="10">
        <f>eth_ON!P2 - eth_OFF!P2 - AVERAGE(P$62:P$63)</f>
        <v>12.099999999999994</v>
      </c>
      <c r="Q2" s="10">
        <f>eth_ON!Q2 - eth_OFF!Q2 - AVERAGE(Q$62:Q$63)</f>
        <v>10.099999999999994</v>
      </c>
      <c r="R2" s="10">
        <f>eth_ON!R2 - eth_OFF!R2 - AVERAGE(R$62:R$63)</f>
        <v>10.900000000000006</v>
      </c>
      <c r="S2" s="10">
        <f>eth_ON!S2 - eth_OFF!S2 - AVERAGE(S$62:S$63)</f>
        <v>11.349999999999966</v>
      </c>
      <c r="T2" s="10" t="e">
        <f>eth_ON!T2 - eth_OFF!T2 - AVERAGE(T$62:T$63)</f>
        <v>#VALUE!</v>
      </c>
      <c r="U2" s="10">
        <f>eth_ON!U2 - eth_OFF!U2 - AVERAGE(U$62:U$63)</f>
        <v>10.399999999999977</v>
      </c>
      <c r="V2" s="10">
        <f>eth_ON!V2 - eth_OFF!V2 - AVERAGE(V$62:V$63)</f>
        <v>13.200000000000045</v>
      </c>
      <c r="W2" s="10">
        <f>eth_ON!W2 - eth_OFF!W2 - AVERAGE(W$62:W$63)</f>
        <v>10.900000000000006</v>
      </c>
      <c r="X2" s="10">
        <f>eth_ON!X2 - eth_OFF!X2 - AVERAGE(X$62:X$63)</f>
        <v>10.499999999999943</v>
      </c>
      <c r="Y2" s="10">
        <f>eth_ON!Y2 - eth_OFF!Y2 - AVERAGE(Y$62:Y$63)</f>
        <v>12.450000000000017</v>
      </c>
      <c r="Z2" s="10">
        <f>eth_ON!Z2 - eth_OFF!Z2 - AVERAGE(Z$62:Z$63)</f>
        <v>9.7000000000000171</v>
      </c>
      <c r="AA2" s="10">
        <f>eth_ON!AA2 - eth_OFF!AA2 - AVERAGE(AA$62:AA$63)</f>
        <v>11.350000000000023</v>
      </c>
      <c r="AB2" s="10">
        <f>eth_ON!AB2 - eth_OFF!AB2 - AVERAGE(AB$62:AB$63)</f>
        <v>10.099999999999994</v>
      </c>
      <c r="AC2" s="10">
        <f>eth_ON!AC2 - eth_OFF!AC2 - AVERAGE(AC$62:AC$63)</f>
        <v>9.4500000000000171</v>
      </c>
      <c r="AD2" s="10">
        <f>eth_ON!AD2 - eth_OFF!AD2 - AVERAGE(AD$62:AD$63)</f>
        <v>10.349999999999966</v>
      </c>
      <c r="AE2" s="10">
        <f>eth_ON!AE2 - eth_OFF!AE2 - AVERAGE(AE$62:AE$63)</f>
        <v>11.149999999999977</v>
      </c>
      <c r="AF2" s="10">
        <f>eth_ON!AF2 - eth_OFF!AF2 - AVERAGE(AF$62:AF$63)</f>
        <v>11.500000000000028</v>
      </c>
      <c r="AG2" s="10">
        <f>eth_ON!AG2 - eth_OFF!AG2 - AVERAGE(AG$62:AG$63)</f>
        <v>10.750000000000028</v>
      </c>
      <c r="AH2" s="10">
        <f>eth_ON!AH2 - eth_OFF!AH2 - AVERAGE(AH$62:AH$63)</f>
        <v>12.349999999999966</v>
      </c>
      <c r="AI2" s="10">
        <f>eth_ON!AI2 - eth_OFF!AI2 - AVERAGE(AI$62:AI$63)</f>
        <v>13.250000000000028</v>
      </c>
      <c r="AJ2" s="10">
        <f>eth_ON!AJ2 - eth_OFF!AJ2 - AVERAGE(AJ$62:AJ$63)</f>
        <v>10.25</v>
      </c>
      <c r="AK2" s="10">
        <f>eth_ON!AK2 - eth_OFF!AK2 - AVERAGE(AK$62:AK$63)</f>
        <v>11.200000000000017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</row>
    <row r="3" spans="1:65">
      <c r="A3" s="30">
        <v>2</v>
      </c>
      <c r="B3" s="10">
        <f>eth_ON!B3 - eth_OFF!B3 - AVERAGE(B$62:B$63)</f>
        <v>0.14999999999997726</v>
      </c>
      <c r="C3" s="10">
        <f>eth_ON!C3 - eth_OFF!C3 - AVERAGE(C$62:C$63)</f>
        <v>-0.44999999999993179</v>
      </c>
      <c r="D3" s="10">
        <f>eth_ON!D3 - eth_OFF!D3 - AVERAGE(D$62:D$63)</f>
        <v>4.9999999999982947E-2</v>
      </c>
      <c r="E3" s="10">
        <f>eth_ON!E3 - eth_OFF!E3 - AVERAGE(E$62:E$63)</f>
        <v>3.6499999999999488</v>
      </c>
      <c r="F3" s="10">
        <f>eth_ON!F3 - eth_OFF!F3 - AVERAGE(F$62:F$63)</f>
        <v>3.5000000000000284</v>
      </c>
      <c r="G3" s="10">
        <f>eth_ON!G3 - eth_OFF!G3 - AVERAGE(G$62:G$63)</f>
        <v>8.0500000000000398</v>
      </c>
      <c r="H3" s="10">
        <f>eth_ON!H3 - eth_OFF!H3 - AVERAGE(H$62:H$63)</f>
        <v>5.6500000000000057</v>
      </c>
      <c r="I3" s="10">
        <f>eth_ON!I3 - eth_OFF!I3 - AVERAGE(I$62:I$63)</f>
        <v>3.6500000000000057</v>
      </c>
      <c r="J3" s="10">
        <f>eth_ON!J3 - eth_OFF!J3 - AVERAGE(J$62:J$63)</f>
        <v>6.75</v>
      </c>
      <c r="K3" s="10">
        <f>eth_ON!K3 - eth_OFF!K3 - AVERAGE(K$62:K$63)</f>
        <v>5.7999999999999829</v>
      </c>
      <c r="L3" s="10">
        <f>eth_ON!L3 - eth_OFF!L3 - AVERAGE(L$62:L$63)</f>
        <v>5.8500000000000512</v>
      </c>
      <c r="M3" s="10">
        <f>eth_ON!M3 - eth_OFF!M3 - AVERAGE(M$62:M$63)</f>
        <v>6.0500000000000398</v>
      </c>
      <c r="N3" s="10">
        <f>eth_ON!N3 - eth_OFF!N3 - AVERAGE(N$62:N$63)</f>
        <v>5.4000000000000057</v>
      </c>
      <c r="O3" s="10">
        <f>eth_ON!O3 - eth_OFF!O3 - AVERAGE(O$62:O$63)</f>
        <v>7.5000000000000284</v>
      </c>
      <c r="P3" s="10">
        <f>eth_ON!P3 - eth_OFF!P3 - AVERAGE(P$62:P$63)</f>
        <v>6.3000000000000398</v>
      </c>
      <c r="Q3" s="10">
        <f>eth_ON!Q3 - eth_OFF!Q3 - AVERAGE(Q$62:Q$63)</f>
        <v>5.5999999999999943</v>
      </c>
      <c r="R3" s="10">
        <f>eth_ON!R3 - eth_OFF!R3 - AVERAGE(R$62:R$63)</f>
        <v>4.9999999999999716</v>
      </c>
      <c r="S3" s="10">
        <f>eth_ON!S3 - eth_OFF!S3 - AVERAGE(S$62:S$63)</f>
        <v>4.3499999999999659</v>
      </c>
      <c r="T3" s="10" t="e">
        <f>eth_ON!T3 - eth_OFF!T3 - AVERAGE(T$62:T$63)</f>
        <v>#VALUE!</v>
      </c>
      <c r="U3" s="10">
        <f>eth_ON!U3 - eth_OFF!U3 - AVERAGE(U$62:U$63)</f>
        <v>6.5</v>
      </c>
      <c r="V3" s="10">
        <f>eth_ON!V3 - eth_OFF!V3 - AVERAGE(V$62:V$63)</f>
        <v>3.6000000000000227</v>
      </c>
      <c r="W3" s="10">
        <f>eth_ON!W3 - eth_OFF!W3 - AVERAGE(W$62:W$63)</f>
        <v>5.3000000000000398</v>
      </c>
      <c r="X3" s="10">
        <f>eth_ON!X3 - eth_OFF!X3 - AVERAGE(X$62:X$63)</f>
        <v>5.6999999999999318</v>
      </c>
      <c r="Y3" s="10">
        <f>eth_ON!Y3 - eth_OFF!Y3 - AVERAGE(Y$62:Y$63)</f>
        <v>4.7499999999999716</v>
      </c>
      <c r="Z3" s="10">
        <f>eth_ON!Z3 - eth_OFF!Z3 - AVERAGE(Z$62:Z$63)</f>
        <v>6.6999999999999602</v>
      </c>
      <c r="AA3" s="10">
        <f>eth_ON!AA3 - eth_OFF!AA3 - AVERAGE(AA$62:AA$63)</f>
        <v>5.3500000000000227</v>
      </c>
      <c r="AB3" s="10">
        <f>eth_ON!AB3 - eth_OFF!AB3 - AVERAGE(AB$62:AB$63)</f>
        <v>7.3000000000000398</v>
      </c>
      <c r="AC3" s="10">
        <f>eth_ON!AC3 - eth_OFF!AC3 - AVERAGE(AC$62:AC$63)</f>
        <v>6.4500000000000171</v>
      </c>
      <c r="AD3" s="10">
        <f>eth_ON!AD3 - eth_OFF!AD3 - AVERAGE(AD$62:AD$63)</f>
        <v>6.8499999999999659</v>
      </c>
      <c r="AE3" s="10">
        <f>eth_ON!AE3 - eth_OFF!AE3 - AVERAGE(AE$62:AE$63)</f>
        <v>6.9499999999999886</v>
      </c>
      <c r="AF3" s="10">
        <f>eth_ON!AF3 - eth_OFF!AF3 - AVERAGE(AF$62:AF$63)</f>
        <v>7.0000000000000284</v>
      </c>
      <c r="AG3" s="10">
        <f>eth_ON!AG3 - eth_OFF!AG3 - AVERAGE(AG$62:AG$63)</f>
        <v>5.6500000000000057</v>
      </c>
      <c r="AH3" s="10">
        <f>eth_ON!AH3 - eth_OFF!AH3 - AVERAGE(AH$62:AH$63)</f>
        <v>7.75</v>
      </c>
      <c r="AI3" s="10">
        <f>eth_ON!AI3 - eth_OFF!AI3 - AVERAGE(AI$62:AI$63)</f>
        <v>7.0499999999999829</v>
      </c>
      <c r="AJ3" s="10">
        <f>eth_ON!AJ3 - eth_OFF!AJ3 - AVERAGE(AJ$62:AJ$63)</f>
        <v>5.5500000000000114</v>
      </c>
      <c r="AK3" s="10">
        <f>eth_ON!AK3 - eth_OFF!AK3 - AVERAGE(AK$62:AK$63)</f>
        <v>6.7999999999999829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</row>
    <row r="4" spans="1:65">
      <c r="A4" s="30">
        <v>3</v>
      </c>
      <c r="B4" s="10">
        <f>eth_ON!B4 - eth_OFF!B4 - AVERAGE(B$62:B$63)</f>
        <v>12.849999999999966</v>
      </c>
      <c r="C4" s="10">
        <f>eth_ON!C4 - eth_OFF!C4 - AVERAGE(C$62:C$63)</f>
        <v>11.650000000000034</v>
      </c>
      <c r="D4" s="10">
        <f>eth_ON!D4 - eth_OFF!D4 - AVERAGE(D$62:D$63)</f>
        <v>14.44999999999996</v>
      </c>
      <c r="E4" s="10">
        <f>eth_ON!E4 - eth_OFF!E4 - AVERAGE(E$62:E$63)</f>
        <v>18.450000000000017</v>
      </c>
      <c r="F4" s="10">
        <f>eth_ON!F4 - eth_OFF!F4 - AVERAGE(F$62:F$63)</f>
        <v>16.999999999999972</v>
      </c>
      <c r="G4" s="10">
        <f>eth_ON!G4 - eth_OFF!G4 - AVERAGE(G$62:G$63)</f>
        <v>16.750000000000028</v>
      </c>
      <c r="H4" s="10">
        <f>eth_ON!H4 - eth_OFF!H4 - AVERAGE(H$62:H$63)</f>
        <v>18.249999999999972</v>
      </c>
      <c r="I4" s="10">
        <f>eth_ON!I4 - eth_OFF!I4 - AVERAGE(I$62:I$63)</f>
        <v>17.150000000000006</v>
      </c>
      <c r="J4" s="10">
        <f>eth_ON!J4 - eth_OFF!J4 - AVERAGE(J$62:J$63)</f>
        <v>18.350000000000023</v>
      </c>
      <c r="K4" s="10">
        <f>eth_ON!K4 - eth_OFF!K4 - AVERAGE(K$62:K$63)</f>
        <v>15.900000000000006</v>
      </c>
      <c r="L4" s="10">
        <f>eth_ON!L4 - eth_OFF!L4 - AVERAGE(L$62:L$63)</f>
        <v>14.950000000000017</v>
      </c>
      <c r="M4" s="10">
        <f>eth_ON!M4 - eth_OFF!M4 - AVERAGE(M$62:M$63)</f>
        <v>16.349999999999994</v>
      </c>
      <c r="N4" s="10">
        <f>eth_ON!N4 - eth_OFF!N4 - AVERAGE(N$62:N$63)</f>
        <v>17.400000000000006</v>
      </c>
      <c r="O4" s="10">
        <f>eth_ON!O4 - eth_OFF!O4 - AVERAGE(O$62:O$63)</f>
        <v>14.500000000000028</v>
      </c>
      <c r="P4" s="10">
        <f>eth_ON!P4 - eth_OFF!P4 - AVERAGE(P$62:P$63)</f>
        <v>18.299999999999983</v>
      </c>
      <c r="Q4" s="10">
        <f>eth_ON!Q4 - eth_OFF!Q4 - AVERAGE(Q$62:Q$63)</f>
        <v>12.000000000000028</v>
      </c>
      <c r="R4" s="10">
        <f>eth_ON!R4 - eth_OFF!R4 - AVERAGE(R$62:R$63)</f>
        <v>18.900000000000006</v>
      </c>
      <c r="S4" s="10">
        <f>eth_ON!S4 - eth_OFF!S4 - AVERAGE(S$62:S$63)</f>
        <v>20.25</v>
      </c>
      <c r="T4" s="10" t="e">
        <f>eth_ON!T4 - eth_OFF!T4 - AVERAGE(T$62:T$63)</f>
        <v>#VALUE!</v>
      </c>
      <c r="U4" s="10">
        <f>eth_ON!U4 - eth_OFF!U4 - AVERAGE(U$62:U$63)</f>
        <v>16</v>
      </c>
      <c r="V4" s="10">
        <f>eth_ON!V4 - eth_OFF!V4 - AVERAGE(V$62:V$63)</f>
        <v>13.900000000000034</v>
      </c>
      <c r="W4" s="10">
        <f>eth_ON!W4 - eth_OFF!W4 - AVERAGE(W$62:W$63)</f>
        <v>15.700000000000017</v>
      </c>
      <c r="X4" s="10">
        <f>eth_ON!X4 - eth_OFF!X4 - AVERAGE(X$62:X$63)</f>
        <v>16.599999999999966</v>
      </c>
      <c r="Y4" s="10">
        <f>eth_ON!Y4 - eth_OFF!Y4 - AVERAGE(Y$62:Y$63)</f>
        <v>17.450000000000017</v>
      </c>
      <c r="Z4" s="10">
        <f>eth_ON!Z4 - eth_OFF!Z4 - AVERAGE(Z$62:Z$63)</f>
        <v>17.099999999999994</v>
      </c>
      <c r="AA4" s="10">
        <f>eth_ON!AA4 - eth_OFF!AA4 - AVERAGE(AA$62:AA$63)</f>
        <v>20.849999999999966</v>
      </c>
      <c r="AB4" s="10">
        <f>eth_ON!AB4 - eth_OFF!AB4 - AVERAGE(AB$62:AB$63)</f>
        <v>19.400000000000006</v>
      </c>
      <c r="AC4" s="10">
        <f>eth_ON!AC4 - eth_OFF!AC4 - AVERAGE(AC$62:AC$63)</f>
        <v>19.450000000000017</v>
      </c>
      <c r="AD4" s="10">
        <f>eth_ON!AD4 - eth_OFF!AD4 - AVERAGE(AD$62:AD$63)</f>
        <v>16.75</v>
      </c>
      <c r="AE4" s="10">
        <f>eth_ON!AE4 - eth_OFF!AE4 - AVERAGE(AE$62:AE$63)</f>
        <v>18.149999999999977</v>
      </c>
      <c r="AF4" s="10">
        <f>eth_ON!AF4 - eth_OFF!AF4 - AVERAGE(AF$62:AF$63)</f>
        <v>21.700000000000017</v>
      </c>
      <c r="AG4" s="10">
        <f>eth_ON!AG4 - eth_OFF!AG4 - AVERAGE(AG$62:AG$63)</f>
        <v>19.549999999999983</v>
      </c>
      <c r="AH4" s="10">
        <f>eth_ON!AH4 - eth_OFF!AH4 - AVERAGE(AH$62:AH$63)</f>
        <v>21.949999999999989</v>
      </c>
      <c r="AI4" s="10">
        <f>eth_ON!AI4 - eth_OFF!AI4 - AVERAGE(AI$62:AI$63)</f>
        <v>22.650000000000006</v>
      </c>
      <c r="AJ4" s="10">
        <f>eth_ON!AJ4 - eth_OFF!AJ4 - AVERAGE(AJ$62:AJ$63)</f>
        <v>20.049999999999955</v>
      </c>
      <c r="AK4" s="10">
        <f>eth_ON!AK4 - eth_OFF!AK4 - AVERAGE(AK$62:AK$63)</f>
        <v>21.099999999999994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spans="1:65">
      <c r="A5" s="30">
        <v>4</v>
      </c>
      <c r="B5" s="10">
        <f>eth_ON!B5 - eth_OFF!B5 - AVERAGE(B$62:B$63)</f>
        <v>12.049999999999955</v>
      </c>
      <c r="C5" s="10">
        <f>eth_ON!C5 - eth_OFF!C5 - AVERAGE(C$62:C$63)</f>
        <v>8.1500000000000341</v>
      </c>
      <c r="D5" s="10">
        <f>eth_ON!D5 - eth_OFF!D5 - AVERAGE(D$62:D$63)</f>
        <v>8.8499999999999943</v>
      </c>
      <c r="E5" s="10">
        <f>eth_ON!E5 - eth_OFF!E5 - AVERAGE(E$62:E$63)</f>
        <v>12.149999999999949</v>
      </c>
      <c r="F5" s="10">
        <f>eth_ON!F5 - eth_OFF!F5 - AVERAGE(F$62:F$63)</f>
        <v>12.500000000000028</v>
      </c>
      <c r="G5" s="10">
        <f>eth_ON!G5 - eth_OFF!G5 - AVERAGE(G$62:G$63)</f>
        <v>12.349999999999994</v>
      </c>
      <c r="H5" s="10">
        <f>eth_ON!H5 - eth_OFF!H5 - AVERAGE(H$62:H$63)</f>
        <v>16.950000000000017</v>
      </c>
      <c r="I5" s="10">
        <f>eth_ON!I5 - eth_OFF!I5 - AVERAGE(I$62:I$63)</f>
        <v>16.150000000000006</v>
      </c>
      <c r="J5" s="10">
        <f>eth_ON!J5 - eth_OFF!J5 - AVERAGE(J$62:J$63)</f>
        <v>18.449999999999989</v>
      </c>
      <c r="K5" s="10">
        <f>eth_ON!K5 - eth_OFF!K5 - AVERAGE(K$62:K$63)</f>
        <v>18.400000000000006</v>
      </c>
      <c r="L5" s="10">
        <f>eth_ON!L5 - eth_OFF!L5 - AVERAGE(L$62:L$63)</f>
        <v>16.950000000000017</v>
      </c>
      <c r="M5" s="10">
        <f>eth_ON!M5 - eth_OFF!M5 - AVERAGE(M$62:M$63)</f>
        <v>16.150000000000006</v>
      </c>
      <c r="N5" s="10">
        <f>eth_ON!N5 - eth_OFF!N5 - AVERAGE(N$62:N$63)</f>
        <v>18.700000000000017</v>
      </c>
      <c r="O5" s="10">
        <f>eth_ON!O5 - eth_OFF!O5 - AVERAGE(O$62:O$63)</f>
        <v>17.400000000000006</v>
      </c>
      <c r="P5" s="10">
        <f>eth_ON!P5 - eth_OFF!P5 - AVERAGE(P$62:P$63)</f>
        <v>18.999999999999972</v>
      </c>
      <c r="Q5" s="10">
        <f>eth_ON!Q5 - eth_OFF!Q5 - AVERAGE(Q$62:Q$63)</f>
        <v>17.500000000000028</v>
      </c>
      <c r="R5" s="10">
        <f>eth_ON!R5 - eth_OFF!R5 - AVERAGE(R$62:R$63)</f>
        <v>16.900000000000006</v>
      </c>
      <c r="S5" s="10">
        <f>eth_ON!S5 - eth_OFF!S5 - AVERAGE(S$62:S$63)</f>
        <v>17.349999999999966</v>
      </c>
      <c r="T5" s="10" t="e">
        <f>eth_ON!T5 - eth_OFF!T5 - AVERAGE(T$62:T$63)</f>
        <v>#VALUE!</v>
      </c>
      <c r="U5" s="10">
        <f>eth_ON!U5 - eth_OFF!U5 - AVERAGE(U$62:U$63)</f>
        <v>17.699999999999989</v>
      </c>
      <c r="V5" s="10">
        <f>eth_ON!V5 - eth_OFF!V5 - AVERAGE(V$62:V$63)</f>
        <v>18.500000000000057</v>
      </c>
      <c r="W5" s="10">
        <f>eth_ON!W5 - eth_OFF!W5 - AVERAGE(W$62:W$63)</f>
        <v>17.19999999999996</v>
      </c>
      <c r="X5" s="10">
        <f>eth_ON!X5 - eth_OFF!X5 - AVERAGE(X$62:X$63)</f>
        <v>18.100000000000023</v>
      </c>
      <c r="Y5" s="10">
        <f>eth_ON!Y5 - eth_OFF!Y5 - AVERAGE(Y$62:Y$63)</f>
        <v>17.450000000000017</v>
      </c>
      <c r="Z5" s="10">
        <f>eth_ON!Z5 - eth_OFF!Z5 - AVERAGE(Z$62:Z$63)</f>
        <v>17.599999999999994</v>
      </c>
      <c r="AA5" s="10">
        <f>eth_ON!AA5 - eth_OFF!AA5 - AVERAGE(AA$62:AA$63)</f>
        <v>23.25</v>
      </c>
      <c r="AB5" s="10">
        <f>eth_ON!AB5 - eth_OFF!AB5 - AVERAGE(AB$62:AB$63)</f>
        <v>14.19999999999996</v>
      </c>
      <c r="AC5" s="10">
        <f>eth_ON!AC5 - eth_OFF!AC5 - AVERAGE(AC$62:AC$63)</f>
        <v>17.150000000000063</v>
      </c>
      <c r="AD5" s="10">
        <f>eth_ON!AD5 - eth_OFF!AD5 - AVERAGE(AD$62:AD$63)</f>
        <v>18.149999999999977</v>
      </c>
      <c r="AE5" s="10">
        <f>eth_ON!AE5 - eth_OFF!AE5 - AVERAGE(AE$62:AE$63)</f>
        <v>16.850000000000023</v>
      </c>
      <c r="AF5" s="10">
        <f>eth_ON!AF5 - eth_OFF!AF5 - AVERAGE(AF$62:AF$63)</f>
        <v>17.30000000000004</v>
      </c>
      <c r="AG5" s="10">
        <f>eth_ON!AG5 - eth_OFF!AG5 - AVERAGE(AG$62:AG$63)</f>
        <v>16.049999999999983</v>
      </c>
      <c r="AH5" s="10">
        <f>eth_ON!AH5 - eth_OFF!AH5 - AVERAGE(AH$62:AH$63)</f>
        <v>16.75</v>
      </c>
      <c r="AI5" s="10">
        <f>eth_ON!AI5 - eth_OFF!AI5 - AVERAGE(AI$62:AI$63)</f>
        <v>17.349999999999994</v>
      </c>
      <c r="AJ5" s="10">
        <f>eth_ON!AJ5 - eth_OFF!AJ5 - AVERAGE(AJ$62:AJ$63)</f>
        <v>17.949999999999989</v>
      </c>
      <c r="AK5" s="10">
        <f>eth_ON!AK5 - eth_OFF!AK5 - AVERAGE(AK$62:AK$63)</f>
        <v>18.299999999999983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65">
      <c r="A6" s="30">
        <v>5</v>
      </c>
      <c r="B6" s="10">
        <f>eth_ON!B6 - eth_OFF!B6 - AVERAGE(B$62:B$63)</f>
        <v>1.3499999999999659</v>
      </c>
      <c r="C6" s="10">
        <f>eth_ON!C6 - eth_OFF!C6 - AVERAGE(C$62:C$63)</f>
        <v>-0.24999999999994316</v>
      </c>
      <c r="D6" s="10">
        <f>eth_ON!D6 - eth_OFF!D6 - AVERAGE(D$62:D$63)</f>
        <v>0.84999999999999432</v>
      </c>
      <c r="E6" s="10">
        <f>eth_ON!E6 - eth_OFF!E6 - AVERAGE(E$62:E$63)</f>
        <v>5.000000000003979E-2</v>
      </c>
      <c r="F6" s="10">
        <f>eth_ON!F6 - eth_OFF!F6 - AVERAGE(F$62:F$63)</f>
        <v>-9.9999999999994316E-2</v>
      </c>
      <c r="G6" s="10">
        <f>eth_ON!G6 - eth_OFF!G6 - AVERAGE(G$62:G$63)</f>
        <v>5.000000000003979E-2</v>
      </c>
      <c r="H6" s="10">
        <f>eth_ON!H6 - eth_OFF!H6 - AVERAGE(H$62:H$63)</f>
        <v>0.15000000000000568</v>
      </c>
      <c r="I6" s="10">
        <f>eth_ON!I6 - eth_OFF!I6 - AVERAGE(I$62:I$63)</f>
        <v>0.65000000000000568</v>
      </c>
      <c r="J6" s="10">
        <f>eth_ON!J6 - eth_OFF!J6 - AVERAGE(J$62:J$63)</f>
        <v>0.64999999999997726</v>
      </c>
      <c r="K6" s="10">
        <f>eth_ON!K6 - eth_OFF!K6 - AVERAGE(K$62:K$63)</f>
        <v>2.8421709430404007E-14</v>
      </c>
      <c r="L6" s="10">
        <f>eth_ON!L6 - eth_OFF!L6 - AVERAGE(L$62:L$63)</f>
        <v>0.15000000000000568</v>
      </c>
      <c r="M6" s="10">
        <f>eth_ON!M6 - eth_OFF!M6 - AVERAGE(M$62:M$63)</f>
        <v>0.84999999999999432</v>
      </c>
      <c r="N6" s="10">
        <f>eth_ON!N6 - eth_OFF!N6 - AVERAGE(N$62:N$63)</f>
        <v>2.8421709430404007E-14</v>
      </c>
      <c r="O6" s="10">
        <f>eth_ON!O6 - eth_OFF!O6 - AVERAGE(O$62:O$63)</f>
        <v>-9.9999999999994316E-2</v>
      </c>
      <c r="P6" s="10">
        <f>eth_ON!P6 - eth_OFF!P6 - AVERAGE(P$62:P$63)</f>
        <v>9.9999999999994316E-2</v>
      </c>
      <c r="Q6" s="10">
        <f>eth_ON!Q6 - eth_OFF!Q6 - AVERAGE(Q$62:Q$63)</f>
        <v>0.10000000000005116</v>
      </c>
      <c r="R6" s="10">
        <f>eth_ON!R6 - eth_OFF!R6 - AVERAGE(R$62:R$63)</f>
        <v>8.5265128291212022E-14</v>
      </c>
      <c r="S6" s="10">
        <f>eth_ON!S6 - eth_OFF!S6 - AVERAGE(S$62:S$63)</f>
        <v>0.85000000000002274</v>
      </c>
      <c r="T6" s="10" t="e">
        <f>eth_ON!T6 - eth_OFF!T6 - AVERAGE(T$62:T$63)</f>
        <v>#VALUE!</v>
      </c>
      <c r="U6" s="10">
        <f>eth_ON!U6 - eth_OFF!U6 - AVERAGE(U$62:U$63)</f>
        <v>0</v>
      </c>
      <c r="V6" s="10">
        <f>eth_ON!V6 - eth_OFF!V6 - AVERAGE(V$62:V$63)</f>
        <v>10.199999999999989</v>
      </c>
      <c r="W6" s="10">
        <f>eth_ON!W6 - eth_OFF!W6 - AVERAGE(W$62:W$63)</f>
        <v>-0.50000000000002842</v>
      </c>
      <c r="X6" s="10">
        <f>eth_ON!X6 - eth_OFF!X6 - AVERAGE(X$62:X$63)</f>
        <v>-0.30000000000001137</v>
      </c>
      <c r="Y6" s="10">
        <f>eth_ON!Y6 - eth_OFF!Y6 - AVERAGE(Y$62:Y$63)</f>
        <v>-0.14999999999994884</v>
      </c>
      <c r="Z6" s="10">
        <f>eth_ON!Z6 - eth_OFF!Z6 - AVERAGE(Z$62:Z$63)</f>
        <v>0.20000000000001705</v>
      </c>
      <c r="AA6" s="10">
        <f>eth_ON!AA6 - eth_OFF!AA6 - AVERAGE(AA$62:AA$63)</f>
        <v>0.34999999999996589</v>
      </c>
      <c r="AB6" s="10">
        <f>eth_ON!AB6 - eth_OFF!AB6 - AVERAGE(AB$62:AB$63)</f>
        <v>0.59999999999999432</v>
      </c>
      <c r="AC6" s="10">
        <f>eth_ON!AC6 - eth_OFF!AC6 - AVERAGE(AC$62:AC$63)</f>
        <v>0.45000000000001705</v>
      </c>
      <c r="AD6" s="10">
        <f>eth_ON!AD6 - eth_OFF!AD6 - AVERAGE(AD$62:AD$63)</f>
        <v>-0.15000000000003411</v>
      </c>
      <c r="AE6" s="10">
        <f>eth_ON!AE6 - eth_OFF!AE6 - AVERAGE(AE$62:AE$63)</f>
        <v>0.35000000000002274</v>
      </c>
      <c r="AF6" s="10">
        <f>eth_ON!AF6 - eth_OFF!AF6 - AVERAGE(AF$62:AF$63)</f>
        <v>9.9999999999994316E-2</v>
      </c>
      <c r="AG6" s="10">
        <f>eth_ON!AG6 - eth_OFF!AG6 - AVERAGE(AG$62:AG$63)</f>
        <v>0.34999999999999432</v>
      </c>
      <c r="AH6" s="10">
        <f>eth_ON!AH6 - eth_OFF!AH6 - AVERAGE(AH$62:AH$63)</f>
        <v>0.14999999999997726</v>
      </c>
      <c r="AI6" s="10">
        <f>eth_ON!AI6 - eth_OFF!AI6 - AVERAGE(AI$62:AI$63)</f>
        <v>0.15000000000000568</v>
      </c>
      <c r="AJ6" s="10">
        <f>eth_ON!AJ6 - eth_OFF!AJ6 - AVERAGE(AJ$62:AJ$63)</f>
        <v>-5.0000000000011369E-2</v>
      </c>
      <c r="AK6" s="10">
        <f>eth_ON!AK6 - eth_OFF!AK6 - AVERAGE(AK$62:AK$63)</f>
        <v>2.8421709430404007E-14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</row>
    <row r="7" spans="1:65">
      <c r="A7" s="30">
        <v>6</v>
      </c>
      <c r="B7" s="10">
        <f>eth_ON!B7 - eth_OFF!B7 - AVERAGE(B$62:B$63)</f>
        <v>16.949999999999989</v>
      </c>
      <c r="C7" s="10">
        <f>eth_ON!C7 - eth_OFF!C7 - AVERAGE(C$62:C$63)</f>
        <v>6.8500000000000227</v>
      </c>
      <c r="D7" s="10">
        <f>eth_ON!D7 - eth_OFF!D7 - AVERAGE(D$62:D$63)</f>
        <v>9.2499999999999716</v>
      </c>
      <c r="E7" s="10">
        <f>eth_ON!E7 - eth_OFF!E7 - AVERAGE(E$62:E$63)</f>
        <v>11.849999999999994</v>
      </c>
      <c r="F7" s="10">
        <f>eth_ON!F7 - eth_OFF!F7 - AVERAGE(F$62:F$63)</f>
        <v>16.400000000000006</v>
      </c>
      <c r="G7" s="10">
        <f>eth_ON!G7 - eth_OFF!G7 - AVERAGE(G$62:G$63)</f>
        <v>16.250000000000028</v>
      </c>
      <c r="H7" s="10">
        <f>eth_ON!H7 - eth_OFF!H7 - AVERAGE(H$62:H$63)</f>
        <v>14.650000000000006</v>
      </c>
      <c r="I7" s="10">
        <f>eth_ON!I7 - eth_OFF!I7 - AVERAGE(I$62:I$63)</f>
        <v>13.749999999999972</v>
      </c>
      <c r="J7" s="10">
        <f>eth_ON!J7 - eth_OFF!J7 - AVERAGE(J$62:J$63)</f>
        <v>11.949999999999989</v>
      </c>
      <c r="K7" s="10">
        <f>eth_ON!K7 - eth_OFF!K7 - AVERAGE(K$62:K$63)</f>
        <v>14.599999999999994</v>
      </c>
      <c r="L7" s="10">
        <f>eth_ON!L7 - eth_OFF!L7 - AVERAGE(L$62:L$63)</f>
        <v>15.55000000000004</v>
      </c>
      <c r="M7" s="10">
        <f>eth_ON!M7 - eth_OFF!M7 - AVERAGE(M$62:M$63)</f>
        <v>6.6500000000000057</v>
      </c>
      <c r="N7" s="10">
        <f>eth_ON!N7 - eth_OFF!N7 - AVERAGE(N$62:N$63)</f>
        <v>9.2000000000000171</v>
      </c>
      <c r="O7" s="10">
        <f>eth_ON!O7 - eth_OFF!O7 - AVERAGE(O$62:O$63)</f>
        <v>4.9999999999999716</v>
      </c>
      <c r="P7" s="10">
        <f>eth_ON!P7 - eth_OFF!P7 - AVERAGE(P$62:P$63)</f>
        <v>5.5999999999999943</v>
      </c>
      <c r="Q7" s="10">
        <f>eth_ON!Q7 - eth_OFF!Q7 - AVERAGE(Q$62:Q$63)</f>
        <v>3.7000000000000171</v>
      </c>
      <c r="R7" s="10">
        <f>eth_ON!R7 - eth_OFF!R7 - AVERAGE(R$62:R$63)</f>
        <v>6.0000000000000853</v>
      </c>
      <c r="S7" s="10">
        <f>eth_ON!S7 - eth_OFF!S7 - AVERAGE(S$62:S$63)</f>
        <v>7.1499999999999204</v>
      </c>
      <c r="T7" s="10" t="e">
        <f>eth_ON!T7 - eth_OFF!T7 - AVERAGE(T$62:T$63)</f>
        <v>#VALUE!</v>
      </c>
      <c r="U7" s="10">
        <f>eth_ON!U7 - eth_OFF!U7 - AVERAGE(U$62:U$63)</f>
        <v>9.6000000000000227</v>
      </c>
      <c r="V7" s="10">
        <f>eth_ON!V7 - eth_OFF!V7 - AVERAGE(V$62:V$63)</f>
        <v>9.4000000000000341</v>
      </c>
      <c r="W7" s="10">
        <f>eth_ON!W7 - eth_OFF!W7 - AVERAGE(W$62:W$63)</f>
        <v>13.19999999999996</v>
      </c>
      <c r="X7" s="10">
        <f>eth_ON!X7 - eth_OFF!X7 - AVERAGE(X$62:X$63)</f>
        <v>9.7999999999999545</v>
      </c>
      <c r="Y7" s="10">
        <f>eth_ON!Y7 - eth_OFF!Y7 - AVERAGE(Y$62:Y$63)</f>
        <v>12.450000000000017</v>
      </c>
      <c r="Z7" s="10">
        <f>eth_ON!Z7 - eth_OFF!Z7 - AVERAGE(Z$62:Z$63)</f>
        <v>6.2999999999999829</v>
      </c>
      <c r="AA7" s="10">
        <f>eth_ON!AA7 - eth_OFF!AA7 - AVERAGE(AA$62:AA$63)</f>
        <v>10.050000000000011</v>
      </c>
      <c r="AB7" s="10">
        <f>eth_ON!AB7 - eth_OFF!AB7 - AVERAGE(AB$62:AB$63)</f>
        <v>10.999999999999972</v>
      </c>
      <c r="AC7" s="10">
        <f>eth_ON!AC7 - eth_OFF!AC7 - AVERAGE(AC$62:AC$63)</f>
        <v>14.250000000000028</v>
      </c>
      <c r="AD7" s="10">
        <f>eth_ON!AD7 - eth_OFF!AD7 - AVERAGE(AD$62:AD$63)</f>
        <v>13.75</v>
      </c>
      <c r="AE7" s="10">
        <f>eth_ON!AE7 - eth_OFF!AE7 - AVERAGE(AE$62:AE$63)</f>
        <v>13.149999999999977</v>
      </c>
      <c r="AF7" s="10">
        <f>eth_ON!AF7 - eth_OFF!AF7 - AVERAGE(AF$62:AF$63)</f>
        <v>15.500000000000028</v>
      </c>
      <c r="AG7" s="10">
        <f>eth_ON!AG7 - eth_OFF!AG7 - AVERAGE(AG$62:AG$63)</f>
        <v>12.450000000000017</v>
      </c>
      <c r="AH7" s="10">
        <f>eth_ON!AH7 - eth_OFF!AH7 - AVERAGE(AH$62:AH$63)</f>
        <v>15.249999999999943</v>
      </c>
      <c r="AI7" s="10">
        <f>eth_ON!AI7 - eth_OFF!AI7 - AVERAGE(AI$62:AI$63)</f>
        <v>14.250000000000028</v>
      </c>
      <c r="AJ7" s="10">
        <f>eth_ON!AJ7 - eth_OFF!AJ7 - AVERAGE(AJ$62:AJ$63)</f>
        <v>14.949999999999989</v>
      </c>
      <c r="AK7" s="10">
        <f>eth_ON!AK7 - eth_OFF!AK7 - AVERAGE(AK$62:AK$63)</f>
        <v>17.099999999999994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1:65">
      <c r="A8" s="30">
        <v>7</v>
      </c>
      <c r="B8" s="10">
        <f>eth_ON!B8 - eth_OFF!B8 - AVERAGE(B$62:B$63)</f>
        <v>14.349999999999966</v>
      </c>
      <c r="C8" s="10">
        <f>eth_ON!C8 - eth_OFF!C8 - AVERAGE(C$62:C$63)</f>
        <v>5.5500000000000114</v>
      </c>
      <c r="D8" s="10">
        <f>eth_ON!D8 - eth_OFF!D8 - AVERAGE(D$62:D$63)</f>
        <v>12.749999999999972</v>
      </c>
      <c r="E8" s="10">
        <f>eth_ON!E8 - eth_OFF!E8 - AVERAGE(E$62:E$63)</f>
        <v>14.150000000000006</v>
      </c>
      <c r="F8" s="10">
        <f>eth_ON!F8 - eth_OFF!F8 - AVERAGE(F$62:F$63)</f>
        <v>15.099999999999994</v>
      </c>
      <c r="G8" s="10">
        <f>eth_ON!G8 - eth_OFF!G8 - AVERAGE(G$62:G$63)</f>
        <v>13.450000000000017</v>
      </c>
      <c r="H8" s="10">
        <f>eth_ON!H8 - eth_OFF!H8 - AVERAGE(H$62:H$63)</f>
        <v>16.049999999999983</v>
      </c>
      <c r="I8" s="10">
        <f>eth_ON!I8 - eth_OFF!I8 - AVERAGE(I$62:I$63)</f>
        <v>13.94999999999996</v>
      </c>
      <c r="J8" s="10">
        <f>eth_ON!J8 - eth_OFF!J8 - AVERAGE(J$62:J$63)</f>
        <v>15.850000000000023</v>
      </c>
      <c r="K8" s="10">
        <f>eth_ON!K8 - eth_OFF!K8 - AVERAGE(K$62:K$63)</f>
        <v>15.799999999999983</v>
      </c>
      <c r="L8" s="10">
        <f>eth_ON!L8 - eth_OFF!L8 - AVERAGE(L$62:L$63)</f>
        <v>16.549999999999983</v>
      </c>
      <c r="M8" s="10">
        <f>eth_ON!M8 - eth_OFF!M8 - AVERAGE(M$62:M$63)</f>
        <v>13.450000000000017</v>
      </c>
      <c r="N8" s="10">
        <f>eth_ON!N8 - eth_OFF!N8 - AVERAGE(N$62:N$63)</f>
        <v>14.400000000000006</v>
      </c>
      <c r="O8" s="10">
        <f>eth_ON!O8 - eth_OFF!O8 - AVERAGE(O$62:O$63)</f>
        <v>14.700000000000017</v>
      </c>
      <c r="P8" s="10">
        <f>eth_ON!P8 - eth_OFF!P8 - AVERAGE(P$62:P$63)</f>
        <v>15.200000000000017</v>
      </c>
      <c r="Q8" s="10">
        <f>eth_ON!Q8 - eth_OFF!Q8 - AVERAGE(Q$62:Q$63)</f>
        <v>15.299999999999983</v>
      </c>
      <c r="R8" s="10">
        <f>eth_ON!R8 - eth_OFF!R8 - AVERAGE(R$62:R$63)</f>
        <v>18.900000000000063</v>
      </c>
      <c r="S8" s="10">
        <f>eth_ON!S8 - eth_OFF!S8 - AVERAGE(S$62:S$63)</f>
        <v>14.049999999999955</v>
      </c>
      <c r="T8" s="10" t="e">
        <f>eth_ON!T8 - eth_OFF!T8 - AVERAGE(T$62:T$63)</f>
        <v>#VALUE!</v>
      </c>
      <c r="U8" s="10">
        <f>eth_ON!U8 - eth_OFF!U8 - AVERAGE(U$62:U$63)</f>
        <v>15</v>
      </c>
      <c r="V8" s="10">
        <f>eth_ON!V8 - eth_OFF!V8 - AVERAGE(V$62:V$63)</f>
        <v>17.800000000000068</v>
      </c>
      <c r="W8" s="10">
        <f>eth_ON!W8 - eth_OFF!W8 - AVERAGE(W$62:W$63)</f>
        <v>16.099999999999994</v>
      </c>
      <c r="X8" s="10">
        <f>eth_ON!X8 - eth_OFF!X8 - AVERAGE(X$62:X$63)</f>
        <v>18.599999999999966</v>
      </c>
      <c r="Y8" s="10">
        <f>eth_ON!Y8 - eth_OFF!Y8 - AVERAGE(Y$62:Y$63)</f>
        <v>19.05000000000004</v>
      </c>
      <c r="Z8" s="10">
        <f>eth_ON!Z8 - eth_OFF!Z8 - AVERAGE(Z$62:Z$63)</f>
        <v>20.400000000000006</v>
      </c>
      <c r="AA8" s="10">
        <f>eth_ON!AA8 - eth_OFF!AA8 - AVERAGE(AA$62:AA$63)</f>
        <v>17.649999999999977</v>
      </c>
      <c r="AB8" s="10">
        <f>eth_ON!AB8 - eth_OFF!AB8 - AVERAGE(AB$62:AB$63)</f>
        <v>17.599999999999994</v>
      </c>
      <c r="AC8" s="10">
        <f>eth_ON!AC8 - eth_OFF!AC8 - AVERAGE(AC$62:AC$63)</f>
        <v>21.150000000000006</v>
      </c>
      <c r="AD8" s="10">
        <f>eth_ON!AD8 - eth_OFF!AD8 - AVERAGE(AD$62:AD$63)</f>
        <v>18.550000000000011</v>
      </c>
      <c r="AE8" s="10">
        <f>eth_ON!AE8 - eth_OFF!AE8 - AVERAGE(AE$62:AE$63)</f>
        <v>19.149999999999977</v>
      </c>
      <c r="AF8" s="10">
        <f>eth_ON!AF8 - eth_OFF!AF8 - AVERAGE(AF$62:AF$63)</f>
        <v>16.599999999999994</v>
      </c>
      <c r="AG8" s="10">
        <f>eth_ON!AG8 - eth_OFF!AG8 - AVERAGE(AG$62:AG$63)</f>
        <v>16.349999999999994</v>
      </c>
      <c r="AH8" s="10">
        <f>eth_ON!AH8 - eth_OFF!AH8 - AVERAGE(AH$62:AH$63)</f>
        <v>19.25</v>
      </c>
      <c r="AI8" s="10">
        <f>eth_ON!AI8 - eth_OFF!AI8 - AVERAGE(AI$62:AI$63)</f>
        <v>20.349999999999994</v>
      </c>
      <c r="AJ8" s="10">
        <f>eth_ON!AJ8 - eth_OFF!AJ8 - AVERAGE(AJ$62:AJ$63)</f>
        <v>18.550000000000011</v>
      </c>
      <c r="AK8" s="10">
        <f>eth_ON!AK8 - eth_OFF!AK8 - AVERAGE(AK$62:AK$63)</f>
        <v>18.400000000000006</v>
      </c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</row>
    <row r="9" spans="1:65">
      <c r="A9" s="30">
        <v>8</v>
      </c>
      <c r="B9" s="10">
        <f>eth_ON!B9 - eth_OFF!B9 - AVERAGE(B$62:B$63)</f>
        <v>20.849999999999966</v>
      </c>
      <c r="C9" s="10">
        <f>eth_ON!C9 - eth_OFF!C9 - AVERAGE(C$62:C$63)</f>
        <v>15.25</v>
      </c>
      <c r="D9" s="10">
        <f>eth_ON!D9 - eth_OFF!D9 - AVERAGE(D$62:D$63)</f>
        <v>15.049999999999983</v>
      </c>
      <c r="E9" s="10">
        <f>eth_ON!E9 - eth_OFF!E9 - AVERAGE(E$62:E$63)</f>
        <v>20.149999999999949</v>
      </c>
      <c r="F9" s="10">
        <f>eth_ON!F9 - eth_OFF!F9 - AVERAGE(F$62:F$63)</f>
        <v>14.500000000000028</v>
      </c>
      <c r="G9" s="10">
        <f>eth_ON!G9 - eth_OFF!G9 - AVERAGE(G$62:G$63)</f>
        <v>17.55000000000004</v>
      </c>
      <c r="H9" s="10">
        <f>eth_ON!H9 - eth_OFF!H9 - AVERAGE(H$62:H$63)</f>
        <v>17.250000000000028</v>
      </c>
      <c r="I9" s="10">
        <f>eth_ON!I9 - eth_OFF!I9 - AVERAGE(I$62:I$63)</f>
        <v>15.450000000000017</v>
      </c>
      <c r="J9" s="10">
        <f>eth_ON!J9 - eth_OFF!J9 - AVERAGE(J$62:J$63)</f>
        <v>15.949999999999989</v>
      </c>
      <c r="K9" s="10">
        <f>eth_ON!K9 - eth_OFF!K9 - AVERAGE(K$62:K$63)</f>
        <v>16.500000000000028</v>
      </c>
      <c r="L9" s="10">
        <f>eth_ON!L9 - eth_OFF!L9 - AVERAGE(L$62:L$63)</f>
        <v>15.55000000000004</v>
      </c>
      <c r="M9" s="10">
        <f>eth_ON!M9 - eth_OFF!M9 - AVERAGE(M$62:M$63)</f>
        <v>15.150000000000006</v>
      </c>
      <c r="N9" s="10">
        <f>eth_ON!N9 - eth_OFF!N9 - AVERAGE(N$62:N$63)</f>
        <v>18.400000000000006</v>
      </c>
      <c r="O9" s="10">
        <f>eth_ON!O9 - eth_OFF!O9 - AVERAGE(O$62:O$63)</f>
        <v>15.200000000000017</v>
      </c>
      <c r="P9" s="10">
        <f>eth_ON!P9 - eth_OFF!P9 - AVERAGE(P$62:P$63)</f>
        <v>20.099999999999994</v>
      </c>
      <c r="Q9" s="10">
        <f>eth_ON!Q9 - eth_OFF!Q9 - AVERAGE(Q$62:Q$63)</f>
        <v>16.700000000000017</v>
      </c>
      <c r="R9" s="10">
        <f>eth_ON!R9 - eth_OFF!R9 - AVERAGE(R$62:R$63)</f>
        <v>18.000000000000028</v>
      </c>
      <c r="S9" s="10">
        <f>eth_ON!S9 - eth_OFF!S9 - AVERAGE(S$62:S$63)</f>
        <v>16.349999999999909</v>
      </c>
      <c r="T9" s="10" t="e">
        <f>eth_ON!T9 - eth_OFF!T9 - AVERAGE(T$62:T$63)</f>
        <v>#VALUE!</v>
      </c>
      <c r="U9" s="10">
        <f>eth_ON!U9 - eth_OFF!U9 - AVERAGE(U$62:U$63)</f>
        <v>17</v>
      </c>
      <c r="V9" s="10">
        <f>eth_ON!V9 - eth_OFF!V9 - AVERAGE(V$62:V$63)</f>
        <v>18.000000000000057</v>
      </c>
      <c r="W9" s="10">
        <f>eth_ON!W9 - eth_OFF!W9 - AVERAGE(W$62:W$63)</f>
        <v>17.200000000000017</v>
      </c>
      <c r="X9" s="10">
        <f>eth_ON!X9 - eth_OFF!X9 - AVERAGE(X$62:X$63)</f>
        <v>14.199999999999989</v>
      </c>
      <c r="Y9" s="10">
        <f>eth_ON!Y9 - eth_OFF!Y9 - AVERAGE(Y$62:Y$63)</f>
        <v>19.249999999999972</v>
      </c>
      <c r="Z9" s="10">
        <f>eth_ON!Z9 - eth_OFF!Z9 - AVERAGE(Z$62:Z$63)</f>
        <v>17.19999999999996</v>
      </c>
      <c r="AA9" s="10">
        <f>eth_ON!AA9 - eth_OFF!AA9 - AVERAGE(AA$62:AA$63)</f>
        <v>18.149999999999977</v>
      </c>
      <c r="AB9" s="10">
        <f>eth_ON!AB9 - eth_OFF!AB9 - AVERAGE(AB$62:AB$63)</f>
        <v>17.599999999999994</v>
      </c>
      <c r="AC9" s="10">
        <f>eth_ON!AC9 - eth_OFF!AC9 - AVERAGE(AC$62:AC$63)</f>
        <v>17.950000000000017</v>
      </c>
      <c r="AD9" s="10">
        <f>eth_ON!AD9 - eth_OFF!AD9 - AVERAGE(AD$62:AD$63)</f>
        <v>19.25</v>
      </c>
      <c r="AE9" s="10">
        <f>eth_ON!AE9 - eth_OFF!AE9 - AVERAGE(AE$62:AE$63)</f>
        <v>17.350000000000023</v>
      </c>
      <c r="AF9" s="10">
        <f>eth_ON!AF9 - eth_OFF!AF9 - AVERAGE(AF$62:AF$63)</f>
        <v>19.500000000000028</v>
      </c>
      <c r="AG9" s="10">
        <f>eth_ON!AG9 - eth_OFF!AG9 - AVERAGE(AG$62:AG$63)</f>
        <v>21.250000000000028</v>
      </c>
      <c r="AH9" s="10">
        <f>eth_ON!AH9 - eth_OFF!AH9 - AVERAGE(AH$62:AH$63)</f>
        <v>18.850000000000023</v>
      </c>
      <c r="AI9" s="10">
        <f>eth_ON!AI9 - eth_OFF!AI9 - AVERAGE(AI$62:AI$63)</f>
        <v>21.150000000000006</v>
      </c>
      <c r="AJ9" s="10">
        <f>eth_ON!AJ9 - eth_OFF!AJ9 - AVERAGE(AJ$62:AJ$63)</f>
        <v>19.350000000000023</v>
      </c>
      <c r="AK9" s="10">
        <f>eth_ON!AK9 - eth_OFF!AK9 - AVERAGE(AK$62:AK$63)</f>
        <v>18.299999999999983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</row>
    <row r="10" spans="1:65">
      <c r="A10" s="30">
        <v>9</v>
      </c>
      <c r="B10" s="10">
        <f>eth_ON!B10 - eth_OFF!B10 - AVERAGE(B$62:B$63)</f>
        <v>1.5500000000000114</v>
      </c>
      <c r="C10" s="10">
        <f>eth_ON!C10 - eth_OFF!C10 - AVERAGE(C$62:C$63)</f>
        <v>0.15000000000003411</v>
      </c>
      <c r="D10" s="10">
        <f>eth_ON!D10 - eth_OFF!D10 - AVERAGE(D$62:D$63)</f>
        <v>7.4500000000000171</v>
      </c>
      <c r="E10" s="10">
        <f>eth_ON!E10 - eth_OFF!E10 - AVERAGE(E$62:E$63)</f>
        <v>0.24999999999997158</v>
      </c>
      <c r="F10" s="10">
        <f>eth_ON!F10 - eth_OFF!F10 - AVERAGE(F$62:F$63)</f>
        <v>-2.8421709430404007E-14</v>
      </c>
      <c r="G10" s="10">
        <f>eth_ON!G10 - eth_OFF!G10 - AVERAGE(G$62:G$63)</f>
        <v>0.65000000000000568</v>
      </c>
      <c r="H10" s="10">
        <f>eth_ON!H10 - eth_OFF!H10 - AVERAGE(H$62:H$63)</f>
        <v>4.9999999999982947E-2</v>
      </c>
      <c r="I10" s="10">
        <f>eth_ON!I10 - eth_OFF!I10 - AVERAGE(I$62:I$63)</f>
        <v>0.95000000000001705</v>
      </c>
      <c r="J10" s="10">
        <f>eth_ON!J10 - eth_OFF!J10 - AVERAGE(J$62:J$63)</f>
        <v>0.34999999999996589</v>
      </c>
      <c r="K10" s="10">
        <f>eth_ON!K10 - eth_OFF!K10 - AVERAGE(K$62:K$63)</f>
        <v>0.80000000000003979</v>
      </c>
      <c r="L10" s="10">
        <f>eth_ON!L10 - eth_OFF!L10 - AVERAGE(L$62:L$63)</f>
        <v>-4.9999999999982947E-2</v>
      </c>
      <c r="M10" s="10">
        <f>eth_ON!M10 - eth_OFF!M10 - AVERAGE(M$62:M$63)</f>
        <v>4.9999999999982947E-2</v>
      </c>
      <c r="N10" s="10">
        <f>eth_ON!N10 - eth_OFF!N10 - AVERAGE(N$62:N$63)</f>
        <v>-0.19999999999996021</v>
      </c>
      <c r="O10" s="10">
        <f>eth_ON!O10 - eth_OFF!O10 - AVERAGE(O$62:O$63)</f>
        <v>0.20000000000001705</v>
      </c>
      <c r="P10" s="10">
        <f>eth_ON!P10 - eth_OFF!P10 - AVERAGE(P$62:P$63)</f>
        <v>9.9999999999994316E-2</v>
      </c>
      <c r="Q10" s="10">
        <f>eth_ON!Q10 - eth_OFF!Q10 - AVERAGE(Q$62:Q$63)</f>
        <v>0.50000000000002842</v>
      </c>
      <c r="R10" s="10">
        <f>eth_ON!R10 - eth_OFF!R10 - AVERAGE(R$62:R$63)</f>
        <v>0.30000000000003979</v>
      </c>
      <c r="S10" s="10">
        <f>eth_ON!S10 - eth_OFF!S10 - AVERAGE(S$62:S$63)</f>
        <v>0.55000000000001137</v>
      </c>
      <c r="T10" s="10" t="e">
        <f>eth_ON!T10 - eth_OFF!T10 - AVERAGE(T$62:T$63)</f>
        <v>#VALUE!</v>
      </c>
      <c r="U10" s="10">
        <f>eth_ON!U10 - eth_OFF!U10 - AVERAGE(U$62:U$63)</f>
        <v>0.30000000000001137</v>
      </c>
      <c r="V10" s="10">
        <f>eth_ON!V10 - eth_OFF!V10 - AVERAGE(V$62:V$63)</f>
        <v>0.10000000000002274</v>
      </c>
      <c r="W10" s="10">
        <f>eth_ON!W10 - eth_OFF!W10 - AVERAGE(W$62:W$63)</f>
        <v>3.0999999999999943</v>
      </c>
      <c r="X10" s="10">
        <f>eth_ON!X10 - eth_OFF!X10 - AVERAGE(X$62:X$63)</f>
        <v>-0.10000000000002274</v>
      </c>
      <c r="Y10" s="10">
        <f>eth_ON!Y10 - eth_OFF!Y10 - AVERAGE(Y$62:Y$63)</f>
        <v>0.35000000000005116</v>
      </c>
      <c r="Z10" s="10">
        <f>eth_ON!Z10 - eth_OFF!Z10 - AVERAGE(Z$62:Z$63)</f>
        <v>-9.9999999999994316E-2</v>
      </c>
      <c r="AA10" s="10">
        <f>eth_ON!AA10 - eth_OFF!AA10 - AVERAGE(AA$62:AA$63)</f>
        <v>0.35000000000002274</v>
      </c>
      <c r="AB10" s="10">
        <f>eth_ON!AB10 - eth_OFF!AB10 - AVERAGE(AB$62:AB$63)</f>
        <v>0.39999999999994884</v>
      </c>
      <c r="AC10" s="10">
        <f>eth_ON!AC10 - eth_OFF!AC10 - AVERAGE(AC$62:AC$63)</f>
        <v>0.34999999999999432</v>
      </c>
      <c r="AD10" s="10">
        <f>eth_ON!AD10 - eth_OFF!AD10 - AVERAGE(AD$62:AD$63)</f>
        <v>4.9999999999954525E-2</v>
      </c>
      <c r="AE10" s="10">
        <f>eth_ON!AE10 - eth_OFF!AE10 - AVERAGE(AE$62:AE$63)</f>
        <v>1.6499999999999773</v>
      </c>
      <c r="AF10" s="10">
        <f>eth_ON!AF10 - eth_OFF!AF10 - AVERAGE(AF$62:AF$63)</f>
        <v>0.40000000000000568</v>
      </c>
      <c r="AG10" s="10">
        <f>eth_ON!AG10 - eth_OFF!AG10 - AVERAGE(AG$62:AG$63)</f>
        <v>1.2499999999999716</v>
      </c>
      <c r="AH10" s="10">
        <f>eth_ON!AH10 - eth_OFF!AH10 - AVERAGE(AH$62:AH$63)</f>
        <v>-0.34999999999996589</v>
      </c>
      <c r="AI10" s="10">
        <f>eth_ON!AI10 - eth_OFF!AI10 - AVERAGE(AI$62:AI$63)</f>
        <v>1.8499999999999943</v>
      </c>
      <c r="AJ10" s="10">
        <f>eth_ON!AJ10 - eth_OFF!AJ10 - AVERAGE(AJ$62:AJ$63)</f>
        <v>0.25</v>
      </c>
      <c r="AK10" s="10">
        <f>eth_ON!AK10 - eth_OFF!AK10 - AVERAGE(AK$62:AK$63)</f>
        <v>0.79999999999998295</v>
      </c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</row>
    <row r="11" spans="1:65">
      <c r="A11" s="30">
        <v>10</v>
      </c>
      <c r="B11" s="10">
        <f>eth_ON!B11 - eth_OFF!B11 - AVERAGE(B$62:B$63)</f>
        <v>-0.35000000000002274</v>
      </c>
      <c r="C11" s="10">
        <f>eth_ON!C11 - eth_OFF!C11 - AVERAGE(C$62:C$63)</f>
        <v>-0.54999999999995453</v>
      </c>
      <c r="D11" s="10">
        <f>eth_ON!D11 - eth_OFF!D11 - AVERAGE(D$62:D$63)</f>
        <v>0.74999999999997158</v>
      </c>
      <c r="E11" s="10">
        <f>eth_ON!E11 - eth_OFF!E11 - AVERAGE(E$62:E$63)</f>
        <v>3.7499999999999716</v>
      </c>
      <c r="F11" s="10">
        <f>eth_ON!F11 - eth_OFF!F11 - AVERAGE(F$62:F$63)</f>
        <v>2.8421709430404007E-14</v>
      </c>
      <c r="G11" s="10">
        <f>eth_ON!G11 - eth_OFF!G11 - AVERAGE(G$62:G$63)</f>
        <v>0.25000000000002842</v>
      </c>
      <c r="H11" s="10">
        <f>eth_ON!H11 - eth_OFF!H11 - AVERAGE(H$62:H$63)</f>
        <v>4.9999999999982947E-2</v>
      </c>
      <c r="I11" s="10">
        <f>eth_ON!I11 - eth_OFF!I11 - AVERAGE(I$62:I$63)</f>
        <v>0.65000000000000568</v>
      </c>
      <c r="J11" s="10">
        <f>eth_ON!J11 - eth_OFF!J11 - AVERAGE(J$62:J$63)</f>
        <v>0.24999999999994316</v>
      </c>
      <c r="K11" s="10">
        <f>eth_ON!K11 - eth_OFF!K11 - AVERAGE(K$62:K$63)</f>
        <v>2.8421709430404007E-14</v>
      </c>
      <c r="L11" s="10">
        <f>eth_ON!L11 - eth_OFF!L11 - AVERAGE(L$62:L$63)</f>
        <v>0.45000000000001705</v>
      </c>
      <c r="M11" s="10">
        <f>eth_ON!M11 - eth_OFF!M11 - AVERAGE(M$62:M$63)</f>
        <v>4.9999999999982947E-2</v>
      </c>
      <c r="N11" s="10">
        <f>eth_ON!N11 - eth_OFF!N11 - AVERAGE(N$62:N$63)</f>
        <v>-9.9999999999994316E-2</v>
      </c>
      <c r="O11" s="10">
        <f>eth_ON!O11 - eth_OFF!O11 - AVERAGE(O$62:O$63)</f>
        <v>-0.19999999999996021</v>
      </c>
      <c r="P11" s="10">
        <f>eth_ON!P11 - eth_OFF!P11 - AVERAGE(P$62:P$63)</f>
        <v>0.20000000000001705</v>
      </c>
      <c r="Q11" s="10">
        <f>eth_ON!Q11 - eth_OFF!Q11 - AVERAGE(Q$62:Q$63)</f>
        <v>-2.8421709430404007E-14</v>
      </c>
      <c r="R11" s="10">
        <f>eth_ON!R11 - eth_OFF!R11 - AVERAGE(R$62:R$63)</f>
        <v>2.8421709430404007E-14</v>
      </c>
      <c r="S11" s="10">
        <f>eth_ON!S11 - eth_OFF!S11 - AVERAGE(S$62:S$63)</f>
        <v>-0.25000000000005684</v>
      </c>
      <c r="T11" s="10" t="e">
        <f>eth_ON!T11 - eth_OFF!T11 - AVERAGE(T$62:T$63)</f>
        <v>#VALUE!</v>
      </c>
      <c r="U11" s="10">
        <f>eth_ON!U11 - eth_OFF!U11 - AVERAGE(U$62:U$63)</f>
        <v>0.30000000000001137</v>
      </c>
      <c r="V11" s="10">
        <f>eth_ON!V11 - eth_OFF!V11 - AVERAGE(V$62:V$63)</f>
        <v>5.6843418860808015E-14</v>
      </c>
      <c r="W11" s="10">
        <f>eth_ON!W11 - eth_OFF!W11 - AVERAGE(W$62:W$63)</f>
        <v>-9.9999999999994316E-2</v>
      </c>
      <c r="X11" s="10">
        <f>eth_ON!X11 - eth_OFF!X11 - AVERAGE(X$62:X$63)</f>
        <v>9.9999999999965894E-2</v>
      </c>
      <c r="Y11" s="10">
        <f>eth_ON!Y11 - eth_OFF!Y11 - AVERAGE(Y$62:Y$63)</f>
        <v>5.000000000003979E-2</v>
      </c>
      <c r="Z11" s="10">
        <f>eth_ON!Z11 - eth_OFF!Z11 - AVERAGE(Z$62:Z$63)</f>
        <v>1.0999999999999943</v>
      </c>
      <c r="AA11" s="10">
        <f>eth_ON!AA11 - eth_OFF!AA11 - AVERAGE(AA$62:AA$63)</f>
        <v>0.55000000000001137</v>
      </c>
      <c r="AB11" s="10">
        <f>eth_ON!AB11 - eth_OFF!AB11 - AVERAGE(AB$62:AB$63)</f>
        <v>0.69999999999996021</v>
      </c>
      <c r="AC11" s="10">
        <f>eth_ON!AC11 - eth_OFF!AC11 - AVERAGE(AC$62:AC$63)</f>
        <v>1.3499999999999943</v>
      </c>
      <c r="AD11" s="10">
        <f>eth_ON!AD11 - eth_OFF!AD11 - AVERAGE(AD$62:AD$63)</f>
        <v>-0.15000000000003411</v>
      </c>
      <c r="AE11" s="10">
        <f>eth_ON!AE11 - eth_OFF!AE11 - AVERAGE(AE$62:AE$63)</f>
        <v>0.25</v>
      </c>
      <c r="AF11" s="10">
        <f>eth_ON!AF11 - eth_OFF!AF11 - AVERAGE(AF$62:AF$63)</f>
        <v>0.29999999999998295</v>
      </c>
      <c r="AG11" s="10">
        <f>eth_ON!AG11 - eth_OFF!AG11 - AVERAGE(AG$62:AG$63)</f>
        <v>0.34999999999999432</v>
      </c>
      <c r="AH11" s="10">
        <f>eth_ON!AH11 - eth_OFF!AH11 - AVERAGE(AH$62:AH$63)</f>
        <v>-0.14999999999997726</v>
      </c>
      <c r="AI11" s="10">
        <f>eth_ON!AI11 - eth_OFF!AI11 - AVERAGE(AI$62:AI$63)</f>
        <v>0.15000000000000568</v>
      </c>
      <c r="AJ11" s="10">
        <f>eth_ON!AJ11 - eth_OFF!AJ11 - AVERAGE(AJ$62:AJ$63)</f>
        <v>-5.0000000000011369E-2</v>
      </c>
      <c r="AK11" s="10">
        <f>eth_ON!AK11 - eth_OFF!AK11 - AVERAGE(AK$62:AK$63)</f>
        <v>0.19999999999996021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</row>
    <row r="12" spans="1:65">
      <c r="A12" s="30">
        <v>11</v>
      </c>
      <c r="B12" s="10">
        <f>eth_ON!B12 - eth_OFF!B12 - AVERAGE(B$62:B$63)</f>
        <v>3.9499999999999886</v>
      </c>
      <c r="C12" s="10">
        <f>eth_ON!C12 - eth_OFF!C12 - AVERAGE(C$62:C$63)</f>
        <v>6.6500000000000341</v>
      </c>
      <c r="D12" s="10">
        <f>eth_ON!D12 - eth_OFF!D12 - AVERAGE(D$62:D$63)</f>
        <v>8.8499999999999943</v>
      </c>
      <c r="E12" s="10">
        <f>eth_ON!E12 - eth_OFF!E12 - AVERAGE(E$62:E$63)</f>
        <v>9.0500000000000398</v>
      </c>
      <c r="F12" s="10">
        <f>eth_ON!F12 - eth_OFF!F12 - AVERAGE(F$62:F$63)</f>
        <v>-0.59999999999999432</v>
      </c>
      <c r="G12" s="10">
        <f>eth_ON!G12 - eth_OFF!G12 - AVERAGE(G$62:G$63)</f>
        <v>-0.74999999999997158</v>
      </c>
      <c r="H12" s="10">
        <f>eth_ON!H12 - eth_OFF!H12 - AVERAGE(H$62:H$63)</f>
        <v>-0.75000000000002842</v>
      </c>
      <c r="I12" s="10">
        <f>eth_ON!I12 - eth_OFF!I12 - AVERAGE(I$62:I$63)</f>
        <v>8.7499999999999716</v>
      </c>
      <c r="J12" s="10">
        <f>eth_ON!J12 - eth_OFF!J12 - AVERAGE(J$62:J$63)</f>
        <v>-0.55000000000001137</v>
      </c>
      <c r="K12" s="10">
        <f>eth_ON!K12 - eth_OFF!K12 - AVERAGE(K$62:K$63)</f>
        <v>-0.59999999999999432</v>
      </c>
      <c r="L12" s="10">
        <f>eth_ON!L12 - eth_OFF!L12 - AVERAGE(L$62:L$63)</f>
        <v>-0.64999999999994884</v>
      </c>
      <c r="M12" s="10">
        <f>eth_ON!M12 - eth_OFF!M12 - AVERAGE(M$62:M$63)</f>
        <v>9.6500000000000057</v>
      </c>
      <c r="N12" s="10">
        <f>eth_ON!N12 - eth_OFF!N12 - AVERAGE(N$62:N$63)</f>
        <v>8.9000000000000625</v>
      </c>
      <c r="O12" s="10">
        <f>eth_ON!O12 - eth_OFF!O12 - AVERAGE(O$62:O$63)</f>
        <v>10.400000000000006</v>
      </c>
      <c r="P12" s="10">
        <f>eth_ON!P12 - eth_OFF!P12 - AVERAGE(P$62:P$63)</f>
        <v>11.099999999999994</v>
      </c>
      <c r="Q12" s="10">
        <f>eth_ON!Q12 - eth_OFF!Q12 - AVERAGE(Q$62:Q$63)</f>
        <v>9.9000000000000057</v>
      </c>
      <c r="R12" s="10">
        <f>eth_ON!R12 - eth_OFF!R12 - AVERAGE(R$62:R$63)</f>
        <v>10.200000000000017</v>
      </c>
      <c r="S12" s="10">
        <f>eth_ON!S12 - eth_OFF!S12 - AVERAGE(S$62:S$63)</f>
        <v>9.0499999999999545</v>
      </c>
      <c r="T12" s="10" t="e">
        <f>eth_ON!T12 - eth_OFF!T12 - AVERAGE(T$62:T$63)</f>
        <v>#VALUE!</v>
      </c>
      <c r="U12" s="10">
        <f>eth_ON!U12 - eth_OFF!U12 - AVERAGE(U$62:U$63)</f>
        <v>10.399999999999977</v>
      </c>
      <c r="V12" s="10">
        <f>eth_ON!V12 - eth_OFF!V12 - AVERAGE(V$62:V$63)</f>
        <v>9.4000000000000341</v>
      </c>
      <c r="W12" s="10">
        <f>eth_ON!W12 - eth_OFF!W12 - AVERAGE(W$62:W$63)</f>
        <v>7.5000000000000284</v>
      </c>
      <c r="X12" s="10">
        <f>eth_ON!X12 - eth_OFF!X12 - AVERAGE(X$62:X$63)</f>
        <v>9.6999999999999886</v>
      </c>
      <c r="Y12" s="10">
        <f>eth_ON!Y12 - eth_OFF!Y12 - AVERAGE(Y$62:Y$63)</f>
        <v>9.6500000000000625</v>
      </c>
      <c r="Z12" s="10">
        <f>eth_ON!Z12 - eth_OFF!Z12 - AVERAGE(Z$62:Z$63)</f>
        <v>9.9999999999999716</v>
      </c>
      <c r="AA12" s="10">
        <f>eth_ON!AA12 - eth_OFF!AA12 - AVERAGE(AA$62:AA$63)</f>
        <v>7.0500000000000114</v>
      </c>
      <c r="AB12" s="10">
        <f>eth_ON!AB12 - eth_OFF!AB12 - AVERAGE(AB$62:AB$63)</f>
        <v>8.8000000000000398</v>
      </c>
      <c r="AC12" s="10">
        <f>eth_ON!AC12 - eth_OFF!AC12 - AVERAGE(AC$62:AC$63)</f>
        <v>7.7500000000000284</v>
      </c>
      <c r="AD12" s="10">
        <f>eth_ON!AD12 - eth_OFF!AD12 - AVERAGE(AD$62:AD$63)</f>
        <v>8.2499999999999432</v>
      </c>
      <c r="AE12" s="10">
        <f>eth_ON!AE12 - eth_OFF!AE12 - AVERAGE(AE$62:AE$63)</f>
        <v>10.949999999999989</v>
      </c>
      <c r="AF12" s="10">
        <f>eth_ON!AF12 - eth_OFF!AF12 - AVERAGE(AF$62:AF$63)</f>
        <v>10.200000000000017</v>
      </c>
      <c r="AG12" s="10">
        <f>eth_ON!AG12 - eth_OFF!AG12 - AVERAGE(AG$62:AG$63)</f>
        <v>9.3499999999999943</v>
      </c>
      <c r="AH12" s="10">
        <f>eth_ON!AH12 - eth_OFF!AH12 - AVERAGE(AH$62:AH$63)</f>
        <v>7.8499999999999659</v>
      </c>
      <c r="AI12" s="10">
        <f>eth_ON!AI12 - eth_OFF!AI12 - AVERAGE(AI$62:AI$63)</f>
        <v>9.7499999999999716</v>
      </c>
      <c r="AJ12" s="10">
        <f>eth_ON!AJ12 - eth_OFF!AJ12 - AVERAGE(AJ$62:AJ$63)</f>
        <v>9.5499999999999545</v>
      </c>
      <c r="AK12" s="10">
        <f>eth_ON!AK12 - eth_OFF!AK12 - AVERAGE(AK$62:AK$63)</f>
        <v>8.2999999999999829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</row>
    <row r="13" spans="1:65">
      <c r="A13" s="30">
        <v>12</v>
      </c>
      <c r="B13" s="10">
        <f>eth_ON!B13 - eth_OFF!B13 - AVERAGE(B$62:B$63)</f>
        <v>10.75</v>
      </c>
      <c r="C13" s="10">
        <f>eth_ON!C13 - eth_OFF!C13 - AVERAGE(C$62:C$63)</f>
        <v>11.150000000000034</v>
      </c>
      <c r="D13" s="10">
        <f>eth_ON!D13 - eth_OFF!D13 - AVERAGE(D$62:D$63)</f>
        <v>10.650000000000006</v>
      </c>
      <c r="E13" s="10">
        <f>eth_ON!E13 - eth_OFF!E13 - AVERAGE(E$62:E$63)</f>
        <v>15.049999999999983</v>
      </c>
      <c r="F13" s="10">
        <f>eth_ON!F13 - eth_OFF!F13 - AVERAGE(F$62:F$63)</f>
        <v>10.200000000000017</v>
      </c>
      <c r="G13" s="10">
        <f>eth_ON!G13 - eth_OFF!G13 - AVERAGE(G$62:G$63)</f>
        <v>12.950000000000017</v>
      </c>
      <c r="H13" s="10">
        <f>eth_ON!H13 - eth_OFF!H13 - AVERAGE(H$62:H$63)</f>
        <v>14.349999999999994</v>
      </c>
      <c r="I13" s="10">
        <f>eth_ON!I13 - eth_OFF!I13 - AVERAGE(I$62:I$63)</f>
        <v>9.8500000000000512</v>
      </c>
      <c r="J13" s="10">
        <f>eth_ON!J13 - eth_OFF!J13 - AVERAGE(J$62:J$63)</f>
        <v>13.949999999999989</v>
      </c>
      <c r="K13" s="10">
        <f>eth_ON!K13 - eth_OFF!K13 - AVERAGE(K$62:K$63)</f>
        <v>12.400000000000006</v>
      </c>
      <c r="L13" s="10">
        <f>eth_ON!L13 - eth_OFF!L13 - AVERAGE(L$62:L$63)</f>
        <v>11.950000000000017</v>
      </c>
      <c r="M13" s="10">
        <f>eth_ON!M13 - eth_OFF!M13 - AVERAGE(M$62:M$63)</f>
        <v>13.849999999999994</v>
      </c>
      <c r="N13" s="10">
        <f>eth_ON!N13 - eth_OFF!N13 - AVERAGE(N$62:N$63)</f>
        <v>13.700000000000017</v>
      </c>
      <c r="O13" s="10">
        <f>eth_ON!O13 - eth_OFF!O13 - AVERAGE(O$62:O$63)</f>
        <v>11.400000000000006</v>
      </c>
      <c r="P13" s="10">
        <f>eth_ON!P13 - eth_OFF!P13 - AVERAGE(P$62:P$63)</f>
        <v>14.200000000000017</v>
      </c>
      <c r="Q13" s="10">
        <f>eth_ON!Q13 - eth_OFF!Q13 - AVERAGE(Q$62:Q$63)</f>
        <v>14.999999999999972</v>
      </c>
      <c r="R13" s="10">
        <f>eth_ON!R13 - eth_OFF!R13 - AVERAGE(R$62:R$63)</f>
        <v>11.700000000000074</v>
      </c>
      <c r="S13" s="10">
        <f>eth_ON!S13 - eth_OFF!S13 - AVERAGE(S$62:S$63)</f>
        <v>14.450000000000045</v>
      </c>
      <c r="T13" s="10" t="e">
        <f>eth_ON!T13 - eth_OFF!T13 - AVERAGE(T$62:T$63)</f>
        <v>#VALUE!</v>
      </c>
      <c r="U13" s="10">
        <f>eth_ON!U13 - eth_OFF!U13 - AVERAGE(U$62:U$63)</f>
        <v>15.100000000000023</v>
      </c>
      <c r="V13" s="10">
        <f>eth_ON!V13 - eth_OFF!V13 - AVERAGE(V$62:V$63)</f>
        <v>14.500000000000057</v>
      </c>
      <c r="W13" s="10">
        <f>eth_ON!W13 - eth_OFF!W13 - AVERAGE(W$62:W$63)</f>
        <v>13.000000000000028</v>
      </c>
      <c r="X13" s="10">
        <f>eth_ON!X13 - eth_OFF!X13 - AVERAGE(X$62:X$63)</f>
        <v>13.399999999999977</v>
      </c>
      <c r="Y13" s="10">
        <f>eth_ON!Y13 - eth_OFF!Y13 - AVERAGE(Y$62:Y$63)</f>
        <v>15.249999999999972</v>
      </c>
      <c r="Z13" s="10">
        <f>eth_ON!Z13 - eth_OFF!Z13 - AVERAGE(Z$62:Z$63)</f>
        <v>11.999999999999972</v>
      </c>
      <c r="AA13" s="10">
        <f>eth_ON!AA13 - eth_OFF!AA13 - AVERAGE(AA$62:AA$63)</f>
        <v>15.550000000000011</v>
      </c>
      <c r="AB13" s="10">
        <f>eth_ON!AB13 - eth_OFF!AB13 - AVERAGE(AB$62:AB$63)</f>
        <v>11.700000000000017</v>
      </c>
      <c r="AC13" s="10">
        <f>eth_ON!AC13 - eth_OFF!AC13 - AVERAGE(AC$62:AC$63)</f>
        <v>13.250000000000028</v>
      </c>
      <c r="AD13" s="10">
        <f>eth_ON!AD13 - eth_OFF!AD13 - AVERAGE(AD$62:AD$63)</f>
        <v>11.449999999999989</v>
      </c>
      <c r="AE13" s="10">
        <f>eth_ON!AE13 - eth_OFF!AE13 - AVERAGE(AE$62:AE$63)</f>
        <v>15.449999999999989</v>
      </c>
      <c r="AF13" s="10">
        <f>eth_ON!AF13 - eth_OFF!AF13 - AVERAGE(AF$62:AF$63)</f>
        <v>13.200000000000017</v>
      </c>
      <c r="AG13" s="10">
        <f>eth_ON!AG13 - eth_OFF!AG13 - AVERAGE(AG$62:AG$63)</f>
        <v>14.650000000000006</v>
      </c>
      <c r="AH13" s="10">
        <f>eth_ON!AH13 - eth_OFF!AH13 - AVERAGE(AH$62:AH$63)</f>
        <v>12.150000000000034</v>
      </c>
      <c r="AI13" s="10">
        <f>eth_ON!AI13 - eth_OFF!AI13 - AVERAGE(AI$62:AI$63)</f>
        <v>10.650000000000006</v>
      </c>
      <c r="AJ13" s="10">
        <f>eth_ON!AJ13 - eth_OFF!AJ13 - AVERAGE(AJ$62:AJ$63)</f>
        <v>11.25</v>
      </c>
      <c r="AK13" s="10">
        <f>eth_ON!AK13 - eth_OFF!AK13 - AVERAGE(AK$62:AK$63)</f>
        <v>12.799999999999983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</row>
    <row r="14" spans="1:65">
      <c r="A14" s="30">
        <v>13</v>
      </c>
      <c r="B14" s="10">
        <f>eth_ON!B14 - eth_OFF!B14 - AVERAGE(B$62:B$63)</f>
        <v>9.8500000000000227</v>
      </c>
      <c r="C14" s="10">
        <f>eth_ON!C14 - eth_OFF!C14 - AVERAGE(C$62:C$63)</f>
        <v>14.250000000000057</v>
      </c>
      <c r="D14" s="10">
        <f>eth_ON!D14 - eth_OFF!D14 - AVERAGE(D$62:D$63)</f>
        <v>16.749999999999972</v>
      </c>
      <c r="E14" s="10">
        <f>eth_ON!E14 - eth_OFF!E14 - AVERAGE(E$62:E$63)</f>
        <v>15.349999999999994</v>
      </c>
      <c r="F14" s="10">
        <f>eth_ON!F14 - eth_OFF!F14 - AVERAGE(F$62:F$63)</f>
        <v>12.500000000000028</v>
      </c>
      <c r="G14" s="10">
        <f>eth_ON!G14 - eth_OFF!G14 - AVERAGE(G$62:G$63)</f>
        <v>13.750000000000028</v>
      </c>
      <c r="H14" s="10">
        <f>eth_ON!H14 - eth_OFF!H14 - AVERAGE(H$62:H$63)</f>
        <v>14.05000000000004</v>
      </c>
      <c r="I14" s="10">
        <f>eth_ON!I14 - eth_OFF!I14 - AVERAGE(I$62:I$63)</f>
        <v>11.450000000000017</v>
      </c>
      <c r="J14" s="10">
        <f>eth_ON!J14 - eth_OFF!J14 - AVERAGE(J$62:J$63)</f>
        <v>9.8499999999999659</v>
      </c>
      <c r="K14" s="10">
        <f>eth_ON!K14 - eth_OFF!K14 - AVERAGE(K$62:K$63)</f>
        <v>13.599999999999994</v>
      </c>
      <c r="L14" s="10">
        <f>eth_ON!L14 - eth_OFF!L14 - AVERAGE(L$62:L$63)</f>
        <v>14.849999999999994</v>
      </c>
      <c r="M14" s="10">
        <f>eth_ON!M14 - eth_OFF!M14 - AVERAGE(M$62:M$63)</f>
        <v>13.049999999999983</v>
      </c>
      <c r="N14" s="10">
        <f>eth_ON!N14 - eth_OFF!N14 - AVERAGE(N$62:N$63)</f>
        <v>14.599999999999994</v>
      </c>
      <c r="O14" s="10">
        <f>eth_ON!O14 - eth_OFF!O14 - AVERAGE(O$62:O$63)</f>
        <v>10.900000000000006</v>
      </c>
      <c r="P14" s="10">
        <f>eth_ON!P14 - eth_OFF!P14 - AVERAGE(P$62:P$63)</f>
        <v>14.799999999999983</v>
      </c>
      <c r="Q14" s="10">
        <f>eth_ON!Q14 - eth_OFF!Q14 - AVERAGE(Q$62:Q$63)</f>
        <v>16.000000000000028</v>
      </c>
      <c r="R14" s="10">
        <f>eth_ON!R14 - eth_OFF!R14 - AVERAGE(R$62:R$63)</f>
        <v>15.599999999999994</v>
      </c>
      <c r="S14" s="10">
        <f>eth_ON!S14 - eth_OFF!S14 - AVERAGE(S$62:S$63)</f>
        <v>13.650000000000034</v>
      </c>
      <c r="T14" s="10" t="e">
        <f>eth_ON!T14 - eth_OFF!T14 - AVERAGE(T$62:T$63)</f>
        <v>#VALUE!</v>
      </c>
      <c r="U14" s="10">
        <f>eth_ON!U14 - eth_OFF!U14 - AVERAGE(U$62:U$63)</f>
        <v>17.199999999999989</v>
      </c>
      <c r="V14" s="10">
        <f>eth_ON!V14 - eth_OFF!V14 - AVERAGE(V$62:V$63)</f>
        <v>12.10000000000008</v>
      </c>
      <c r="W14" s="10">
        <f>eth_ON!W14 - eth_OFF!W14 - AVERAGE(W$62:W$63)</f>
        <v>14.000000000000028</v>
      </c>
      <c r="X14" s="10">
        <f>eth_ON!X14 - eth_OFF!X14 - AVERAGE(X$62:X$63)</f>
        <v>15.399999999999977</v>
      </c>
      <c r="Y14" s="10">
        <f>eth_ON!Y14 - eth_OFF!Y14 - AVERAGE(Y$62:Y$63)</f>
        <v>16.049999999999983</v>
      </c>
      <c r="Z14" s="10">
        <f>eth_ON!Z14 - eth_OFF!Z14 - AVERAGE(Z$62:Z$63)</f>
        <v>15.600000000000051</v>
      </c>
      <c r="AA14" s="10">
        <f>eth_ON!AA14 - eth_OFF!AA14 - AVERAGE(AA$62:AA$63)</f>
        <v>16.250000000000057</v>
      </c>
      <c r="AB14" s="10">
        <f>eth_ON!AB14 - eth_OFF!AB14 - AVERAGE(AB$62:AB$63)</f>
        <v>15.900000000000006</v>
      </c>
      <c r="AC14" s="10">
        <f>eth_ON!AC14 - eth_OFF!AC14 - AVERAGE(AC$62:AC$63)</f>
        <v>13.650000000000006</v>
      </c>
      <c r="AD14" s="10">
        <f>eth_ON!AD14 - eth_OFF!AD14 - AVERAGE(AD$62:AD$63)</f>
        <v>13.949999999999989</v>
      </c>
      <c r="AE14" s="10">
        <f>eth_ON!AE14 - eth_OFF!AE14 - AVERAGE(AE$62:AE$63)</f>
        <v>16.449999999999989</v>
      </c>
      <c r="AF14" s="10">
        <f>eth_ON!AF14 - eth_OFF!AF14 - AVERAGE(AF$62:AF$63)</f>
        <v>16.299999999999983</v>
      </c>
      <c r="AG14" s="10">
        <f>eth_ON!AG14 - eth_OFF!AG14 - AVERAGE(AG$62:AG$63)</f>
        <v>16.249999999999972</v>
      </c>
      <c r="AH14" s="10">
        <f>eth_ON!AH14 - eth_OFF!AH14 - AVERAGE(AH$62:AH$63)</f>
        <v>19.75</v>
      </c>
      <c r="AI14" s="10">
        <f>eth_ON!AI14 - eth_OFF!AI14 - AVERAGE(AI$62:AI$63)</f>
        <v>14.650000000000006</v>
      </c>
      <c r="AJ14" s="10">
        <f>eth_ON!AJ14 - eth_OFF!AJ14 - AVERAGE(AJ$62:AJ$63)</f>
        <v>16.25</v>
      </c>
      <c r="AK14" s="10">
        <f>eth_ON!AK14 - eth_OFF!AK14 - AVERAGE(AK$62:AK$63)</f>
        <v>16.299999999999983</v>
      </c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</row>
    <row r="15" spans="1:65">
      <c r="A15" s="30">
        <v>14</v>
      </c>
      <c r="B15" s="10">
        <f>eth_ON!B15 - eth_OFF!B15 - AVERAGE(B$62:B$63)</f>
        <v>6.5500000000000114</v>
      </c>
      <c r="C15" s="10">
        <f>eth_ON!C15 - eth_OFF!C15 - AVERAGE(C$62:C$63)</f>
        <v>8.8500000000000227</v>
      </c>
      <c r="D15" s="10">
        <f>eth_ON!D15 - eth_OFF!D15 - AVERAGE(D$62:D$63)</f>
        <v>7.7500000000000284</v>
      </c>
      <c r="E15" s="10">
        <f>eth_ON!E15 - eth_OFF!E15 - AVERAGE(E$62:E$63)</f>
        <v>9.3499999999999943</v>
      </c>
      <c r="F15" s="10">
        <f>eth_ON!F15 - eth_OFF!F15 - AVERAGE(F$62:F$63)</f>
        <v>11.500000000000028</v>
      </c>
      <c r="G15" s="10">
        <f>eth_ON!G15 - eth_OFF!G15 - AVERAGE(G$62:G$63)</f>
        <v>12.650000000000006</v>
      </c>
      <c r="H15" s="10">
        <f>eth_ON!H15 - eth_OFF!H15 - AVERAGE(H$62:H$63)</f>
        <v>10.849999999999994</v>
      </c>
      <c r="I15" s="10">
        <f>eth_ON!I15 - eth_OFF!I15 - AVERAGE(I$62:I$63)</f>
        <v>11.549999999999983</v>
      </c>
      <c r="J15" s="10">
        <f>eth_ON!J15 - eth_OFF!J15 - AVERAGE(J$62:J$63)</f>
        <v>11.449999999999989</v>
      </c>
      <c r="K15" s="10">
        <f>eth_ON!K15 - eth_OFF!K15 - AVERAGE(K$62:K$63)</f>
        <v>11.400000000000006</v>
      </c>
      <c r="L15" s="10">
        <f>eth_ON!L15 - eth_OFF!L15 - AVERAGE(L$62:L$63)</f>
        <v>7.9500000000000171</v>
      </c>
      <c r="M15" s="10">
        <f>eth_ON!M15 - eth_OFF!M15 - AVERAGE(M$62:M$63)</f>
        <v>11.05000000000004</v>
      </c>
      <c r="N15" s="10">
        <f>eth_ON!N15 - eth_OFF!N15 - AVERAGE(N$62:N$63)</f>
        <v>11.400000000000006</v>
      </c>
      <c r="O15" s="10">
        <f>eth_ON!O15 - eth_OFF!O15 - AVERAGE(O$62:O$63)</f>
        <v>12.400000000000006</v>
      </c>
      <c r="P15" s="10">
        <f>eth_ON!P15 - eth_OFF!P15 - AVERAGE(P$62:P$63)</f>
        <v>11.400000000000006</v>
      </c>
      <c r="Q15" s="10">
        <f>eth_ON!Q15 - eth_OFF!Q15 - AVERAGE(Q$62:Q$63)</f>
        <v>10.400000000000006</v>
      </c>
      <c r="R15" s="10">
        <f>eth_ON!R15 - eth_OFF!R15 - AVERAGE(R$62:R$63)</f>
        <v>9.7000000000000739</v>
      </c>
      <c r="S15" s="10">
        <f>eth_ON!S15 - eth_OFF!S15 - AVERAGE(S$62:S$63)</f>
        <v>10.650000000000034</v>
      </c>
      <c r="T15" s="10" t="e">
        <f>eth_ON!T15 - eth_OFF!T15 - AVERAGE(T$62:T$63)</f>
        <v>#VALUE!</v>
      </c>
      <c r="U15" s="10">
        <f>eth_ON!U15 - eth_OFF!U15 - AVERAGE(U$62:U$63)</f>
        <v>9.1000000000000227</v>
      </c>
      <c r="V15" s="10">
        <f>eth_ON!V15 - eth_OFF!V15 - AVERAGE(V$62:V$63)</f>
        <v>13</v>
      </c>
      <c r="W15" s="10">
        <f>eth_ON!W15 - eth_OFF!W15 - AVERAGE(W$62:W$63)</f>
        <v>10.200000000000017</v>
      </c>
      <c r="X15" s="10">
        <f>eth_ON!X15 - eth_OFF!X15 - AVERAGE(X$62:X$63)</f>
        <v>7.5999999999999659</v>
      </c>
      <c r="Y15" s="10">
        <f>eth_ON!Y15 - eth_OFF!Y15 - AVERAGE(Y$62:Y$63)</f>
        <v>10.650000000000006</v>
      </c>
      <c r="Z15" s="10">
        <f>eth_ON!Z15 - eth_OFF!Z15 - AVERAGE(Z$62:Z$63)</f>
        <v>11.30000000000004</v>
      </c>
      <c r="AA15" s="10">
        <f>eth_ON!AA15 - eth_OFF!AA15 - AVERAGE(AA$62:AA$63)</f>
        <v>11.750000000000057</v>
      </c>
      <c r="AB15" s="10">
        <f>eth_ON!AB15 - eth_OFF!AB15 - AVERAGE(AB$62:AB$63)</f>
        <v>12.099999999999994</v>
      </c>
      <c r="AC15" s="10">
        <f>eth_ON!AC15 - eth_OFF!AC15 - AVERAGE(AC$62:AC$63)</f>
        <v>12.250000000000028</v>
      </c>
      <c r="AD15" s="10">
        <f>eth_ON!AD15 - eth_OFF!AD15 - AVERAGE(AD$62:AD$63)</f>
        <v>12.349999999999966</v>
      </c>
      <c r="AE15" s="10">
        <f>eth_ON!AE15 - eth_OFF!AE15 - AVERAGE(AE$62:AE$63)</f>
        <v>11.350000000000023</v>
      </c>
      <c r="AF15" s="10">
        <f>eth_ON!AF15 - eth_OFF!AF15 - AVERAGE(AF$62:AF$63)</f>
        <v>11.599999999999994</v>
      </c>
      <c r="AG15" s="10">
        <f>eth_ON!AG15 - eth_OFF!AG15 - AVERAGE(AG$62:AG$63)</f>
        <v>13.349999999999994</v>
      </c>
      <c r="AH15" s="10">
        <f>eth_ON!AH15 - eth_OFF!AH15 - AVERAGE(AH$62:AH$63)</f>
        <v>11.550000000000011</v>
      </c>
      <c r="AI15" s="10">
        <f>eth_ON!AI15 - eth_OFF!AI15 - AVERAGE(AI$62:AI$63)</f>
        <v>14.249999999999972</v>
      </c>
      <c r="AJ15" s="10">
        <f>eth_ON!AJ15 - eth_OFF!AJ15 - AVERAGE(AJ$62:AJ$63)</f>
        <v>11.75</v>
      </c>
      <c r="AK15" s="10">
        <f>eth_ON!AK15 - eth_OFF!AK15 - AVERAGE(AK$62:AK$63)</f>
        <v>14.299999999999983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</row>
    <row r="16" spans="1:65">
      <c r="A16" s="30">
        <v>15</v>
      </c>
      <c r="B16" s="10">
        <f>eth_ON!B16 - eth_OFF!B16 - AVERAGE(B$62:B$63)</f>
        <v>0.94999999999998863</v>
      </c>
      <c r="C16" s="10">
        <f>eth_ON!C16 - eth_OFF!C16 - AVERAGE(C$62:C$63)</f>
        <v>2.9500000000000455</v>
      </c>
      <c r="D16" s="10">
        <f>eth_ON!D16 - eth_OFF!D16 - AVERAGE(D$62:D$63)</f>
        <v>0.15000000000000568</v>
      </c>
      <c r="E16" s="10">
        <f>eth_ON!E16 - eth_OFF!E16 - AVERAGE(E$62:E$63)</f>
        <v>0.75000000000002842</v>
      </c>
      <c r="F16" s="10">
        <f>eth_ON!F16 - eth_OFF!F16 - AVERAGE(F$62:F$63)</f>
        <v>-2.8421709430404007E-14</v>
      </c>
      <c r="G16" s="10">
        <f>eth_ON!G16 - eth_OFF!G16 - AVERAGE(G$62:G$63)</f>
        <v>0.25000000000002842</v>
      </c>
      <c r="H16" s="10">
        <f>eth_ON!H16 - eth_OFF!H16 - AVERAGE(H$62:H$63)</f>
        <v>4.9999999999982947E-2</v>
      </c>
      <c r="I16" s="10">
        <f>eth_ON!I16 - eth_OFF!I16 - AVERAGE(I$62:I$63)</f>
        <v>0.84999999999999432</v>
      </c>
      <c r="J16" s="10">
        <f>eth_ON!J16 - eth_OFF!J16 - AVERAGE(J$62:J$63)</f>
        <v>0.64999999999997726</v>
      </c>
      <c r="K16" s="10">
        <f>eth_ON!K16 - eth_OFF!K16 - AVERAGE(K$62:K$63)</f>
        <v>1.0000000000000284</v>
      </c>
      <c r="L16" s="10">
        <f>eth_ON!L16 - eth_OFF!L16 - AVERAGE(L$62:L$63)</f>
        <v>0.85000000000005116</v>
      </c>
      <c r="M16" s="10">
        <f>eth_ON!M16 - eth_OFF!M16 - AVERAGE(M$62:M$63)</f>
        <v>0.24999999999997158</v>
      </c>
      <c r="N16" s="10">
        <f>eth_ON!N16 - eth_OFF!N16 - AVERAGE(N$62:N$63)</f>
        <v>0.90000000000000568</v>
      </c>
      <c r="O16" s="10">
        <f>eth_ON!O16 - eth_OFF!O16 - AVERAGE(O$62:O$63)</f>
        <v>0.50000000000002842</v>
      </c>
      <c r="P16" s="10">
        <f>eth_ON!P16 - eth_OFF!P16 - AVERAGE(P$62:P$63)</f>
        <v>0.20000000000001705</v>
      </c>
      <c r="Q16" s="10">
        <f>eth_ON!Q16 - eth_OFF!Q16 - AVERAGE(Q$62:Q$63)</f>
        <v>0.90000000000000568</v>
      </c>
      <c r="R16" s="10">
        <f>eth_ON!R16 - eth_OFF!R16 - AVERAGE(R$62:R$63)</f>
        <v>0.80000000000009663</v>
      </c>
      <c r="S16" s="10">
        <f>eth_ON!S16 - eth_OFF!S16 - AVERAGE(S$62:S$63)</f>
        <v>0.24999999999994316</v>
      </c>
      <c r="T16" s="10" t="e">
        <f>eth_ON!T16 - eth_OFF!T16 - AVERAGE(T$62:T$63)</f>
        <v>#VALUE!</v>
      </c>
      <c r="U16" s="10">
        <f>eth_ON!U16 - eth_OFF!U16 - AVERAGE(U$62:U$63)</f>
        <v>0.5</v>
      </c>
      <c r="V16" s="10">
        <f>eth_ON!V16 - eth_OFF!V16 - AVERAGE(V$62:V$63)</f>
        <v>1</v>
      </c>
      <c r="W16" s="10">
        <f>eth_ON!W16 - eth_OFF!W16 - AVERAGE(W$62:W$63)</f>
        <v>2.0999999999999943</v>
      </c>
      <c r="X16" s="10">
        <f>eth_ON!X16 - eth_OFF!X16 - AVERAGE(X$62:X$63)</f>
        <v>0.59999999999996589</v>
      </c>
      <c r="Y16" s="10">
        <f>eth_ON!Y16 - eth_OFF!Y16 - AVERAGE(Y$62:Y$63)</f>
        <v>1.2500000000000284</v>
      </c>
      <c r="Z16" s="10">
        <f>eth_ON!Z16 - eth_OFF!Z16 - AVERAGE(Z$62:Z$63)</f>
        <v>1.7999999999999829</v>
      </c>
      <c r="AA16" s="10">
        <f>eth_ON!AA16 - eth_OFF!AA16 - AVERAGE(AA$62:AA$63)</f>
        <v>0.75000000000005684</v>
      </c>
      <c r="AB16" s="10">
        <f>eth_ON!AB16 - eth_OFF!AB16 - AVERAGE(AB$62:AB$63)</f>
        <v>0.69999999999996021</v>
      </c>
      <c r="AC16" s="10">
        <f>eth_ON!AC16 - eth_OFF!AC16 - AVERAGE(AC$62:AC$63)</f>
        <v>2.7500000000000284</v>
      </c>
      <c r="AD16" s="10">
        <f>eth_ON!AD16 - eth_OFF!AD16 - AVERAGE(AD$62:AD$63)</f>
        <v>1.6500000000000341</v>
      </c>
      <c r="AE16" s="10">
        <f>eth_ON!AE16 - eth_OFF!AE16 - AVERAGE(AE$62:AE$63)</f>
        <v>2.25</v>
      </c>
      <c r="AF16" s="10">
        <f>eth_ON!AF16 - eth_OFF!AF16 - AVERAGE(AF$62:AF$63)</f>
        <v>0.90000000000000568</v>
      </c>
      <c r="AG16" s="10">
        <f>eth_ON!AG16 - eth_OFF!AG16 - AVERAGE(AG$62:AG$63)</f>
        <v>1.9500000000000171</v>
      </c>
      <c r="AH16" s="10">
        <f>eth_ON!AH16 - eth_OFF!AH16 - AVERAGE(AH$62:AH$63)</f>
        <v>-0.15000000000003411</v>
      </c>
      <c r="AI16" s="10">
        <f>eth_ON!AI16 - eth_OFF!AI16 - AVERAGE(AI$62:AI$63)</f>
        <v>2.2499999999999716</v>
      </c>
      <c r="AJ16" s="10">
        <f>eth_ON!AJ16 - eth_OFF!AJ16 - AVERAGE(AJ$62:AJ$63)</f>
        <v>4.9999999999954525E-2</v>
      </c>
      <c r="AK16" s="10">
        <f>eth_ON!AK16 - eth_OFF!AK16 - AVERAGE(AK$62:AK$63)</f>
        <v>1.0000000000000284</v>
      </c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</row>
    <row r="17" spans="1:65">
      <c r="A17" s="30">
        <v>16</v>
      </c>
      <c r="B17" s="10">
        <f>eth_ON!B17 - eth_OFF!B17 - AVERAGE(B$62:B$63)</f>
        <v>0.14999999999997726</v>
      </c>
      <c r="C17" s="10">
        <f>eth_ON!C17 - eth_OFF!C17 - AVERAGE(C$62:C$63)</f>
        <v>4.3500000000000227</v>
      </c>
      <c r="D17" s="10">
        <f>eth_ON!D17 - eth_OFF!D17 - AVERAGE(D$62:D$63)</f>
        <v>0.15000000000000568</v>
      </c>
      <c r="E17" s="10">
        <f>eth_ON!E17 - eth_OFF!E17 - AVERAGE(E$62:E$63)</f>
        <v>0.54999999999998295</v>
      </c>
      <c r="F17" s="10">
        <f>eth_ON!F17 - eth_OFF!F17 - AVERAGE(F$62:F$63)</f>
        <v>-0.59999999999999432</v>
      </c>
      <c r="G17" s="10">
        <f>eth_ON!G17 - eth_OFF!G17 - AVERAGE(G$62:G$63)</f>
        <v>-4.9999999999982947E-2</v>
      </c>
      <c r="H17" s="10">
        <f>eth_ON!H17 - eth_OFF!H17 - AVERAGE(H$62:H$63)</f>
        <v>2.1500000000000057</v>
      </c>
      <c r="I17" s="10">
        <f>eth_ON!I17 - eth_OFF!I17 - AVERAGE(I$62:I$63)</f>
        <v>8.9499999999999602</v>
      </c>
      <c r="J17" s="10">
        <f>eth_ON!J17 - eth_OFF!J17 - AVERAGE(J$62:J$63)</f>
        <v>-0.55000000000001137</v>
      </c>
      <c r="K17" s="10">
        <f>eth_ON!K17 - eth_OFF!K17 - AVERAGE(K$62:K$63)</f>
        <v>2.8000000000000398</v>
      </c>
      <c r="L17" s="10">
        <f>eth_ON!L17 - eth_OFF!L17 - AVERAGE(L$62:L$63)</f>
        <v>0.15000000000006253</v>
      </c>
      <c r="M17" s="10">
        <f>eth_ON!M17 - eth_OFF!M17 - AVERAGE(M$62:M$63)</f>
        <v>0.15000000000000568</v>
      </c>
      <c r="N17" s="10">
        <f>eth_ON!N17 - eth_OFF!N17 - AVERAGE(N$62:N$63)</f>
        <v>1.2000000000000171</v>
      </c>
      <c r="O17" s="10">
        <f>eth_ON!O17 - eth_OFF!O17 - AVERAGE(O$62:O$63)</f>
        <v>1.0999999999999943</v>
      </c>
      <c r="P17" s="10">
        <f>eth_ON!P17 - eth_OFF!P17 - AVERAGE(P$62:P$63)</f>
        <v>0.79999999999998295</v>
      </c>
      <c r="Q17" s="10">
        <f>eth_ON!Q17 - eth_OFF!Q17 - AVERAGE(Q$62:Q$63)</f>
        <v>2.4000000000000057</v>
      </c>
      <c r="R17" s="10">
        <f>eth_ON!R17 - eth_OFF!R17 - AVERAGE(R$62:R$63)</f>
        <v>1.6000000000000512</v>
      </c>
      <c r="S17" s="10">
        <f>eth_ON!S17 - eth_OFF!S17 - AVERAGE(S$62:S$63)</f>
        <v>4.1499999999999773</v>
      </c>
      <c r="T17" s="10" t="e">
        <f>eth_ON!T17 - eth_OFF!T17 - AVERAGE(T$62:T$63)</f>
        <v>#VALUE!</v>
      </c>
      <c r="U17" s="10">
        <f>eth_ON!U17 - eth_OFF!U17 - AVERAGE(U$62:U$63)</f>
        <v>5</v>
      </c>
      <c r="V17" s="10">
        <f>eth_ON!V17 - eth_OFF!V17 - AVERAGE(V$62:V$63)</f>
        <v>1.7000000000000455</v>
      </c>
      <c r="W17" s="10">
        <f>eth_ON!W17 - eth_OFF!W17 - AVERAGE(W$62:W$63)</f>
        <v>3.2000000000000171</v>
      </c>
      <c r="X17" s="10">
        <f>eth_ON!X17 - eth_OFF!X17 - AVERAGE(X$62:X$63)</f>
        <v>4.5999999999999659</v>
      </c>
      <c r="Y17" s="10">
        <f>eth_ON!Y17 - eth_OFF!Y17 - AVERAGE(Y$62:Y$63)</f>
        <v>4.3500000000000512</v>
      </c>
      <c r="Z17" s="10">
        <f>eth_ON!Z17 - eth_OFF!Z17 - AVERAGE(Z$62:Z$63)</f>
        <v>5.2000000000000171</v>
      </c>
      <c r="AA17" s="10">
        <f>eth_ON!AA17 - eth_OFF!AA17 - AVERAGE(AA$62:AA$63)</f>
        <v>5.9499999999999886</v>
      </c>
      <c r="AB17" s="10">
        <f>eth_ON!AB17 - eth_OFF!AB17 - AVERAGE(AB$62:AB$63)</f>
        <v>5.0000000000000284</v>
      </c>
      <c r="AC17" s="10">
        <f>eth_ON!AC17 - eth_OFF!AC17 - AVERAGE(AC$62:AC$63)</f>
        <v>6.8499999999999943</v>
      </c>
      <c r="AD17" s="10">
        <f>eth_ON!AD17 - eth_OFF!AD17 - AVERAGE(AD$62:AD$63)</f>
        <v>5.8499999999999659</v>
      </c>
      <c r="AE17" s="10">
        <f>eth_ON!AE17 - eth_OFF!AE17 - AVERAGE(AE$62:AE$63)</f>
        <v>6.2499999999999432</v>
      </c>
      <c r="AF17" s="10">
        <f>eth_ON!AF17 - eth_OFF!AF17 - AVERAGE(AF$62:AF$63)</f>
        <v>8.2999999999999829</v>
      </c>
      <c r="AG17" s="10">
        <f>eth_ON!AG17 - eth_OFF!AG17 - AVERAGE(AG$62:AG$63)</f>
        <v>8.1500000000000057</v>
      </c>
      <c r="AH17" s="10">
        <f>eth_ON!AH17 - eth_OFF!AH17 - AVERAGE(AH$62:AH$63)</f>
        <v>8.4499999999999886</v>
      </c>
      <c r="AI17" s="10">
        <f>eth_ON!AI17 - eth_OFF!AI17 - AVERAGE(AI$62:AI$63)</f>
        <v>10.349999999999994</v>
      </c>
      <c r="AJ17" s="10">
        <f>eth_ON!AJ17 - eth_OFF!AJ17 - AVERAGE(AJ$62:AJ$63)</f>
        <v>6.25</v>
      </c>
      <c r="AK17" s="10">
        <f>eth_ON!AK17 - eth_OFF!AK17 - AVERAGE(AK$62:AK$63)</f>
        <v>6.7999999999999829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</row>
    <row r="18" spans="1:65">
      <c r="A18" s="30">
        <v>17</v>
      </c>
      <c r="B18" s="10">
        <f>eth_ON!B18 - eth_OFF!B18 - AVERAGE(B$62:B$63)</f>
        <v>13.75</v>
      </c>
      <c r="C18" s="10">
        <f>eth_ON!C18 - eth_OFF!C18 - AVERAGE(C$62:C$63)</f>
        <v>11.75</v>
      </c>
      <c r="D18" s="10">
        <f>eth_ON!D18 - eth_OFF!D18 - AVERAGE(D$62:D$63)</f>
        <v>12.549999999999983</v>
      </c>
      <c r="E18" s="10">
        <f>eth_ON!E18 - eth_OFF!E18 - AVERAGE(E$62:E$63)</f>
        <v>8.6500000000000057</v>
      </c>
      <c r="F18" s="10">
        <f>eth_ON!F18 - eth_OFF!F18 - AVERAGE(F$62:F$63)</f>
        <v>10.700000000000017</v>
      </c>
      <c r="G18" s="10">
        <f>eth_ON!G18 - eth_OFF!G18 - AVERAGE(G$62:G$63)</f>
        <v>10.750000000000028</v>
      </c>
      <c r="H18" s="10">
        <f>eth_ON!H18 - eth_OFF!H18 - AVERAGE(H$62:H$63)</f>
        <v>11.549999999999983</v>
      </c>
      <c r="I18" s="10">
        <f>eth_ON!I18 - eth_OFF!I18 - AVERAGE(I$62:I$63)</f>
        <v>11.349999999999994</v>
      </c>
      <c r="J18" s="10">
        <f>eth_ON!J18 - eth_OFF!J18 - AVERAGE(J$62:J$63)</f>
        <v>11.449999999999989</v>
      </c>
      <c r="K18" s="10">
        <f>eth_ON!K18 - eth_OFF!K18 - AVERAGE(K$62:K$63)</f>
        <v>10.499999999999972</v>
      </c>
      <c r="L18" s="10">
        <f>eth_ON!L18 - eth_OFF!L18 - AVERAGE(L$62:L$63)</f>
        <v>11.650000000000063</v>
      </c>
      <c r="M18" s="10">
        <f>eth_ON!M18 - eth_OFF!M18 - AVERAGE(M$62:M$63)</f>
        <v>13.549999999999983</v>
      </c>
      <c r="N18" s="10">
        <f>eth_ON!N18 - eth_OFF!N18 - AVERAGE(N$62:N$63)</f>
        <v>14.500000000000028</v>
      </c>
      <c r="O18" s="10">
        <f>eth_ON!O18 - eth_OFF!O18 - AVERAGE(O$62:O$63)</f>
        <v>11.500000000000028</v>
      </c>
      <c r="P18" s="10">
        <f>eth_ON!P18 - eth_OFF!P18 - AVERAGE(P$62:P$63)</f>
        <v>15.499999999999972</v>
      </c>
      <c r="Q18" s="10">
        <f>eth_ON!Q18 - eth_OFF!Q18 - AVERAGE(Q$62:Q$63)</f>
        <v>15.900000000000006</v>
      </c>
      <c r="R18" s="10">
        <f>eth_ON!R18 - eth_OFF!R18 - AVERAGE(R$62:R$63)</f>
        <v>11.30000000000004</v>
      </c>
      <c r="S18" s="10">
        <f>eth_ON!S18 - eth_OFF!S18 - AVERAGE(S$62:S$63)</f>
        <v>17.949999999999932</v>
      </c>
      <c r="T18" s="10" t="e">
        <f>eth_ON!T18 - eth_OFF!T18 - AVERAGE(T$62:T$63)</f>
        <v>#VALUE!</v>
      </c>
      <c r="U18" s="10">
        <f>eth_ON!U18 - eth_OFF!U18 - AVERAGE(U$62:U$63)</f>
        <v>17.699999999999989</v>
      </c>
      <c r="V18" s="10">
        <f>eth_ON!V18 - eth_OFF!V18 - AVERAGE(V$62:V$63)</f>
        <v>14.900000000000034</v>
      </c>
      <c r="W18" s="10">
        <f>eth_ON!W18 - eth_OFF!W18 - AVERAGE(W$62:W$63)</f>
        <v>16.799999999999983</v>
      </c>
      <c r="X18" s="10">
        <f>eth_ON!X18 - eth_OFF!X18 - AVERAGE(X$62:X$63)</f>
        <v>14.5</v>
      </c>
      <c r="Y18" s="10">
        <f>eth_ON!Y18 - eth_OFF!Y18 - AVERAGE(Y$62:Y$63)</f>
        <v>20.150000000000006</v>
      </c>
      <c r="Z18" s="10">
        <f>eth_ON!Z18 - eth_OFF!Z18 - AVERAGE(Z$62:Z$63)</f>
        <v>20.599999999999994</v>
      </c>
      <c r="AA18" s="10">
        <f>eth_ON!AA18 - eth_OFF!AA18 - AVERAGE(AA$62:AA$63)</f>
        <v>18.050000000000011</v>
      </c>
      <c r="AB18" s="10">
        <f>eth_ON!AB18 - eth_OFF!AB18 - AVERAGE(AB$62:AB$63)</f>
        <v>17.599999999999994</v>
      </c>
      <c r="AC18" s="10">
        <f>eth_ON!AC18 - eth_OFF!AC18 - AVERAGE(AC$62:AC$63)</f>
        <v>22.05000000000004</v>
      </c>
      <c r="AD18" s="10">
        <f>eth_ON!AD18 - eth_OFF!AD18 - AVERAGE(AD$62:AD$63)</f>
        <v>18.649999999999977</v>
      </c>
      <c r="AE18" s="10">
        <f>eth_ON!AE18 - eth_OFF!AE18 - AVERAGE(AE$62:AE$63)</f>
        <v>16.649999999999977</v>
      </c>
      <c r="AF18" s="10">
        <f>eth_ON!AF18 - eth_OFF!AF18 - AVERAGE(AF$62:AF$63)</f>
        <v>18.900000000000006</v>
      </c>
      <c r="AG18" s="10">
        <f>eth_ON!AG18 - eth_OFF!AG18 - AVERAGE(AG$62:AG$63)</f>
        <v>20.150000000000006</v>
      </c>
      <c r="AH18" s="10">
        <f>eth_ON!AH18 - eth_OFF!AH18 - AVERAGE(AH$62:AH$63)</f>
        <v>22.25</v>
      </c>
      <c r="AI18" s="10">
        <f>eth_ON!AI18 - eth_OFF!AI18 - AVERAGE(AI$62:AI$63)</f>
        <v>18.250000000000028</v>
      </c>
      <c r="AJ18" s="10">
        <f>eth_ON!AJ18 - eth_OFF!AJ18 - AVERAGE(AJ$62:AJ$63)</f>
        <v>20.049999999999955</v>
      </c>
      <c r="AK18" s="10">
        <f>eth_ON!AK18 - eth_OFF!AK18 - AVERAGE(AK$62:AK$63)</f>
        <v>21.099999999999994</v>
      </c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</row>
    <row r="19" spans="1:65">
      <c r="A19" s="30">
        <v>18</v>
      </c>
      <c r="B19" s="10">
        <f>eth_ON!B19 - eth_OFF!B19 - AVERAGE(B$62:B$63)</f>
        <v>11.650000000000034</v>
      </c>
      <c r="C19" s="10">
        <f>eth_ON!C19 - eth_OFF!C19 - AVERAGE(C$62:C$63)</f>
        <v>2.7500000000000568</v>
      </c>
      <c r="D19" s="10">
        <f>eth_ON!D19 - eth_OFF!D19 - AVERAGE(D$62:D$63)</f>
        <v>3.1499999999999488</v>
      </c>
      <c r="E19" s="10">
        <f>eth_ON!E19 - eth_OFF!E19 - AVERAGE(E$62:E$63)</f>
        <v>7.7499999999999716</v>
      </c>
      <c r="F19" s="10">
        <f>eth_ON!F19 - eth_OFF!F19 - AVERAGE(F$62:F$63)</f>
        <v>-0.59999999999999432</v>
      </c>
      <c r="G19" s="10">
        <f>eth_ON!G19 - eth_OFF!G19 - AVERAGE(G$62:G$63)</f>
        <v>8.8500000000000512</v>
      </c>
      <c r="H19" s="10">
        <f>eth_ON!H19 - eth_OFF!H19 - AVERAGE(H$62:H$63)</f>
        <v>16.450000000000017</v>
      </c>
      <c r="I19" s="10">
        <f>eth_ON!I19 - eth_OFF!I19 - AVERAGE(I$62:I$63)</f>
        <v>13.150000000000006</v>
      </c>
      <c r="J19" s="10">
        <f>eth_ON!J19 - eth_OFF!J19 - AVERAGE(J$62:J$63)</f>
        <v>13.449999999999989</v>
      </c>
      <c r="K19" s="10">
        <f>eth_ON!K19 - eth_OFF!K19 - AVERAGE(K$62:K$63)</f>
        <v>14.799999999999983</v>
      </c>
      <c r="L19" s="10">
        <f>eth_ON!L19 - eth_OFF!L19 - AVERAGE(L$62:L$63)</f>
        <v>14.250000000000028</v>
      </c>
      <c r="M19" s="10">
        <f>eth_ON!M19 - eth_OFF!M19 - AVERAGE(M$62:M$63)</f>
        <v>11.650000000000006</v>
      </c>
      <c r="N19" s="10">
        <f>eth_ON!N19 - eth_OFF!N19 - AVERAGE(N$62:N$63)</f>
        <v>12.400000000000006</v>
      </c>
      <c r="O19" s="10">
        <f>eth_ON!O19 - eth_OFF!O19 - AVERAGE(O$62:O$63)</f>
        <v>13.30000000000004</v>
      </c>
      <c r="P19" s="10">
        <f>eth_ON!P19 - eth_OFF!P19 - AVERAGE(P$62:P$63)</f>
        <v>15.599999999999994</v>
      </c>
      <c r="Q19" s="10">
        <f>eth_ON!Q19 - eth_OFF!Q19 - AVERAGE(Q$62:Q$63)</f>
        <v>12.900000000000006</v>
      </c>
      <c r="R19" s="10">
        <f>eth_ON!R19 - eth_OFF!R19 - AVERAGE(R$62:R$63)</f>
        <v>11.800000000000097</v>
      </c>
      <c r="S19" s="10">
        <f>eth_ON!S19 - eth_OFF!S19 - AVERAGE(S$62:S$63)</f>
        <v>10.650000000000034</v>
      </c>
      <c r="T19" s="10" t="e">
        <f>eth_ON!T19 - eth_OFF!T19 - AVERAGE(T$62:T$63)</f>
        <v>#VALUE!</v>
      </c>
      <c r="U19" s="10">
        <f>eth_ON!U19 - eth_OFF!U19 - AVERAGE(U$62:U$63)</f>
        <v>13.5</v>
      </c>
      <c r="V19" s="10">
        <f>eth_ON!V19 - eth_OFF!V19 - AVERAGE(V$62:V$63)</f>
        <v>13.800000000000011</v>
      </c>
      <c r="W19" s="10">
        <f>eth_ON!W19 - eth_OFF!W19 - AVERAGE(W$62:W$63)</f>
        <v>13.000000000000028</v>
      </c>
      <c r="X19" s="10">
        <f>eth_ON!X19 - eth_OFF!X19 - AVERAGE(X$62:X$63)</f>
        <v>16.099999999999966</v>
      </c>
      <c r="Y19" s="10">
        <f>eth_ON!Y19 - eth_OFF!Y19 - AVERAGE(Y$62:Y$63)</f>
        <v>10.950000000000017</v>
      </c>
      <c r="Z19" s="10">
        <f>eth_ON!Z19 - eth_OFF!Z19 - AVERAGE(Z$62:Z$63)</f>
        <v>9.4999999999999716</v>
      </c>
      <c r="AA19" s="10">
        <f>eth_ON!AA19 - eth_OFF!AA19 - AVERAGE(AA$62:AA$63)</f>
        <v>10.25</v>
      </c>
      <c r="AB19" s="10">
        <f>eth_ON!AB19 - eth_OFF!AB19 - AVERAGE(AB$62:AB$63)</f>
        <v>10.999999999999972</v>
      </c>
      <c r="AC19" s="10">
        <f>eth_ON!AC19 - eth_OFF!AC19 - AVERAGE(AC$62:AC$63)</f>
        <v>16.05000000000004</v>
      </c>
      <c r="AD19" s="10">
        <f>eth_ON!AD19 - eth_OFF!AD19 - AVERAGE(AD$62:AD$63)</f>
        <v>13.949999999999989</v>
      </c>
      <c r="AE19" s="10">
        <f>eth_ON!AE19 - eth_OFF!AE19 - AVERAGE(AE$62:AE$63)</f>
        <v>12.350000000000023</v>
      </c>
      <c r="AF19" s="10">
        <f>eth_ON!AF19 - eth_OFF!AF19 - AVERAGE(AF$62:AF$63)</f>
        <v>15.799999999999983</v>
      </c>
      <c r="AG19" s="10">
        <f>eth_ON!AG19 - eth_OFF!AG19 - AVERAGE(AG$62:AG$63)</f>
        <v>18.55000000000004</v>
      </c>
      <c r="AH19" s="10">
        <f>eth_ON!AH19 - eth_OFF!AH19 - AVERAGE(AH$62:AH$63)</f>
        <v>12.549999999999955</v>
      </c>
      <c r="AI19" s="10">
        <f>eth_ON!AI19 - eth_OFF!AI19 - AVERAGE(AI$62:AI$63)</f>
        <v>18.650000000000006</v>
      </c>
      <c r="AJ19" s="10">
        <f>eth_ON!AJ19 - eth_OFF!AJ19 - AVERAGE(AJ$62:AJ$63)</f>
        <v>17.949999999999989</v>
      </c>
      <c r="AK19" s="10">
        <f>eth_ON!AK19 - eth_OFF!AK19 - AVERAGE(AK$62:AK$63)</f>
        <v>14.599999999999994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</row>
    <row r="20" spans="1:65">
      <c r="A20" s="30">
        <v>19</v>
      </c>
      <c r="B20" s="10">
        <f>eth_ON!B20 - eth_OFF!B20 - AVERAGE(B$62:B$63)</f>
        <v>1.0499999999999545</v>
      </c>
      <c r="C20" s="10">
        <f>eth_ON!C20 - eth_OFF!C20 - AVERAGE(C$62:C$63)</f>
        <v>4.0500000000000114</v>
      </c>
      <c r="D20" s="10">
        <f>eth_ON!D20 - eth_OFF!D20 - AVERAGE(D$62:D$63)</f>
        <v>0.25000000000002842</v>
      </c>
      <c r="E20" s="10">
        <f>eth_ON!E20 - eth_OFF!E20 - AVERAGE(E$62:E$63)</f>
        <v>2.9500000000000171</v>
      </c>
      <c r="F20" s="10">
        <f>eth_ON!F20 - eth_OFF!F20 - AVERAGE(F$62:F$63)</f>
        <v>-0.59999999999999432</v>
      </c>
      <c r="G20" s="10">
        <f>eth_ON!G20 - eth_OFF!G20 - AVERAGE(G$62:G$63)</f>
        <v>1.4500000000000171</v>
      </c>
      <c r="H20" s="10">
        <f>eth_ON!H20 - eth_OFF!H20 - AVERAGE(H$62:H$63)</f>
        <v>5.6500000000000057</v>
      </c>
      <c r="I20" s="10">
        <f>eth_ON!I20 - eth_OFF!I20 - AVERAGE(I$62:I$63)</f>
        <v>2.4500000000000171</v>
      </c>
      <c r="J20" s="10">
        <f>eth_ON!J20 - eth_OFF!J20 - AVERAGE(J$62:J$63)</f>
        <v>4.0499999999999545</v>
      </c>
      <c r="K20" s="10">
        <f>eth_ON!K20 - eth_OFF!K20 - AVERAGE(K$62:K$63)</f>
        <v>3.8000000000000398</v>
      </c>
      <c r="L20" s="10">
        <f>eth_ON!L20 - eth_OFF!L20 - AVERAGE(L$62:L$63)</f>
        <v>1.8500000000000512</v>
      </c>
      <c r="M20" s="10">
        <f>eth_ON!M20 - eth_OFF!M20 - AVERAGE(M$62:M$63)</f>
        <v>1.0499999999999829</v>
      </c>
      <c r="N20" s="10">
        <f>eth_ON!N20 - eth_OFF!N20 - AVERAGE(N$62:N$63)</f>
        <v>2.1000000000000512</v>
      </c>
      <c r="O20" s="10">
        <f>eth_ON!O20 - eth_OFF!O20 - AVERAGE(O$62:O$63)</f>
        <v>2.3000000000000398</v>
      </c>
      <c r="P20" s="10">
        <f>eth_ON!P20 - eth_OFF!P20 - AVERAGE(P$62:P$63)</f>
        <v>2.9000000000000057</v>
      </c>
      <c r="Q20" s="10">
        <f>eth_ON!Q20 - eth_OFF!Q20 - AVERAGE(Q$62:Q$63)</f>
        <v>5.7000000000000171</v>
      </c>
      <c r="R20" s="10">
        <f>eth_ON!R20 - eth_OFF!R20 - AVERAGE(R$62:R$63)</f>
        <v>6.4999999999999716</v>
      </c>
      <c r="S20" s="10">
        <f>eth_ON!S20 - eth_OFF!S20 - AVERAGE(S$62:S$63)</f>
        <v>6.8500000000000227</v>
      </c>
      <c r="T20" s="10" t="e">
        <f>eth_ON!T20 - eth_OFF!T20 - AVERAGE(T$62:T$63)</f>
        <v>#VALUE!</v>
      </c>
      <c r="U20" s="10">
        <f>eth_ON!U20 - eth_OFF!U20 - AVERAGE(U$62:U$63)</f>
        <v>3.5999999999999659</v>
      </c>
      <c r="V20" s="10">
        <f>eth_ON!V20 - eth_OFF!V20 - AVERAGE(V$62:V$63)</f>
        <v>4.7000000000000455</v>
      </c>
      <c r="W20" s="10">
        <f>eth_ON!W20 - eth_OFF!W20 - AVERAGE(W$62:W$63)</f>
        <v>3.5999999999999943</v>
      </c>
      <c r="X20" s="10">
        <f>eth_ON!X20 - eth_OFF!X20 - AVERAGE(X$62:X$63)</f>
        <v>4.9999999999999432</v>
      </c>
      <c r="Y20" s="10">
        <f>eth_ON!Y20 - eth_OFF!Y20 - AVERAGE(Y$62:Y$63)</f>
        <v>3.8499999999999943</v>
      </c>
      <c r="Z20" s="10">
        <f>eth_ON!Z20 - eth_OFF!Z20 - AVERAGE(Z$62:Z$63)</f>
        <v>3.5999999999999943</v>
      </c>
      <c r="AA20" s="10">
        <f>eth_ON!AA20 - eth_OFF!AA20 - AVERAGE(AA$62:AA$63)</f>
        <v>2.8499999999999659</v>
      </c>
      <c r="AB20" s="10">
        <f>eth_ON!AB20 - eth_OFF!AB20 - AVERAGE(AB$62:AB$63)</f>
        <v>2.4000000000000057</v>
      </c>
      <c r="AC20" s="10">
        <f>eth_ON!AC20 - eth_OFF!AC20 - AVERAGE(AC$62:AC$63)</f>
        <v>7.1500000000000057</v>
      </c>
      <c r="AD20" s="10">
        <f>eth_ON!AD20 - eth_OFF!AD20 - AVERAGE(AD$62:AD$63)</f>
        <v>7.5500000000000114</v>
      </c>
      <c r="AE20" s="10">
        <f>eth_ON!AE20 - eth_OFF!AE20 - AVERAGE(AE$62:AE$63)</f>
        <v>6.4499999999999886</v>
      </c>
      <c r="AF20" s="10">
        <f>eth_ON!AF20 - eth_OFF!AF20 - AVERAGE(AF$62:AF$63)</f>
        <v>7.7000000000000171</v>
      </c>
      <c r="AG20" s="10">
        <f>eth_ON!AG20 - eth_OFF!AG20 - AVERAGE(AG$62:AG$63)</f>
        <v>7.0499999999999829</v>
      </c>
      <c r="AH20" s="10">
        <f>eth_ON!AH20 - eth_OFF!AH20 - AVERAGE(AH$62:AH$63)</f>
        <v>4.75</v>
      </c>
      <c r="AI20" s="10">
        <f>eth_ON!AI20 - eth_OFF!AI20 - AVERAGE(AI$62:AI$63)</f>
        <v>3.7499999999999716</v>
      </c>
      <c r="AJ20" s="10">
        <f>eth_ON!AJ20 - eth_OFF!AJ20 - AVERAGE(AJ$62:AJ$63)</f>
        <v>2.75</v>
      </c>
      <c r="AK20" s="10">
        <f>eth_ON!AK20 - eth_OFF!AK20 - AVERAGE(AK$62:AK$63)</f>
        <v>2.0999999999999943</v>
      </c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</row>
    <row r="21" spans="1:65">
      <c r="A21" s="30">
        <v>20</v>
      </c>
      <c r="B21" s="10">
        <f>eth_ON!B21 - eth_OFF!B21 - AVERAGE(B$62:B$63)</f>
        <v>0.54999999999995453</v>
      </c>
      <c r="C21" s="10">
        <f>eth_ON!C21 - eth_OFF!C21 - AVERAGE(C$62:C$63)</f>
        <v>1.4499999999999886</v>
      </c>
      <c r="D21" s="10">
        <f>eth_ON!D21 - eth_OFF!D21 - AVERAGE(D$62:D$63)</f>
        <v>0.15000000000000568</v>
      </c>
      <c r="E21" s="10">
        <f>eth_ON!E21 - eth_OFF!E21 - AVERAGE(E$62:E$63)</f>
        <v>0.45000000000001705</v>
      </c>
      <c r="F21" s="10">
        <f>eth_ON!F21 - eth_OFF!F21 - AVERAGE(F$62:F$63)</f>
        <v>-0.19999999999996021</v>
      </c>
      <c r="G21" s="10">
        <f>eth_ON!G21 - eth_OFF!G21 - AVERAGE(G$62:G$63)</f>
        <v>0.25000000000002842</v>
      </c>
      <c r="H21" s="10">
        <f>eth_ON!H21 - eth_OFF!H21 - AVERAGE(H$62:H$63)</f>
        <v>0.55000000000003979</v>
      </c>
      <c r="I21" s="10">
        <f>eth_ON!I21 - eth_OFF!I21 - AVERAGE(I$62:I$63)</f>
        <v>1.8499999999999943</v>
      </c>
      <c r="J21" s="10">
        <f>eth_ON!J21 - eth_OFF!J21 - AVERAGE(J$62:J$63)</f>
        <v>0.44999999999998863</v>
      </c>
      <c r="K21" s="10">
        <f>eth_ON!K21 - eth_OFF!K21 - AVERAGE(K$62:K$63)</f>
        <v>-9.9999999999994316E-2</v>
      </c>
      <c r="L21" s="10">
        <f>eth_ON!L21 - eth_OFF!L21 - AVERAGE(L$62:L$63)</f>
        <v>0.15000000000006253</v>
      </c>
      <c r="M21" s="10">
        <f>eth_ON!M21 - eth_OFF!M21 - AVERAGE(M$62:M$63)</f>
        <v>-4.9999999999982947E-2</v>
      </c>
      <c r="N21" s="10">
        <f>eth_ON!N21 - eth_OFF!N21 - AVERAGE(N$62:N$63)</f>
        <v>-9.9999999999994316E-2</v>
      </c>
      <c r="O21" s="10">
        <f>eth_ON!O21 - eth_OFF!O21 - AVERAGE(O$62:O$63)</f>
        <v>-0.19999999999996021</v>
      </c>
      <c r="P21" s="10">
        <f>eth_ON!P21 - eth_OFF!P21 - AVERAGE(P$62:P$63)</f>
        <v>-2.8421709430404007E-14</v>
      </c>
      <c r="Q21" s="10">
        <f>eth_ON!Q21 - eth_OFF!Q21 - AVERAGE(Q$62:Q$63)</f>
        <v>2.8421709430404007E-14</v>
      </c>
      <c r="R21" s="10">
        <f>eth_ON!R21 - eth_OFF!R21 - AVERAGE(R$62:R$63)</f>
        <v>9.9999999999994316E-2</v>
      </c>
      <c r="S21" s="10">
        <f>eth_ON!S21 - eth_OFF!S21 - AVERAGE(S$62:S$63)</f>
        <v>-0.35000000000002274</v>
      </c>
      <c r="T21" s="10" t="e">
        <f>eth_ON!T21 - eth_OFF!T21 - AVERAGE(T$62:T$63)</f>
        <v>#VALUE!</v>
      </c>
      <c r="U21" s="10">
        <f>eth_ON!U21 - eth_OFF!U21 - AVERAGE(U$62:U$63)</f>
        <v>0.10000000000002274</v>
      </c>
      <c r="V21" s="10">
        <f>eth_ON!V21 - eth_OFF!V21 - AVERAGE(V$62:V$63)</f>
        <v>0</v>
      </c>
      <c r="W21" s="10">
        <f>eth_ON!W21 - eth_OFF!W21 - AVERAGE(W$62:W$63)</f>
        <v>-0.19999999999996021</v>
      </c>
      <c r="X21" s="10">
        <f>eth_ON!X21 - eth_OFF!X21 - AVERAGE(X$62:X$63)</f>
        <v>0.29999999999995453</v>
      </c>
      <c r="Y21" s="10">
        <f>eth_ON!Y21 - eth_OFF!Y21 - AVERAGE(Y$62:Y$63)</f>
        <v>0.25000000000002842</v>
      </c>
      <c r="Z21" s="10">
        <f>eth_ON!Z21 - eth_OFF!Z21 - AVERAGE(Z$62:Z$63)</f>
        <v>0.20000000000001705</v>
      </c>
      <c r="AA21" s="10">
        <f>eth_ON!AA21 - eth_OFF!AA21 - AVERAGE(AA$62:AA$63)</f>
        <v>0.85000000000002274</v>
      </c>
      <c r="AB21" s="10">
        <f>eth_ON!AB21 - eth_OFF!AB21 - AVERAGE(AB$62:AB$63)</f>
        <v>0.40000000000000568</v>
      </c>
      <c r="AC21" s="10">
        <f>eth_ON!AC21 - eth_OFF!AC21 - AVERAGE(AC$62:AC$63)</f>
        <v>0.75000000000002842</v>
      </c>
      <c r="AD21" s="10">
        <f>eth_ON!AD21 - eth_OFF!AD21 - AVERAGE(AD$62:AD$63)</f>
        <v>0.25</v>
      </c>
      <c r="AE21" s="10">
        <f>eth_ON!AE21 - eth_OFF!AE21 - AVERAGE(AE$62:AE$63)</f>
        <v>0.34999999999996589</v>
      </c>
      <c r="AF21" s="10">
        <f>eth_ON!AF21 - eth_OFF!AF21 - AVERAGE(AF$62:AF$63)</f>
        <v>0.10000000000005116</v>
      </c>
      <c r="AG21" s="10">
        <f>eth_ON!AG21 - eth_OFF!AG21 - AVERAGE(AG$62:AG$63)</f>
        <v>0.34999999999999432</v>
      </c>
      <c r="AH21" s="10">
        <f>eth_ON!AH21 - eth_OFF!AH21 - AVERAGE(AH$62:AH$63)</f>
        <v>-0.35000000000002274</v>
      </c>
      <c r="AI21" s="10">
        <f>eth_ON!AI21 - eth_OFF!AI21 - AVERAGE(AI$62:AI$63)</f>
        <v>0.34999999999999432</v>
      </c>
      <c r="AJ21" s="10">
        <f>eth_ON!AJ21 - eth_OFF!AJ21 - AVERAGE(AJ$62:AJ$63)</f>
        <v>0.24999999999994316</v>
      </c>
      <c r="AK21" s="10">
        <f>eth_ON!AK21 - eth_OFF!AK21 - AVERAGE(AK$62:AK$63)</f>
        <v>-0.20000000000001705</v>
      </c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</row>
    <row r="22" spans="1:65">
      <c r="A22" s="30">
        <v>21</v>
      </c>
      <c r="B22" s="10" t="e">
        <f>eth_ON!B22 - eth_OFF!B22 - AVERAGE(B$62:B$63)</f>
        <v>#VALUE!</v>
      </c>
      <c r="C22" s="10">
        <f>eth_ON!C22 - eth_OFF!C22 - AVERAGE(C$62:C$63)</f>
        <v>6.0500000000000114</v>
      </c>
      <c r="D22" s="10">
        <f>eth_ON!D22 - eth_OFF!D22 - AVERAGE(D$62:D$63)</f>
        <v>7.4499999999999602</v>
      </c>
      <c r="E22" s="10">
        <f>eth_ON!E22 - eth_OFF!E22 - AVERAGE(E$62:E$63)</f>
        <v>7.9500000000000171</v>
      </c>
      <c r="F22" s="10">
        <f>eth_ON!F22 - eth_OFF!F22 - AVERAGE(F$62:F$63)</f>
        <v>-0.59999999999999432</v>
      </c>
      <c r="G22" s="10">
        <f>eth_ON!G22 - eth_OFF!G22 - AVERAGE(G$62:G$63)</f>
        <v>9.7500000000000284</v>
      </c>
      <c r="H22" s="10">
        <f>eth_ON!H22 - eth_OFF!H22 - AVERAGE(H$62:H$63)</f>
        <v>-0.65000000000000568</v>
      </c>
      <c r="I22" s="10">
        <f>eth_ON!I22 - eth_OFF!I22 - AVERAGE(I$62:I$63)</f>
        <v>7.2500000000000284</v>
      </c>
      <c r="J22" s="10">
        <f>eth_ON!J22 - eth_OFF!J22 - AVERAGE(J$62:J$63)</f>
        <v>7.5500000000000114</v>
      </c>
      <c r="K22" s="10">
        <f>eth_ON!K22 - eth_OFF!K22 - AVERAGE(K$62:K$63)</f>
        <v>9.5000000000000284</v>
      </c>
      <c r="L22" s="10">
        <f>eth_ON!L22 - eth_OFF!L22 - AVERAGE(L$62:L$63)</f>
        <v>6.7500000000000284</v>
      </c>
      <c r="M22" s="10">
        <f>eth_ON!M22 - eth_OFF!M22 - AVERAGE(M$62:M$63)</f>
        <v>9.3499999999999943</v>
      </c>
      <c r="N22" s="10">
        <f>eth_ON!N22 - eth_OFF!N22 - AVERAGE(N$62:N$63)</f>
        <v>8.7000000000000171</v>
      </c>
      <c r="O22" s="10">
        <f>eth_ON!O22 - eth_OFF!O22 - AVERAGE(O$62:O$63)</f>
        <v>9.2000000000000171</v>
      </c>
      <c r="P22" s="10">
        <f>eth_ON!P22 - eth_OFF!P22 - AVERAGE(P$62:P$63)</f>
        <v>10.599999999999994</v>
      </c>
      <c r="Q22" s="10">
        <f>eth_ON!Q22 - eth_OFF!Q22 - AVERAGE(Q$62:Q$63)</f>
        <v>11.799999999999983</v>
      </c>
      <c r="R22" s="10">
        <f>eth_ON!R22 - eth_OFF!R22 - AVERAGE(R$62:R$63)</f>
        <v>9.9000000000000057</v>
      </c>
      <c r="S22" s="10">
        <f>eth_ON!S22 - eth_OFF!S22 - AVERAGE(S$62:S$63)</f>
        <v>10.75</v>
      </c>
      <c r="T22" s="10" t="e">
        <f>eth_ON!T22 - eth_OFF!T22 - AVERAGE(T$62:T$63)</f>
        <v>#VALUE!</v>
      </c>
      <c r="U22" s="10">
        <f>eth_ON!U22 - eth_OFF!U22 - AVERAGE(U$62:U$63)</f>
        <v>9.8000000000000114</v>
      </c>
      <c r="V22" s="10">
        <f>eth_ON!V22 - eth_OFF!V22 - AVERAGE(V$62:V$63)</f>
        <v>11.000000000000057</v>
      </c>
      <c r="W22" s="10">
        <f>eth_ON!W22 - eth_OFF!W22 - AVERAGE(W$62:W$63)</f>
        <v>9.5999999999999943</v>
      </c>
      <c r="X22" s="10">
        <f>eth_ON!X22 - eth_OFF!X22 - AVERAGE(X$62:X$63)</f>
        <v>13.399999999999977</v>
      </c>
      <c r="Y22" s="10">
        <f>eth_ON!Y22 - eth_OFF!Y22 - AVERAGE(Y$62:Y$63)</f>
        <v>10.450000000000017</v>
      </c>
      <c r="Z22" s="10">
        <f>eth_ON!Z22 - eth_OFF!Z22 - AVERAGE(Z$62:Z$63)</f>
        <v>10.099999999999994</v>
      </c>
      <c r="AA22" s="10">
        <f>eth_ON!AA22 - eth_OFF!AA22 - AVERAGE(AA$62:AA$63)</f>
        <v>11.149999999999977</v>
      </c>
      <c r="AB22" s="10">
        <f>eth_ON!AB22 - eth_OFF!AB22 - AVERAGE(AB$62:AB$63)</f>
        <v>10.799999999999983</v>
      </c>
      <c r="AC22" s="10">
        <f>eth_ON!AC22 - eth_OFF!AC22 - AVERAGE(AC$62:AC$63)</f>
        <v>11.05000000000004</v>
      </c>
      <c r="AD22" s="10">
        <f>eth_ON!AD22 - eth_OFF!AD22 - AVERAGE(AD$62:AD$63)</f>
        <v>11.149999999999977</v>
      </c>
      <c r="AE22" s="10">
        <f>eth_ON!AE22 - eth_OFF!AE22 - AVERAGE(AE$62:AE$63)</f>
        <v>9.8499999999999659</v>
      </c>
      <c r="AF22" s="10">
        <f>eth_ON!AF22 - eth_OFF!AF22 - AVERAGE(AF$62:AF$63)</f>
        <v>11.30000000000004</v>
      </c>
      <c r="AG22" s="10">
        <f>eth_ON!AG22 - eth_OFF!AG22 - AVERAGE(AG$62:AG$63)</f>
        <v>12.94999999999996</v>
      </c>
      <c r="AH22" s="10">
        <f>eth_ON!AH22 - eth_OFF!AH22 - AVERAGE(AH$62:AH$63)</f>
        <v>11.850000000000023</v>
      </c>
      <c r="AI22" s="10">
        <f>eth_ON!AI22 - eth_OFF!AI22 - AVERAGE(AI$62:AI$63)</f>
        <v>11.549999999999983</v>
      </c>
      <c r="AJ22" s="10">
        <f>eth_ON!AJ22 - eth_OFF!AJ22 - AVERAGE(AJ$62:AJ$63)</f>
        <v>12.749999999999943</v>
      </c>
      <c r="AK22" s="10">
        <f>eth_ON!AK22 - eth_OFF!AK22 - AVERAGE(AK$62:AK$63)</f>
        <v>13.000000000000028</v>
      </c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</row>
    <row r="23" spans="1:65">
      <c r="A23" s="30">
        <v>22</v>
      </c>
      <c r="B23" s="10">
        <f>eth_ON!B23 - eth_OFF!B23 - AVERAGE(B$62:B$63)</f>
        <v>9.3499999999999659</v>
      </c>
      <c r="C23" s="10">
        <f>eth_ON!C23 - eth_OFF!C23 - AVERAGE(C$62:C$63)</f>
        <v>12.050000000000068</v>
      </c>
      <c r="D23" s="10">
        <f>eth_ON!D23 - eth_OFF!D23 - AVERAGE(D$62:D$63)</f>
        <v>13.349999999999994</v>
      </c>
      <c r="E23" s="10">
        <f>eth_ON!E23 - eth_OFF!E23 - AVERAGE(E$62:E$63)</f>
        <v>13.249999999999972</v>
      </c>
      <c r="F23" s="10">
        <f>eth_ON!F23 - eth_OFF!F23 - AVERAGE(F$62:F$63)</f>
        <v>16.900000000000006</v>
      </c>
      <c r="G23" s="10">
        <f>eth_ON!G23 - eth_OFF!G23 - AVERAGE(G$62:G$63)</f>
        <v>14.450000000000017</v>
      </c>
      <c r="H23" s="10">
        <f>eth_ON!H23 - eth_OFF!H23 - AVERAGE(H$62:H$63)</f>
        <v>12.549999999999983</v>
      </c>
      <c r="I23" s="10">
        <f>eth_ON!I23 - eth_OFF!I23 - AVERAGE(I$62:I$63)</f>
        <v>11.150000000000006</v>
      </c>
      <c r="J23" s="10">
        <f>eth_ON!J23 - eth_OFF!J23 - AVERAGE(J$62:J$63)</f>
        <v>13.75</v>
      </c>
      <c r="K23" s="10">
        <f>eth_ON!K23 - eth_OFF!K23 - AVERAGE(K$62:K$63)</f>
        <v>11.80000000000004</v>
      </c>
      <c r="L23" s="10">
        <f>eth_ON!L23 - eth_OFF!L23 - AVERAGE(L$62:L$63)</f>
        <v>13.349999999999994</v>
      </c>
      <c r="M23" s="10">
        <f>eth_ON!M23 - eth_OFF!M23 - AVERAGE(M$62:M$63)</f>
        <v>13.150000000000006</v>
      </c>
      <c r="N23" s="10">
        <f>eth_ON!N23 - eth_OFF!N23 - AVERAGE(N$62:N$63)</f>
        <v>13.900000000000006</v>
      </c>
      <c r="O23" s="10">
        <f>eth_ON!O23 - eth_OFF!O23 - AVERAGE(O$62:O$63)</f>
        <v>11.200000000000017</v>
      </c>
      <c r="P23" s="10">
        <f>eth_ON!P23 - eth_OFF!P23 - AVERAGE(P$62:P$63)</f>
        <v>12.700000000000017</v>
      </c>
      <c r="Q23" s="10">
        <f>eth_ON!Q23 - eth_OFF!Q23 - AVERAGE(Q$62:Q$63)</f>
        <v>11.099999999999994</v>
      </c>
      <c r="R23" s="10">
        <f>eth_ON!R23 - eth_OFF!R23 - AVERAGE(R$62:R$63)</f>
        <v>12.600000000000051</v>
      </c>
      <c r="S23" s="10">
        <f>eth_ON!S23 - eth_OFF!S23 - AVERAGE(S$62:S$63)</f>
        <v>14.249999999999943</v>
      </c>
      <c r="T23" s="10" t="e">
        <f>eth_ON!T23 - eth_OFF!T23 - AVERAGE(T$62:T$63)</f>
        <v>#VALUE!</v>
      </c>
      <c r="U23" s="10">
        <f>eth_ON!U23 - eth_OFF!U23 - AVERAGE(U$62:U$63)</f>
        <v>13.099999999999966</v>
      </c>
      <c r="V23" s="10">
        <f>eth_ON!V23 - eth_OFF!V23 - AVERAGE(V$62:V$63)</f>
        <v>12.400000000000034</v>
      </c>
      <c r="W23" s="10">
        <f>eth_ON!W23 - eth_OFF!W23 - AVERAGE(W$62:W$63)</f>
        <v>16.599999999999994</v>
      </c>
      <c r="X23" s="10">
        <f>eth_ON!X23 - eth_OFF!X23 - AVERAGE(X$62:X$63)</f>
        <v>12.599999999999966</v>
      </c>
      <c r="Y23" s="10">
        <f>eth_ON!Y23 - eth_OFF!Y23 - AVERAGE(Y$62:Y$63)</f>
        <v>15.750000000000028</v>
      </c>
      <c r="Z23" s="10">
        <f>eth_ON!Z23 - eth_OFF!Z23 - AVERAGE(Z$62:Z$63)</f>
        <v>11.799999999999983</v>
      </c>
      <c r="AA23" s="10">
        <f>eth_ON!AA23 - eth_OFF!AA23 - AVERAGE(AA$62:AA$63)</f>
        <v>13.250000000000057</v>
      </c>
      <c r="AB23" s="10">
        <f>eth_ON!AB23 - eth_OFF!AB23 - AVERAGE(AB$62:AB$63)</f>
        <v>13.599999999999994</v>
      </c>
      <c r="AC23" s="10">
        <f>eth_ON!AC23 - eth_OFF!AC23 - AVERAGE(AC$62:AC$63)</f>
        <v>13.250000000000028</v>
      </c>
      <c r="AD23" s="10">
        <f>eth_ON!AD23 - eth_OFF!AD23 - AVERAGE(AD$62:AD$63)</f>
        <v>13.050000000000011</v>
      </c>
      <c r="AE23" s="10">
        <f>eth_ON!AE23 - eth_OFF!AE23 - AVERAGE(AE$62:AE$63)</f>
        <v>15.549999999999955</v>
      </c>
      <c r="AF23" s="10">
        <f>eth_ON!AF23 - eth_OFF!AF23 - AVERAGE(AF$62:AF$63)</f>
        <v>14.000000000000028</v>
      </c>
      <c r="AG23" s="10">
        <f>eth_ON!AG23 - eth_OFF!AG23 - AVERAGE(AG$62:AG$63)</f>
        <v>15.849999999999994</v>
      </c>
      <c r="AH23" s="10">
        <f>eth_ON!AH23 - eth_OFF!AH23 - AVERAGE(AH$62:AH$63)</f>
        <v>14.649999999999977</v>
      </c>
      <c r="AI23" s="10">
        <f>eth_ON!AI23 - eth_OFF!AI23 - AVERAGE(AI$62:AI$63)</f>
        <v>13.250000000000028</v>
      </c>
      <c r="AJ23" s="10">
        <f>eth_ON!AJ23 - eth_OFF!AJ23 - AVERAGE(AJ$62:AJ$63)</f>
        <v>15.349999999999966</v>
      </c>
      <c r="AK23" s="10">
        <f>eth_ON!AK23 - eth_OFF!AK23 - AVERAGE(AK$62:AK$63)</f>
        <v>15.599999999999994</v>
      </c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</row>
    <row r="24" spans="1:65">
      <c r="A24" s="30">
        <v>23</v>
      </c>
      <c r="B24" s="10">
        <f>eth_ON!B24 - eth_OFF!B24 - AVERAGE(B$62:B$63)</f>
        <v>3.6499999999999773</v>
      </c>
      <c r="C24" s="10">
        <f>eth_ON!C24 - eth_OFF!C24 - AVERAGE(C$62:C$63)</f>
        <v>5.3500000000000227</v>
      </c>
      <c r="D24" s="10">
        <f>eth_ON!D24 - eth_OFF!D24 - AVERAGE(D$62:D$63)</f>
        <v>6.5500000000000398</v>
      </c>
      <c r="E24" s="10">
        <f>eth_ON!E24 - eth_OFF!E24 - AVERAGE(E$62:E$63)</f>
        <v>9.9499999999999602</v>
      </c>
      <c r="F24" s="10">
        <f>eth_ON!F24 - eth_OFF!F24 - AVERAGE(F$62:F$63)</f>
        <v>-0.70000000000001705</v>
      </c>
      <c r="G24" s="10">
        <f>eth_ON!G24 - eth_OFF!G24 - AVERAGE(G$62:G$63)</f>
        <v>12.250000000000028</v>
      </c>
      <c r="H24" s="10">
        <f>eth_ON!H24 - eth_OFF!H24 - AVERAGE(H$62:H$63)</f>
        <v>11.549999999999983</v>
      </c>
      <c r="I24" s="10">
        <f>eth_ON!I24 - eth_OFF!I24 - AVERAGE(I$62:I$63)</f>
        <v>5.1500000000000057</v>
      </c>
      <c r="J24" s="10">
        <f>eth_ON!J24 - eth_OFF!J24 - AVERAGE(J$62:J$63)</f>
        <v>8.8499999999999659</v>
      </c>
      <c r="K24" s="10">
        <f>eth_ON!K24 - eth_OFF!K24 - AVERAGE(K$62:K$63)</f>
        <v>10.200000000000017</v>
      </c>
      <c r="L24" s="10">
        <f>eth_ON!L24 - eth_OFF!L24 - AVERAGE(L$62:L$63)</f>
        <v>8.5500000000000398</v>
      </c>
      <c r="M24" s="10">
        <f>eth_ON!M24 - eth_OFF!M24 - AVERAGE(M$62:M$63)</f>
        <v>9.8499999999999943</v>
      </c>
      <c r="N24" s="10">
        <f>eth_ON!N24 - eth_OFF!N24 - AVERAGE(N$62:N$63)</f>
        <v>10.900000000000006</v>
      </c>
      <c r="O24" s="10">
        <f>eth_ON!O24 - eth_OFF!O24 - AVERAGE(O$62:O$63)</f>
        <v>12.799999999999983</v>
      </c>
      <c r="P24" s="10">
        <f>eth_ON!P24 - eth_OFF!P24 - AVERAGE(P$62:P$63)</f>
        <v>11.099999999999994</v>
      </c>
      <c r="Q24" s="10">
        <f>eth_ON!Q24 - eth_OFF!Q24 - AVERAGE(Q$62:Q$63)</f>
        <v>13.900000000000006</v>
      </c>
      <c r="R24" s="10">
        <f>eth_ON!R24 - eth_OFF!R24 - AVERAGE(R$62:R$63)</f>
        <v>9.7000000000000739</v>
      </c>
      <c r="S24" s="10">
        <f>eth_ON!S24 - eth_OFF!S24 - AVERAGE(S$62:S$63)</f>
        <v>11.350000000000023</v>
      </c>
      <c r="T24" s="10" t="e">
        <f>eth_ON!T24 - eth_OFF!T24 - AVERAGE(T$62:T$63)</f>
        <v>#VALUE!</v>
      </c>
      <c r="U24" s="10">
        <f>eth_ON!U24 - eth_OFF!U24 - AVERAGE(U$62:U$63)</f>
        <v>12.300000000000011</v>
      </c>
      <c r="V24" s="10">
        <f>eth_ON!V24 - eth_OFF!V24 - AVERAGE(V$62:V$63)</f>
        <v>11.5</v>
      </c>
      <c r="W24" s="10">
        <f>eth_ON!W24 - eth_OFF!W24 - AVERAGE(W$62:W$63)</f>
        <v>12.500000000000028</v>
      </c>
      <c r="X24" s="10">
        <f>eth_ON!X24 - eth_OFF!X24 - AVERAGE(X$62:X$63)</f>
        <v>10.799999999999955</v>
      </c>
      <c r="Y24" s="10">
        <f>eth_ON!Y24 - eth_OFF!Y24 - AVERAGE(Y$62:Y$63)</f>
        <v>11.750000000000028</v>
      </c>
      <c r="Z24" s="10">
        <f>eth_ON!Z24 - eth_OFF!Z24 - AVERAGE(Z$62:Z$63)</f>
        <v>17.400000000000006</v>
      </c>
      <c r="AA24" s="10">
        <f>eth_ON!AA24 - eth_OFF!AA24 - AVERAGE(AA$62:AA$63)</f>
        <v>10.050000000000011</v>
      </c>
      <c r="AB24" s="10">
        <f>eth_ON!AB24 - eth_OFF!AB24 - AVERAGE(AB$62:AB$63)</f>
        <v>15.399999999999949</v>
      </c>
      <c r="AC24" s="10">
        <f>eth_ON!AC24 - eth_OFF!AC24 - AVERAGE(AC$62:AC$63)</f>
        <v>16.850000000000051</v>
      </c>
      <c r="AD24" s="10">
        <f>eth_ON!AD24 - eth_OFF!AD24 - AVERAGE(AD$62:AD$63)</f>
        <v>13.449999999999989</v>
      </c>
      <c r="AE24" s="10">
        <f>eth_ON!AE24 - eth_OFF!AE24 - AVERAGE(AE$62:AE$63)</f>
        <v>14.550000000000011</v>
      </c>
      <c r="AF24" s="10">
        <f>eth_ON!AF24 - eth_OFF!AF24 - AVERAGE(AF$62:AF$63)</f>
        <v>15.099999999999994</v>
      </c>
      <c r="AG24" s="10">
        <f>eth_ON!AG24 - eth_OFF!AG24 - AVERAGE(AG$62:AG$63)</f>
        <v>13.049999999999983</v>
      </c>
      <c r="AH24" s="10">
        <f>eth_ON!AH24 - eth_OFF!AH24 - AVERAGE(AH$62:AH$63)</f>
        <v>13.149999999999977</v>
      </c>
      <c r="AI24" s="10">
        <f>eth_ON!AI24 - eth_OFF!AI24 - AVERAGE(AI$62:AI$63)</f>
        <v>13.150000000000006</v>
      </c>
      <c r="AJ24" s="10">
        <f>eth_ON!AJ24 - eth_OFF!AJ24 - AVERAGE(AJ$62:AJ$63)</f>
        <v>11.25</v>
      </c>
      <c r="AK24" s="10">
        <f>eth_ON!AK24 - eth_OFF!AK24 - AVERAGE(AK$62:AK$63)</f>
        <v>12.200000000000017</v>
      </c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</row>
    <row r="25" spans="1:65">
      <c r="A25" s="30">
        <v>24</v>
      </c>
      <c r="B25" s="10">
        <f>eth_ON!B25 - eth_OFF!B25 - AVERAGE(B$62:B$63)</f>
        <v>14.949999999999989</v>
      </c>
      <c r="C25" s="10">
        <f>eth_ON!C25 - eth_OFF!C25 - AVERAGE(C$62:C$63)</f>
        <v>17.250000000000057</v>
      </c>
      <c r="D25" s="10">
        <f>eth_ON!D25 - eth_OFF!D25 - AVERAGE(D$62:D$63)</f>
        <v>15.750000000000028</v>
      </c>
      <c r="E25" s="10">
        <f>eth_ON!E25 - eth_OFF!E25 - AVERAGE(E$62:E$63)</f>
        <v>19.749999999999972</v>
      </c>
      <c r="F25" s="10">
        <f>eth_ON!F25 - eth_OFF!F25 - AVERAGE(F$62:F$63)</f>
        <v>12.80000000000004</v>
      </c>
      <c r="G25" s="10">
        <f>eth_ON!G25 - eth_OFF!G25 - AVERAGE(G$62:G$63)</f>
        <v>15.350000000000051</v>
      </c>
      <c r="H25" s="10">
        <f>eth_ON!H25 - eth_OFF!H25 - AVERAGE(H$62:H$63)</f>
        <v>21.44999999999996</v>
      </c>
      <c r="I25" s="10">
        <f>eth_ON!I25 - eth_OFF!I25 - AVERAGE(I$62:I$63)</f>
        <v>19.049999999999983</v>
      </c>
      <c r="J25" s="10">
        <f>eth_ON!J25 - eth_OFF!J25 - AVERAGE(J$62:J$63)</f>
        <v>19.75</v>
      </c>
      <c r="K25" s="10">
        <f>eth_ON!K25 - eth_OFF!K25 - AVERAGE(K$62:K$63)</f>
        <v>24.500000000000028</v>
      </c>
      <c r="L25" s="10">
        <f>eth_ON!L25 - eth_OFF!L25 - AVERAGE(L$62:L$63)</f>
        <v>18.05000000000004</v>
      </c>
      <c r="M25" s="10">
        <f>eth_ON!M25 - eth_OFF!M25 - AVERAGE(M$62:M$63)</f>
        <v>21.749999999999972</v>
      </c>
      <c r="N25" s="10">
        <f>eth_ON!N25 - eth_OFF!N25 - AVERAGE(N$62:N$63)</f>
        <v>19.700000000000017</v>
      </c>
      <c r="O25" s="10">
        <f>eth_ON!O25 - eth_OFF!O25 - AVERAGE(O$62:O$63)</f>
        <v>25.200000000000017</v>
      </c>
      <c r="P25" s="10">
        <f>eth_ON!P25 - eth_OFF!P25 - AVERAGE(P$62:P$63)</f>
        <v>20.200000000000017</v>
      </c>
      <c r="Q25" s="10">
        <f>eth_ON!Q25 - eth_OFF!Q25 - AVERAGE(Q$62:Q$63)</f>
        <v>20.000000000000028</v>
      </c>
      <c r="R25" s="10">
        <f>eth_ON!R25 - eth_OFF!R25 - AVERAGE(R$62:R$63)</f>
        <v>22.600000000000051</v>
      </c>
      <c r="S25" s="10">
        <f>eth_ON!S25 - eth_OFF!S25 - AVERAGE(S$62:S$63)</f>
        <v>21.950000000000045</v>
      </c>
      <c r="T25" s="10" t="e">
        <f>eth_ON!T25 - eth_OFF!T25 - AVERAGE(T$62:T$63)</f>
        <v>#VALUE!</v>
      </c>
      <c r="U25" s="10">
        <f>eth_ON!U25 - eth_OFF!U25 - AVERAGE(U$62:U$63)</f>
        <v>20.399999999999977</v>
      </c>
      <c r="V25" s="10">
        <f>eth_ON!V25 - eth_OFF!V25 - AVERAGE(V$62:V$63)</f>
        <v>23.600000000000023</v>
      </c>
      <c r="W25" s="10">
        <f>eth_ON!W25 - eth_OFF!W25 - AVERAGE(W$62:W$63)</f>
        <v>20.500000000000028</v>
      </c>
      <c r="X25" s="10">
        <f>eth_ON!X25 - eth_OFF!X25 - AVERAGE(X$62:X$63)</f>
        <v>17.699999999999932</v>
      </c>
      <c r="Y25" s="10">
        <f>eth_ON!Y25 - eth_OFF!Y25 - AVERAGE(Y$62:Y$63)</f>
        <v>22.749999999999972</v>
      </c>
      <c r="Z25" s="10">
        <f>eth_ON!Z25 - eth_OFF!Z25 - AVERAGE(Z$62:Z$63)</f>
        <v>20.599999999999994</v>
      </c>
      <c r="AA25" s="10">
        <f>eth_ON!AA25 - eth_OFF!AA25 - AVERAGE(AA$62:AA$63)</f>
        <v>24.850000000000023</v>
      </c>
      <c r="AB25" s="10">
        <f>eth_ON!AB25 - eth_OFF!AB25 - AVERAGE(AB$62:AB$63)</f>
        <v>16.799999999999983</v>
      </c>
      <c r="AC25" s="10">
        <f>eth_ON!AC25 - eth_OFF!AC25 - AVERAGE(AC$62:AC$63)</f>
        <v>17.05000000000004</v>
      </c>
      <c r="AD25" s="10">
        <f>eth_ON!AD25 - eth_OFF!AD25 - AVERAGE(AD$62:AD$63)</f>
        <v>23.949999999999989</v>
      </c>
      <c r="AE25" s="10">
        <f>eth_ON!AE25 - eth_OFF!AE25 - AVERAGE(AE$62:AE$63)</f>
        <v>25.949999999999989</v>
      </c>
      <c r="AF25" s="10">
        <f>eth_ON!AF25 - eth_OFF!AF25 - AVERAGE(AF$62:AF$63)</f>
        <v>26.900000000000006</v>
      </c>
      <c r="AG25" s="10">
        <f>eth_ON!AG25 - eth_OFF!AG25 - AVERAGE(AG$62:AG$63)</f>
        <v>24.950000000000017</v>
      </c>
      <c r="AH25" s="10">
        <f>eth_ON!AH25 - eth_OFF!AH25 - AVERAGE(AH$62:AH$63)</f>
        <v>25.25</v>
      </c>
      <c r="AI25" s="10">
        <f>eth_ON!AI25 - eth_OFF!AI25 - AVERAGE(AI$62:AI$63)</f>
        <v>25.249999999999972</v>
      </c>
      <c r="AJ25" s="10">
        <f>eth_ON!AJ25 - eth_OFF!AJ25 - AVERAGE(AJ$62:AJ$63)</f>
        <v>23.549999999999955</v>
      </c>
      <c r="AK25" s="10">
        <f>eth_ON!AK25 - eth_OFF!AK25 - AVERAGE(AK$62:AK$63)</f>
        <v>25.900000000000006</v>
      </c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</row>
    <row r="26" spans="1:65">
      <c r="A26" s="30">
        <v>25</v>
      </c>
      <c r="B26" s="10">
        <f>eth_ON!B26 - eth_OFF!B26 - AVERAGE(B$62:B$63)</f>
        <v>8.4499999999999886</v>
      </c>
      <c r="C26" s="10">
        <f>eth_ON!C26 - eth_OFF!C26 - AVERAGE(C$62:C$63)</f>
        <v>13.050000000000011</v>
      </c>
      <c r="D26" s="10">
        <f>eth_ON!D26 - eth_OFF!D26 - AVERAGE(D$62:D$63)</f>
        <v>12.349999999999994</v>
      </c>
      <c r="E26" s="10">
        <f>eth_ON!E26 - eth_OFF!E26 - AVERAGE(E$62:E$63)</f>
        <v>16.549999999999983</v>
      </c>
      <c r="F26" s="10">
        <f>eth_ON!F26 - eth_OFF!F26 - AVERAGE(F$62:F$63)</f>
        <v>21.200000000000017</v>
      </c>
      <c r="G26" s="10">
        <f>eth_ON!G26 - eth_OFF!G26 - AVERAGE(G$62:G$63)</f>
        <v>20.150000000000006</v>
      </c>
      <c r="H26" s="10">
        <f>eth_ON!H26 - eth_OFF!H26 - AVERAGE(H$62:H$63)</f>
        <v>25.150000000000006</v>
      </c>
      <c r="I26" s="10">
        <f>eth_ON!I26 - eth_OFF!I26 - AVERAGE(I$62:I$63)</f>
        <v>16.250000000000028</v>
      </c>
      <c r="J26" s="10">
        <f>eth_ON!J26 - eth_OFF!J26 - AVERAGE(J$62:J$63)</f>
        <v>19.449999999999989</v>
      </c>
      <c r="K26" s="10">
        <f>eth_ON!K26 - eth_OFF!K26 - AVERAGE(K$62:K$63)</f>
        <v>18.599999999999994</v>
      </c>
      <c r="L26" s="10">
        <f>eth_ON!L26 - eth_OFF!L26 - AVERAGE(L$62:L$63)</f>
        <v>18.150000000000063</v>
      </c>
      <c r="M26" s="10">
        <f>eth_ON!M26 - eth_OFF!M26 - AVERAGE(M$62:M$63)</f>
        <v>19.249999999999972</v>
      </c>
      <c r="N26" s="10">
        <f>eth_ON!N26 - eth_OFF!N26 - AVERAGE(N$62:N$63)</f>
        <v>20.80000000000004</v>
      </c>
      <c r="O26" s="10">
        <f>eth_ON!O26 - eth_OFF!O26 - AVERAGE(O$62:O$63)</f>
        <v>19.099999999999994</v>
      </c>
      <c r="P26" s="10">
        <f>eth_ON!P26 - eth_OFF!P26 - AVERAGE(P$62:P$63)</f>
        <v>23.900000000000006</v>
      </c>
      <c r="Q26" s="10">
        <f>eth_ON!Q26 - eth_OFF!Q26 - AVERAGE(Q$62:Q$63)</f>
        <v>23.799999999999983</v>
      </c>
      <c r="R26" s="10">
        <f>eth_ON!R26 - eth_OFF!R26 - AVERAGE(R$62:R$63)</f>
        <v>22.500000000000028</v>
      </c>
      <c r="S26" s="10">
        <f>eth_ON!S26 - eth_OFF!S26 - AVERAGE(S$62:S$63)</f>
        <v>32.950000000000045</v>
      </c>
      <c r="T26" s="10" t="e">
        <f>eth_ON!T26 - eth_OFF!T26 - AVERAGE(T$62:T$63)</f>
        <v>#VALUE!</v>
      </c>
      <c r="U26" s="10">
        <f>eth_ON!U26 - eth_OFF!U26 - AVERAGE(U$62:U$63)</f>
        <v>22.800000000000011</v>
      </c>
      <c r="V26" s="10">
        <f>eth_ON!V26 - eth_OFF!V26 - AVERAGE(V$62:V$63)</f>
        <v>21.699999999999989</v>
      </c>
      <c r="W26" s="10">
        <f>eth_ON!W26 - eth_OFF!W26 - AVERAGE(W$62:W$63)</f>
        <v>23.099999999999994</v>
      </c>
      <c r="X26" s="10">
        <f>eth_ON!X26 - eth_OFF!X26 - AVERAGE(X$62:X$63)</f>
        <v>26</v>
      </c>
      <c r="Y26" s="10">
        <f>eth_ON!Y26 - eth_OFF!Y26 - AVERAGE(Y$62:Y$63)</f>
        <v>29.450000000000017</v>
      </c>
      <c r="Z26" s="10">
        <f>eth_ON!Z26 - eth_OFF!Z26 - AVERAGE(Z$62:Z$63)</f>
        <v>25.69999999999996</v>
      </c>
      <c r="AA26" s="10">
        <f>eth_ON!AA26 - eth_OFF!AA26 - AVERAGE(AA$62:AA$63)</f>
        <v>22.949999999999989</v>
      </c>
      <c r="AB26" s="10">
        <f>eth_ON!AB26 - eth_OFF!AB26 - AVERAGE(AB$62:AB$63)</f>
        <v>26.499999999999972</v>
      </c>
      <c r="AC26" s="10">
        <f>eth_ON!AC26 - eth_OFF!AC26 - AVERAGE(AC$62:AC$63)</f>
        <v>26.150000000000006</v>
      </c>
      <c r="AD26" s="10">
        <f>eth_ON!AD26 - eth_OFF!AD26 - AVERAGE(AD$62:AD$63)</f>
        <v>23.949999999999989</v>
      </c>
      <c r="AE26" s="10">
        <f>eth_ON!AE26 - eth_OFF!AE26 - AVERAGE(AE$62:AE$63)</f>
        <v>29.650000000000034</v>
      </c>
      <c r="AF26" s="10">
        <f>eth_ON!AF26 - eth_OFF!AF26 - AVERAGE(AF$62:AF$63)</f>
        <v>26.400000000000006</v>
      </c>
      <c r="AG26" s="10">
        <f>eth_ON!AG26 - eth_OFF!AG26 - AVERAGE(AG$62:AG$63)</f>
        <v>34.549999999999983</v>
      </c>
      <c r="AH26" s="10">
        <f>eth_ON!AH26 - eth_OFF!AH26 - AVERAGE(AH$62:AH$63)</f>
        <v>23.049999999999955</v>
      </c>
      <c r="AI26" s="10">
        <f>eth_ON!AI26 - eth_OFF!AI26 - AVERAGE(AI$62:AI$63)</f>
        <v>23.750000000000028</v>
      </c>
      <c r="AJ26" s="10">
        <f>eth_ON!AJ26 - eth_OFF!AJ26 - AVERAGE(AJ$62:AJ$63)</f>
        <v>23.25</v>
      </c>
      <c r="AK26" s="10">
        <f>eth_ON!AK26 - eth_OFF!AK26 - AVERAGE(AK$62:AK$63)</f>
        <v>26.400000000000006</v>
      </c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</row>
    <row r="27" spans="1:65">
      <c r="A27" s="30">
        <v>26</v>
      </c>
      <c r="B27" s="10">
        <f>eth_ON!B27 - eth_OFF!B27 - AVERAGE(B$62:B$63)</f>
        <v>6.9499999999999886</v>
      </c>
      <c r="C27" s="10">
        <f>eth_ON!C27 - eth_OFF!C27 - AVERAGE(C$62:C$63)</f>
        <v>8.6500000000000341</v>
      </c>
      <c r="D27" s="10">
        <f>eth_ON!D27 - eth_OFF!D27 - AVERAGE(D$62:D$63)</f>
        <v>7.2500000000000284</v>
      </c>
      <c r="E27" s="10">
        <f>eth_ON!E27 - eth_OFF!E27 - AVERAGE(E$62:E$63)</f>
        <v>9.4499999999999602</v>
      </c>
      <c r="F27" s="10">
        <f>eth_ON!F27 - eth_OFF!F27 - AVERAGE(F$62:F$63)</f>
        <v>-0.59999999999999432</v>
      </c>
      <c r="G27" s="10">
        <f>eth_ON!G27 - eth_OFF!G27 - AVERAGE(G$62:G$63)</f>
        <v>9.4500000000000171</v>
      </c>
      <c r="H27" s="10">
        <f>eth_ON!H27 - eth_OFF!H27 - AVERAGE(H$62:H$63)</f>
        <v>11.649999999999949</v>
      </c>
      <c r="I27" s="10">
        <f>eth_ON!I27 - eth_OFF!I27 - AVERAGE(I$62:I$63)</f>
        <v>13.349999999999994</v>
      </c>
      <c r="J27" s="10">
        <f>eth_ON!J27 - eth_OFF!J27 - AVERAGE(J$62:J$63)</f>
        <v>14.949999999999989</v>
      </c>
      <c r="K27" s="10">
        <f>eth_ON!K27 - eth_OFF!K27 - AVERAGE(K$62:K$63)</f>
        <v>13.400000000000006</v>
      </c>
      <c r="L27" s="10">
        <f>eth_ON!L27 - eth_OFF!L27 - AVERAGE(L$62:L$63)</f>
        <v>15.250000000000028</v>
      </c>
      <c r="M27" s="10">
        <f>eth_ON!M27 - eth_OFF!M27 - AVERAGE(M$62:M$63)</f>
        <v>16.849999999999994</v>
      </c>
      <c r="N27" s="10">
        <f>eth_ON!N27 - eth_OFF!N27 - AVERAGE(N$62:N$63)</f>
        <v>17.500000000000028</v>
      </c>
      <c r="O27" s="10">
        <f>eth_ON!O27 - eth_OFF!O27 - AVERAGE(O$62:O$63)</f>
        <v>12.80000000000004</v>
      </c>
      <c r="P27" s="10">
        <f>eth_ON!P27 - eth_OFF!P27 - AVERAGE(P$62:P$63)</f>
        <v>16.499999999999972</v>
      </c>
      <c r="Q27" s="10">
        <f>eth_ON!Q27 - eth_OFF!Q27 - AVERAGE(Q$62:Q$63)</f>
        <v>16.100000000000051</v>
      </c>
      <c r="R27" s="10">
        <f>eth_ON!R27 - eth_OFF!R27 - AVERAGE(R$62:R$63)</f>
        <v>12.799999999999983</v>
      </c>
      <c r="S27" s="10">
        <f>eth_ON!S27 - eth_OFF!S27 - AVERAGE(S$62:S$63)</f>
        <v>19.550000000000011</v>
      </c>
      <c r="T27" s="10" t="e">
        <f>eth_ON!T27 - eth_OFF!T27 - AVERAGE(T$62:T$63)</f>
        <v>#VALUE!</v>
      </c>
      <c r="U27" s="10">
        <f>eth_ON!U27 - eth_OFF!U27 - AVERAGE(U$62:U$63)</f>
        <v>14.300000000000011</v>
      </c>
      <c r="V27" s="10">
        <f>eth_ON!V27 - eth_OFF!V27 - AVERAGE(V$62:V$63)</f>
        <v>16.800000000000068</v>
      </c>
      <c r="W27" s="10">
        <f>eth_ON!W27 - eth_OFF!W27 - AVERAGE(W$62:W$63)</f>
        <v>17.099999999999994</v>
      </c>
      <c r="X27" s="10">
        <f>eth_ON!X27 - eth_OFF!X27 - AVERAGE(X$62:X$63)</f>
        <v>14.399999999999977</v>
      </c>
      <c r="Y27" s="10">
        <f>eth_ON!Y27 - eth_OFF!Y27 - AVERAGE(Y$62:Y$63)</f>
        <v>18.450000000000017</v>
      </c>
      <c r="Z27" s="10">
        <f>eth_ON!Z27 - eth_OFF!Z27 - AVERAGE(Z$62:Z$63)</f>
        <v>17.900000000000006</v>
      </c>
      <c r="AA27" s="10">
        <f>eth_ON!AA27 - eth_OFF!AA27 - AVERAGE(AA$62:AA$63)</f>
        <v>18.150000000000034</v>
      </c>
      <c r="AB27" s="10">
        <f>eth_ON!AB27 - eth_OFF!AB27 - AVERAGE(AB$62:AB$63)</f>
        <v>17.299999999999983</v>
      </c>
      <c r="AC27" s="10">
        <f>eth_ON!AC27 - eth_OFF!AC27 - AVERAGE(AC$62:AC$63)</f>
        <v>18.049999999999983</v>
      </c>
      <c r="AD27" s="10">
        <f>eth_ON!AD27 - eth_OFF!AD27 - AVERAGE(AD$62:AD$63)</f>
        <v>18.349999999999966</v>
      </c>
      <c r="AE27" s="10">
        <f>eth_ON!AE27 - eth_OFF!AE27 - AVERAGE(AE$62:AE$63)</f>
        <v>16.649999999999977</v>
      </c>
      <c r="AF27" s="10">
        <f>eth_ON!AF27 - eth_OFF!AF27 - AVERAGE(AF$62:AF$63)</f>
        <v>17.900000000000006</v>
      </c>
      <c r="AG27" s="10">
        <f>eth_ON!AG27 - eth_OFF!AG27 - AVERAGE(AG$62:AG$63)</f>
        <v>16.150000000000006</v>
      </c>
      <c r="AH27" s="10">
        <f>eth_ON!AH27 - eth_OFF!AH27 - AVERAGE(AH$62:AH$63)</f>
        <v>14.850000000000023</v>
      </c>
      <c r="AI27" s="10">
        <f>eth_ON!AI27 - eth_OFF!AI27 - AVERAGE(AI$62:AI$63)</f>
        <v>15.150000000000006</v>
      </c>
      <c r="AJ27" s="10">
        <f>eth_ON!AJ27 - eth_OFF!AJ27 - AVERAGE(AJ$62:AJ$63)</f>
        <v>15.649999999999977</v>
      </c>
      <c r="AK27" s="10">
        <f>eth_ON!AK27 - eth_OFF!AK27 - AVERAGE(AK$62:AK$63)</f>
        <v>17.700000000000017</v>
      </c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</row>
    <row r="28" spans="1:65">
      <c r="A28" s="30">
        <v>27</v>
      </c>
      <c r="B28" s="10">
        <f>eth_ON!B28 - eth_OFF!B28 - AVERAGE(B$62:B$63)</f>
        <v>3.75</v>
      </c>
      <c r="C28" s="10">
        <f>eth_ON!C28 - eth_OFF!C28 - AVERAGE(C$62:C$63)</f>
        <v>6.25</v>
      </c>
      <c r="D28" s="10">
        <f>eth_ON!D28 - eth_OFF!D28 - AVERAGE(D$62:D$63)</f>
        <v>9.2500000000000284</v>
      </c>
      <c r="E28" s="10">
        <f>eth_ON!E28 - eth_OFF!E28 - AVERAGE(E$62:E$63)</f>
        <v>8.5500000000000398</v>
      </c>
      <c r="F28" s="10">
        <f>eth_ON!F28 - eth_OFF!F28 - AVERAGE(F$62:F$63)</f>
        <v>2.2000000000000171</v>
      </c>
      <c r="G28" s="10">
        <f>eth_ON!G28 - eth_OFF!G28 - AVERAGE(G$62:G$63)</f>
        <v>9.1500000000000057</v>
      </c>
      <c r="H28" s="10">
        <f>eth_ON!H28 - eth_OFF!H28 - AVERAGE(H$62:H$63)</f>
        <v>10.250000000000028</v>
      </c>
      <c r="I28" s="10">
        <f>eth_ON!I28 - eth_OFF!I28 - AVERAGE(I$62:I$63)</f>
        <v>9.2499999999999716</v>
      </c>
      <c r="J28" s="10">
        <f>eth_ON!J28 - eth_OFF!J28 - AVERAGE(J$62:J$63)</f>
        <v>10.949999999999989</v>
      </c>
      <c r="K28" s="10">
        <f>eth_ON!K28 - eth_OFF!K28 - AVERAGE(K$62:K$63)</f>
        <v>9.9000000000000057</v>
      </c>
      <c r="L28" s="10">
        <f>eth_ON!L28 - eth_OFF!L28 - AVERAGE(L$62:L$63)</f>
        <v>11.05000000000004</v>
      </c>
      <c r="M28" s="10">
        <f>eth_ON!M28 - eth_OFF!M28 - AVERAGE(M$62:M$63)</f>
        <v>9.8499999999999943</v>
      </c>
      <c r="N28" s="10">
        <f>eth_ON!N28 - eth_OFF!N28 - AVERAGE(N$62:N$63)</f>
        <v>12.100000000000051</v>
      </c>
      <c r="O28" s="10">
        <f>eth_ON!O28 - eth_OFF!O28 - AVERAGE(O$62:O$63)</f>
        <v>12.700000000000017</v>
      </c>
      <c r="P28" s="10">
        <f>eth_ON!P28 - eth_OFF!P28 - AVERAGE(P$62:P$63)</f>
        <v>12.799999999999983</v>
      </c>
      <c r="Q28" s="10">
        <f>eth_ON!Q28 - eth_OFF!Q28 - AVERAGE(Q$62:Q$63)</f>
        <v>11.700000000000017</v>
      </c>
      <c r="R28" s="10">
        <f>eth_ON!R28 - eth_OFF!R28 - AVERAGE(R$62:R$63)</f>
        <v>10.900000000000006</v>
      </c>
      <c r="S28" s="10">
        <f>eth_ON!S28 - eth_OFF!S28 - AVERAGE(S$62:S$63)</f>
        <v>11.049999999999955</v>
      </c>
      <c r="T28" s="10" t="e">
        <f>eth_ON!T28 - eth_OFF!T28 - AVERAGE(T$62:T$63)</f>
        <v>#VALUE!</v>
      </c>
      <c r="U28" s="10">
        <f>eth_ON!U28 - eth_OFF!U28 - AVERAGE(U$62:U$63)</f>
        <v>11.599999999999966</v>
      </c>
      <c r="V28" s="10">
        <f>eth_ON!V28 - eth_OFF!V28 - AVERAGE(V$62:V$63)</f>
        <v>9.5000000000000568</v>
      </c>
      <c r="W28" s="10">
        <f>eth_ON!W28 - eth_OFF!W28 - AVERAGE(W$62:W$63)</f>
        <v>14.200000000000017</v>
      </c>
      <c r="X28" s="10">
        <f>eth_ON!X28 - eth_OFF!X28 - AVERAGE(X$62:X$63)</f>
        <v>12.800000000000011</v>
      </c>
      <c r="Y28" s="10">
        <f>eth_ON!Y28 - eth_OFF!Y28 - AVERAGE(Y$62:Y$63)</f>
        <v>14.450000000000017</v>
      </c>
      <c r="Z28" s="10">
        <f>eth_ON!Z28 - eth_OFF!Z28 - AVERAGE(Z$62:Z$63)</f>
        <v>13.200000000000017</v>
      </c>
      <c r="AA28" s="10">
        <f>eth_ON!AA28 - eth_OFF!AA28 - AVERAGE(AA$62:AA$63)</f>
        <v>12.349999999999966</v>
      </c>
      <c r="AB28" s="10">
        <f>eth_ON!AB28 - eth_OFF!AB28 - AVERAGE(AB$62:AB$63)</f>
        <v>13.299999999999983</v>
      </c>
      <c r="AC28" s="10">
        <f>eth_ON!AC28 - eth_OFF!AC28 - AVERAGE(AC$62:AC$63)</f>
        <v>11.049999999999983</v>
      </c>
      <c r="AD28" s="10">
        <f>eth_ON!AD28 - eth_OFF!AD28 - AVERAGE(AD$62:AD$63)</f>
        <v>12.149999999999977</v>
      </c>
      <c r="AE28" s="10">
        <f>eth_ON!AE28 - eth_OFF!AE28 - AVERAGE(AE$62:AE$63)</f>
        <v>13.549999999999955</v>
      </c>
      <c r="AF28" s="10">
        <f>eth_ON!AF28 - eth_OFF!AF28 - AVERAGE(AF$62:AF$63)</f>
        <v>14.099999999999994</v>
      </c>
      <c r="AG28" s="10">
        <f>eth_ON!AG28 - eth_OFF!AG28 - AVERAGE(AG$62:AG$63)</f>
        <v>15.049999999999983</v>
      </c>
      <c r="AH28" s="10">
        <f>eth_ON!AH28 - eth_OFF!AH28 - AVERAGE(AH$62:AH$63)</f>
        <v>14.550000000000011</v>
      </c>
      <c r="AI28" s="10">
        <f>eth_ON!AI28 - eth_OFF!AI28 - AVERAGE(AI$62:AI$63)</f>
        <v>12.950000000000017</v>
      </c>
      <c r="AJ28" s="10">
        <f>eth_ON!AJ28 - eth_OFF!AJ28 - AVERAGE(AJ$62:AJ$63)</f>
        <v>12.149999999999977</v>
      </c>
      <c r="AK28" s="10">
        <f>eth_ON!AK28 - eth_OFF!AK28 - AVERAGE(AK$62:AK$63)</f>
        <v>12.499999999999972</v>
      </c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</row>
    <row r="29" spans="1:65">
      <c r="A29" s="30">
        <v>28</v>
      </c>
      <c r="B29" s="10">
        <f>eth_ON!B29 - eth_OFF!B29 - AVERAGE(B$62:B$63)</f>
        <v>3.25</v>
      </c>
      <c r="C29" s="10">
        <f>eth_ON!C29 - eth_OFF!C29 - AVERAGE(C$62:C$63)</f>
        <v>2.1500000000000341</v>
      </c>
      <c r="D29" s="10">
        <f>eth_ON!D29 - eth_OFF!D29 - AVERAGE(D$62:D$63)</f>
        <v>5.2500000000000284</v>
      </c>
      <c r="E29" s="10">
        <f>eth_ON!E29 - eth_OFF!E29 - AVERAGE(E$62:E$63)</f>
        <v>5.3499999999999943</v>
      </c>
      <c r="F29" s="10">
        <f>eth_ON!F29 - eth_OFF!F29 - AVERAGE(F$62:F$63)</f>
        <v>-0.59999999999999432</v>
      </c>
      <c r="G29" s="10">
        <f>eth_ON!G29 - eth_OFF!G29 - AVERAGE(G$62:G$63)</f>
        <v>6.9500000000000171</v>
      </c>
      <c r="H29" s="10">
        <f>eth_ON!H29 - eth_OFF!H29 - AVERAGE(H$62:H$63)</f>
        <v>8.3499999999999943</v>
      </c>
      <c r="I29" s="10">
        <f>eth_ON!I29 - eth_OFF!I29 - AVERAGE(I$62:I$63)</f>
        <v>6.5499999999999829</v>
      </c>
      <c r="J29" s="10">
        <f>eth_ON!J29 - eth_OFF!J29 - AVERAGE(J$62:J$63)</f>
        <v>7.5499999999999545</v>
      </c>
      <c r="K29" s="10">
        <f>eth_ON!K29 - eth_OFF!K29 - AVERAGE(K$62:K$63)</f>
        <v>5.3000000000000398</v>
      </c>
      <c r="L29" s="10">
        <f>eth_ON!L29 - eth_OFF!L29 - AVERAGE(L$62:L$63)</f>
        <v>8.5500000000000398</v>
      </c>
      <c r="M29" s="10">
        <f>eth_ON!M29 - eth_OFF!M29 - AVERAGE(M$62:M$63)</f>
        <v>6.9500000000000171</v>
      </c>
      <c r="N29" s="10">
        <f>eth_ON!N29 - eth_OFF!N29 - AVERAGE(N$62:N$63)</f>
        <v>9.5000000000000284</v>
      </c>
      <c r="O29" s="10">
        <f>eth_ON!O29 - eth_OFF!O29 - AVERAGE(O$62:O$63)</f>
        <v>8.5999999999999943</v>
      </c>
      <c r="P29" s="10">
        <f>eth_ON!P29 - eth_OFF!P29 - AVERAGE(P$62:P$63)</f>
        <v>7.0999999999999943</v>
      </c>
      <c r="Q29" s="10">
        <f>eth_ON!Q29 - eth_OFF!Q29 - AVERAGE(Q$62:Q$63)</f>
        <v>8.9000000000000057</v>
      </c>
      <c r="R29" s="10">
        <f>eth_ON!R29 - eth_OFF!R29 - AVERAGE(R$62:R$63)</f>
        <v>-0.59999999999999432</v>
      </c>
      <c r="S29" s="10">
        <f>eth_ON!S29 - eth_OFF!S29 - AVERAGE(S$62:S$63)</f>
        <v>7.6499999999999204</v>
      </c>
      <c r="T29" s="10" t="e">
        <f>eth_ON!T29 - eth_OFF!T29 - AVERAGE(T$62:T$63)</f>
        <v>#VALUE!</v>
      </c>
      <c r="U29" s="10">
        <f>eth_ON!U29 - eth_OFF!U29 - AVERAGE(U$62:U$63)</f>
        <v>10.099999999999966</v>
      </c>
      <c r="V29" s="10">
        <f>eth_ON!V29 - eth_OFF!V29 - AVERAGE(V$62:V$63)</f>
        <v>9.3000000000000114</v>
      </c>
      <c r="W29" s="10">
        <f>eth_ON!W29 - eth_OFF!W29 - AVERAGE(W$62:W$63)</f>
        <v>9.2999999999999829</v>
      </c>
      <c r="X29" s="10">
        <f>eth_ON!X29 - eth_OFF!X29 - AVERAGE(X$62:X$63)</f>
        <v>7.5999999999999659</v>
      </c>
      <c r="Y29" s="10">
        <f>eth_ON!Y29 - eth_OFF!Y29 - AVERAGE(Y$62:Y$63)</f>
        <v>8.2500000000000284</v>
      </c>
      <c r="Z29" s="10">
        <f>eth_ON!Z29 - eth_OFF!Z29 - AVERAGE(Z$62:Z$63)</f>
        <v>5.2000000000000171</v>
      </c>
      <c r="AA29" s="10">
        <f>eth_ON!AA29 - eth_OFF!AA29 - AVERAGE(AA$62:AA$63)</f>
        <v>10.550000000000011</v>
      </c>
      <c r="AB29" s="10">
        <f>eth_ON!AB29 - eth_OFF!AB29 - AVERAGE(AB$62:AB$63)</f>
        <v>10.299999999999983</v>
      </c>
      <c r="AC29" s="10">
        <f>eth_ON!AC29 - eth_OFF!AC29 - AVERAGE(AC$62:AC$63)</f>
        <v>9.7500000000000284</v>
      </c>
      <c r="AD29" s="10">
        <f>eth_ON!AD29 - eth_OFF!AD29 - AVERAGE(AD$62:AD$63)</f>
        <v>10.449999999999989</v>
      </c>
      <c r="AE29" s="10">
        <f>eth_ON!AE29 - eth_OFF!AE29 - AVERAGE(AE$62:AE$63)</f>
        <v>9.0500000000000114</v>
      </c>
      <c r="AF29" s="10">
        <f>eth_ON!AF29 - eth_OFF!AF29 - AVERAGE(AF$62:AF$63)</f>
        <v>8.0000000000000284</v>
      </c>
      <c r="AG29" s="10">
        <f>eth_ON!AG29 - eth_OFF!AG29 - AVERAGE(AG$62:AG$63)</f>
        <v>7.6500000000000057</v>
      </c>
      <c r="AH29" s="10">
        <f>eth_ON!AH29 - eth_OFF!AH29 - AVERAGE(AH$62:AH$63)</f>
        <v>8.3500000000000227</v>
      </c>
      <c r="AI29" s="10">
        <f>eth_ON!AI29 - eth_OFF!AI29 - AVERAGE(AI$62:AI$63)</f>
        <v>7.9499999999999602</v>
      </c>
      <c r="AJ29" s="10">
        <f>eth_ON!AJ29 - eth_OFF!AJ29 - AVERAGE(AJ$62:AJ$63)</f>
        <v>7.0500000000000114</v>
      </c>
      <c r="AK29" s="10">
        <f>eth_ON!AK29 - eth_OFF!AK29 - AVERAGE(AK$62:AK$63)</f>
        <v>8.1999999999999602</v>
      </c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</row>
    <row r="30" spans="1:65">
      <c r="A30" s="30">
        <v>29</v>
      </c>
      <c r="B30" s="10">
        <f>eth_ON!B30 - eth_OFF!B30 - AVERAGE(B$62:B$63)</f>
        <v>0.75</v>
      </c>
      <c r="C30" s="10">
        <f>eth_ON!C30 - eth_OFF!C30 - AVERAGE(C$62:C$63)</f>
        <v>1.75</v>
      </c>
      <c r="D30" s="10">
        <f>eth_ON!D30 - eth_OFF!D30 - AVERAGE(D$62:D$63)</f>
        <v>0.74999999999997158</v>
      </c>
      <c r="E30" s="10">
        <f>eth_ON!E30 - eth_OFF!E30 - AVERAGE(E$62:E$63)</f>
        <v>0.15000000000000568</v>
      </c>
      <c r="F30" s="10">
        <f>eth_ON!F30 - eth_OFF!F30 - AVERAGE(F$62:F$63)</f>
        <v>2.8421709430404007E-14</v>
      </c>
      <c r="G30" s="10">
        <f>eth_ON!G30 - eth_OFF!G30 - AVERAGE(G$62:G$63)</f>
        <v>1.0499999999999829</v>
      </c>
      <c r="H30" s="10">
        <f>eth_ON!H30 - eth_OFF!H30 - AVERAGE(H$62:H$63)</f>
        <v>1.3499999999999943</v>
      </c>
      <c r="I30" s="10">
        <f>eth_ON!I30 - eth_OFF!I30 - AVERAGE(I$62:I$63)</f>
        <v>0.55000000000003979</v>
      </c>
      <c r="J30" s="10">
        <f>eth_ON!J30 - eth_OFF!J30 - AVERAGE(J$62:J$63)</f>
        <v>1.0500000000000114</v>
      </c>
      <c r="K30" s="10">
        <f>eth_ON!K30 - eth_OFF!K30 - AVERAGE(K$62:K$63)</f>
        <v>0.99999999999997158</v>
      </c>
      <c r="L30" s="10">
        <f>eth_ON!L30 - eth_OFF!L30 - AVERAGE(L$62:L$63)</f>
        <v>0.35000000000005116</v>
      </c>
      <c r="M30" s="10">
        <f>eth_ON!M30 - eth_OFF!M30 - AVERAGE(M$62:M$63)</f>
        <v>-0.24999999999997158</v>
      </c>
      <c r="N30" s="10">
        <f>eth_ON!N30 - eth_OFF!N30 - AVERAGE(N$62:N$63)</f>
        <v>-9.9999999999994316E-2</v>
      </c>
      <c r="O30" s="10">
        <f>eth_ON!O30 - eth_OFF!O30 - AVERAGE(O$62:O$63)</f>
        <v>-9.9999999999937472E-2</v>
      </c>
      <c r="P30" s="10">
        <f>eth_ON!P30 - eth_OFF!P30 - AVERAGE(P$62:P$63)</f>
        <v>-0.30000000000003979</v>
      </c>
      <c r="Q30" s="10">
        <f>eth_ON!Q30 - eth_OFF!Q30 - AVERAGE(Q$62:Q$63)</f>
        <v>2.8421709430404007E-14</v>
      </c>
      <c r="R30" s="10">
        <f>eth_ON!R30 - eth_OFF!R30 - AVERAGE(R$62:R$63)</f>
        <v>0.2000000000000739</v>
      </c>
      <c r="S30" s="10">
        <f>eth_ON!S30 - eth_OFF!S30 - AVERAGE(S$62:S$63)</f>
        <v>-0.35000000000007958</v>
      </c>
      <c r="T30" s="10" t="e">
        <f>eth_ON!T30 - eth_OFF!T30 - AVERAGE(T$62:T$63)</f>
        <v>#VALUE!</v>
      </c>
      <c r="U30" s="10">
        <f>eth_ON!U30 - eth_OFF!U30 - AVERAGE(U$62:U$63)</f>
        <v>0.19999999999998863</v>
      </c>
      <c r="V30" s="10">
        <f>eth_ON!V30 - eth_OFF!V30 - AVERAGE(V$62:V$63)</f>
        <v>-9.9999999999965894E-2</v>
      </c>
      <c r="W30" s="10">
        <f>eth_ON!W30 - eth_OFF!W30 - AVERAGE(W$62:W$63)</f>
        <v>-9.9999999999994316E-2</v>
      </c>
      <c r="X30" s="10">
        <f>eth_ON!X30 - eth_OFF!X30 - AVERAGE(X$62:X$63)</f>
        <v>0.19999999999998863</v>
      </c>
      <c r="Y30" s="10">
        <f>eth_ON!Y30 - eth_OFF!Y30 - AVERAGE(Y$62:Y$63)</f>
        <v>0.24999999999997158</v>
      </c>
      <c r="Z30" s="10">
        <f>eth_ON!Z30 - eth_OFF!Z30 - AVERAGE(Z$62:Z$63)</f>
        <v>0.40000000000000568</v>
      </c>
      <c r="AA30" s="10">
        <f>eth_ON!AA30 - eth_OFF!AA30 - AVERAGE(AA$62:AA$63)</f>
        <v>0.64999999999997726</v>
      </c>
      <c r="AB30" s="10">
        <f>eth_ON!AB30 - eth_OFF!AB30 - AVERAGE(AB$62:AB$63)</f>
        <v>0.90000000000000568</v>
      </c>
      <c r="AC30" s="10">
        <f>eth_ON!AC30 - eth_OFF!AC30 - AVERAGE(AC$62:AC$63)</f>
        <v>1.3499999999999943</v>
      </c>
      <c r="AD30" s="10">
        <f>eth_ON!AD30 - eth_OFF!AD30 - AVERAGE(AD$62:AD$63)</f>
        <v>5.0000000000011369E-2</v>
      </c>
      <c r="AE30" s="10">
        <f>eth_ON!AE30 - eth_OFF!AE30 - AVERAGE(AE$62:AE$63)</f>
        <v>0.54999999999995453</v>
      </c>
      <c r="AF30" s="10">
        <f>eth_ON!AF30 - eth_OFF!AF30 - AVERAGE(AF$62:AF$63)</f>
        <v>0.90000000000000568</v>
      </c>
      <c r="AG30" s="10">
        <f>eth_ON!AG30 - eth_OFF!AG30 - AVERAGE(AG$62:AG$63)</f>
        <v>0.65000000000000568</v>
      </c>
      <c r="AH30" s="10">
        <f>eth_ON!AH30 - eth_OFF!AH30 - AVERAGE(AH$62:AH$63)</f>
        <v>0.65000000000003411</v>
      </c>
      <c r="AI30" s="10">
        <f>eth_ON!AI30 - eth_OFF!AI30 - AVERAGE(AI$62:AI$63)</f>
        <v>1.9500000000000171</v>
      </c>
      <c r="AJ30" s="10">
        <f>eth_ON!AJ30 - eth_OFF!AJ30 - AVERAGE(AJ$62:AJ$63)</f>
        <v>0.65000000000003411</v>
      </c>
      <c r="AK30" s="10">
        <f>eth_ON!AK30 - eth_OFF!AK30 - AVERAGE(AK$62:AK$63)</f>
        <v>1.7000000000000171</v>
      </c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</row>
    <row r="31" spans="1:65">
      <c r="A31" s="30">
        <v>30</v>
      </c>
      <c r="B31" s="10">
        <f>eth_ON!B31 - eth_OFF!B31 - AVERAGE(B$62:B$63)</f>
        <v>-0.35000000000002274</v>
      </c>
      <c r="C31" s="10">
        <f>eth_ON!C31 - eth_OFF!C31 - AVERAGE(C$62:C$63)</f>
        <v>4.3500000000000227</v>
      </c>
      <c r="D31" s="10">
        <f>eth_ON!D31 - eth_OFF!D31 - AVERAGE(D$62:D$63)</f>
        <v>2.5499999999999829</v>
      </c>
      <c r="E31" s="10">
        <f>eth_ON!E31 - eth_OFF!E31 - AVERAGE(E$62:E$63)</f>
        <v>0.84999999999999432</v>
      </c>
      <c r="F31" s="10">
        <f>eth_ON!F31 - eth_OFF!F31 - AVERAGE(F$62:F$63)</f>
        <v>0.79999999999998295</v>
      </c>
      <c r="G31" s="10">
        <f>eth_ON!G31 - eth_OFF!G31 - AVERAGE(G$62:G$63)</f>
        <v>2.2500000000000284</v>
      </c>
      <c r="H31" s="10">
        <f>eth_ON!H31 - eth_OFF!H31 - AVERAGE(H$62:H$63)</f>
        <v>4.6500000000000057</v>
      </c>
      <c r="I31" s="10">
        <f>eth_ON!I31 - eth_OFF!I31 - AVERAGE(I$62:I$63)</f>
        <v>2.2500000000000284</v>
      </c>
      <c r="J31" s="10">
        <f>eth_ON!J31 - eth_OFF!J31 - AVERAGE(J$62:J$63)</f>
        <v>6.4499999999999886</v>
      </c>
      <c r="K31" s="10">
        <f>eth_ON!K31 - eth_OFF!K31 - AVERAGE(K$62:K$63)</f>
        <v>7.7000000000000171</v>
      </c>
      <c r="L31" s="10">
        <f>eth_ON!L31 - eth_OFF!L31 - AVERAGE(L$62:L$63)</f>
        <v>3.4500000000000171</v>
      </c>
      <c r="M31" s="10">
        <f>eth_ON!M31 - eth_OFF!M31 - AVERAGE(M$62:M$63)</f>
        <v>6.7499999999999716</v>
      </c>
      <c r="N31" s="10">
        <f>eth_ON!N31 - eth_OFF!N31 - AVERAGE(N$62:N$63)</f>
        <v>7.7000000000000171</v>
      </c>
      <c r="O31" s="10">
        <f>eth_ON!O31 - eth_OFF!O31 - AVERAGE(O$62:O$63)</f>
        <v>5.5000000000000284</v>
      </c>
      <c r="P31" s="10">
        <f>eth_ON!P31 - eth_OFF!P31 - AVERAGE(P$62:P$63)</f>
        <v>5.4999999999999716</v>
      </c>
      <c r="Q31" s="10">
        <f>eth_ON!Q31 - eth_OFF!Q31 - AVERAGE(Q$62:Q$63)</f>
        <v>5.5000000000000284</v>
      </c>
      <c r="R31" s="10">
        <f>eth_ON!R31 - eth_OFF!R31 - AVERAGE(R$62:R$63)</f>
        <v>2.5000000000000284</v>
      </c>
      <c r="S31" s="10">
        <f>eth_ON!S31 - eth_OFF!S31 - AVERAGE(S$62:S$63)</f>
        <v>5.9499999999999886</v>
      </c>
      <c r="T31" s="10" t="e">
        <f>eth_ON!T31 - eth_OFF!T31 - AVERAGE(T$62:T$63)</f>
        <v>#VALUE!</v>
      </c>
      <c r="U31" s="10">
        <f>eth_ON!U31 - eth_OFF!U31 - AVERAGE(U$62:U$63)</f>
        <v>4.6999999999999886</v>
      </c>
      <c r="V31" s="10">
        <f>eth_ON!V31 - eth_OFF!V31 - AVERAGE(V$62:V$63)</f>
        <v>3.3000000000000682</v>
      </c>
      <c r="W31" s="10">
        <f>eth_ON!W31 - eth_OFF!W31 - AVERAGE(W$62:W$63)</f>
        <v>2.7999999999999829</v>
      </c>
      <c r="X31" s="10">
        <f>eth_ON!X31 - eth_OFF!X31 - AVERAGE(X$62:X$63)</f>
        <v>2.5999999999999659</v>
      </c>
      <c r="Y31" s="10">
        <f>eth_ON!Y31 - eth_OFF!Y31 - AVERAGE(Y$62:Y$63)</f>
        <v>4.3500000000000512</v>
      </c>
      <c r="Z31" s="10">
        <f>eth_ON!Z31 - eth_OFF!Z31 - AVERAGE(Z$62:Z$63)</f>
        <v>5.7000000000000171</v>
      </c>
      <c r="AA31" s="10">
        <f>eth_ON!AA31 - eth_OFF!AA31 - AVERAGE(AA$62:AA$63)</f>
        <v>6.3500000000000227</v>
      </c>
      <c r="AB31" s="10">
        <f>eth_ON!AB31 - eth_OFF!AB31 - AVERAGE(AB$62:AB$63)</f>
        <v>2.9999999999999716</v>
      </c>
      <c r="AC31" s="10">
        <f>eth_ON!AC31 - eth_OFF!AC31 - AVERAGE(AC$62:AC$63)</f>
        <v>8.0500000000000398</v>
      </c>
      <c r="AD31" s="10">
        <f>eth_ON!AD31 - eth_OFF!AD31 - AVERAGE(AD$62:AD$63)</f>
        <v>4.75</v>
      </c>
      <c r="AE31" s="10">
        <f>eth_ON!AE31 - eth_OFF!AE31 - AVERAGE(AE$62:AE$63)</f>
        <v>8.3499999999999659</v>
      </c>
      <c r="AF31" s="10">
        <f>eth_ON!AF31 - eth_OFF!AF31 - AVERAGE(AF$62:AF$63)</f>
        <v>4.5999999999999943</v>
      </c>
      <c r="AG31" s="10">
        <f>eth_ON!AG31 - eth_OFF!AG31 - AVERAGE(AG$62:AG$63)</f>
        <v>6.1500000000000057</v>
      </c>
      <c r="AH31" s="10">
        <f>eth_ON!AH31 - eth_OFF!AH31 - AVERAGE(AH$62:AH$63)</f>
        <v>4.5500000000000114</v>
      </c>
      <c r="AI31" s="10">
        <f>eth_ON!AI31 - eth_OFF!AI31 - AVERAGE(AI$62:AI$63)</f>
        <v>4.2499999999999716</v>
      </c>
      <c r="AJ31" s="10">
        <f>eth_ON!AJ31 - eth_OFF!AJ31 - AVERAGE(AJ$62:AJ$63)</f>
        <v>3.2499999999999432</v>
      </c>
      <c r="AK31" s="10">
        <f>eth_ON!AK31 - eth_OFF!AK31 - AVERAGE(AK$62:AK$63)</f>
        <v>2.5999999999999943</v>
      </c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</row>
    <row r="32" spans="1:65">
      <c r="A32" s="30">
        <v>31</v>
      </c>
      <c r="B32" s="10">
        <f>eth_ON!B32 - eth_OFF!B32 - AVERAGE(B$62:B$63)</f>
        <v>3.25</v>
      </c>
      <c r="C32" s="10">
        <f>eth_ON!C32 - eth_OFF!C32 - AVERAGE(C$62:C$63)</f>
        <v>3.6500000000000341</v>
      </c>
      <c r="D32" s="10">
        <f>eth_ON!D32 - eth_OFF!D32 - AVERAGE(D$62:D$63)</f>
        <v>9.4500000000000171</v>
      </c>
      <c r="E32" s="10">
        <f>eth_ON!E32 - eth_OFF!E32 - AVERAGE(E$62:E$63)</f>
        <v>12.549999999999983</v>
      </c>
      <c r="F32" s="10">
        <f>eth_ON!F32 - eth_OFF!F32 - AVERAGE(F$62:F$63)</f>
        <v>11.900000000000006</v>
      </c>
      <c r="G32" s="10">
        <f>eth_ON!G32 - eth_OFF!G32 - AVERAGE(G$62:G$63)</f>
        <v>10.350000000000051</v>
      </c>
      <c r="H32" s="10">
        <f>eth_ON!H32 - eth_OFF!H32 - AVERAGE(H$62:H$63)</f>
        <v>13.750000000000028</v>
      </c>
      <c r="I32" s="10">
        <f>eth_ON!I32 - eth_OFF!I32 - AVERAGE(I$62:I$63)</f>
        <v>13.549999999999983</v>
      </c>
      <c r="J32" s="10">
        <f>eth_ON!J32 - eth_OFF!J32 - AVERAGE(J$62:J$63)</f>
        <v>16.449999999999989</v>
      </c>
      <c r="K32" s="10">
        <f>eth_ON!K32 - eth_OFF!K32 - AVERAGE(K$62:K$63)</f>
        <v>11.600000000000051</v>
      </c>
      <c r="L32" s="10">
        <f>eth_ON!L32 - eth_OFF!L32 - AVERAGE(L$62:L$63)</f>
        <v>14.05000000000004</v>
      </c>
      <c r="M32" s="10">
        <f>eth_ON!M32 - eth_OFF!M32 - AVERAGE(M$62:M$63)</f>
        <v>12.349999999999994</v>
      </c>
      <c r="N32" s="10">
        <f>eth_ON!N32 - eth_OFF!N32 - AVERAGE(N$62:N$63)</f>
        <v>9.2000000000000171</v>
      </c>
      <c r="O32" s="10">
        <f>eth_ON!O32 - eth_OFF!O32 - AVERAGE(O$62:O$63)</f>
        <v>9.4999999999999716</v>
      </c>
      <c r="P32" s="10">
        <f>eth_ON!P32 - eth_OFF!P32 - AVERAGE(P$62:P$63)</f>
        <v>10.799999999999983</v>
      </c>
      <c r="Q32" s="10">
        <f>eth_ON!Q32 - eth_OFF!Q32 - AVERAGE(Q$62:Q$63)</f>
        <v>8.5999999999999943</v>
      </c>
      <c r="R32" s="10">
        <f>eth_ON!R32 - eth_OFF!R32 - AVERAGE(R$62:R$63)</f>
        <v>10.400000000000006</v>
      </c>
      <c r="S32" s="10">
        <f>eth_ON!S32 - eth_OFF!S32 - AVERAGE(S$62:S$63)</f>
        <v>12.749999999999943</v>
      </c>
      <c r="T32" s="10" t="e">
        <f>eth_ON!T32 - eth_OFF!T32 - AVERAGE(T$62:T$63)</f>
        <v>#VALUE!</v>
      </c>
      <c r="U32" s="10">
        <f>eth_ON!U32 - eth_OFF!U32 - AVERAGE(U$62:U$63)</f>
        <v>7.3000000000000114</v>
      </c>
      <c r="V32" s="10">
        <f>eth_ON!V32 - eth_OFF!V32 - AVERAGE(V$62:V$63)</f>
        <v>5.1000000000000227</v>
      </c>
      <c r="W32" s="10">
        <f>eth_ON!W32 - eth_OFF!W32 - AVERAGE(W$62:W$63)</f>
        <v>9.9000000000000057</v>
      </c>
      <c r="X32" s="10">
        <f>eth_ON!X32 - eth_OFF!X32 - AVERAGE(X$62:X$63)</f>
        <v>5.0999999999999659</v>
      </c>
      <c r="Y32" s="10">
        <f>eth_ON!Y32 - eth_OFF!Y32 - AVERAGE(Y$62:Y$63)</f>
        <v>7.3500000000000512</v>
      </c>
      <c r="Z32" s="10">
        <f>eth_ON!Z32 - eth_OFF!Z32 - AVERAGE(Z$62:Z$63)</f>
        <v>7.4000000000000057</v>
      </c>
      <c r="AA32" s="10">
        <f>eth_ON!AA32 - eth_OFF!AA32 - AVERAGE(AA$62:AA$63)</f>
        <v>8.9499999999999886</v>
      </c>
      <c r="AB32" s="10">
        <f>eth_ON!AB32 - eth_OFF!AB32 - AVERAGE(AB$62:AB$63)</f>
        <v>7.2000000000000171</v>
      </c>
      <c r="AC32" s="10">
        <f>eth_ON!AC32 - eth_OFF!AC32 - AVERAGE(AC$62:AC$63)</f>
        <v>11.349999999999994</v>
      </c>
      <c r="AD32" s="10">
        <f>eth_ON!AD32 - eth_OFF!AD32 - AVERAGE(AD$62:AD$63)</f>
        <v>12.049999999999955</v>
      </c>
      <c r="AE32" s="10">
        <f>eth_ON!AE32 - eth_OFF!AE32 - AVERAGE(AE$62:AE$63)</f>
        <v>11.25</v>
      </c>
      <c r="AF32" s="10">
        <f>eth_ON!AF32 - eth_OFF!AF32 - AVERAGE(AF$62:AF$63)</f>
        <v>8.7999999999999829</v>
      </c>
      <c r="AG32" s="10">
        <f>eth_ON!AG32 - eth_OFF!AG32 - AVERAGE(AG$62:AG$63)</f>
        <v>11.150000000000006</v>
      </c>
      <c r="AH32" s="10">
        <f>eth_ON!AH32 - eth_OFF!AH32 - AVERAGE(AH$62:AH$63)</f>
        <v>10.149999999999977</v>
      </c>
      <c r="AI32" s="10">
        <f>eth_ON!AI32 - eth_OFF!AI32 - AVERAGE(AI$62:AI$63)</f>
        <v>16.44999999999996</v>
      </c>
      <c r="AJ32" s="10">
        <f>eth_ON!AJ32 - eth_OFF!AJ32 - AVERAGE(AJ$62:AJ$63)</f>
        <v>11.449999999999989</v>
      </c>
      <c r="AK32" s="10">
        <f>eth_ON!AK32 - eth_OFF!AK32 - AVERAGE(AK$62:AK$63)</f>
        <v>8.7000000000000171</v>
      </c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</row>
    <row r="33" spans="1:65">
      <c r="A33" s="30">
        <v>32</v>
      </c>
      <c r="B33" s="10">
        <f>eth_ON!B33 - eth_OFF!B33 - AVERAGE(B$62:B$63)</f>
        <v>0.75</v>
      </c>
      <c r="C33" s="10">
        <f>eth_ON!C33 - eth_OFF!C33 - AVERAGE(C$62:C$63)</f>
        <v>4.0500000000000114</v>
      </c>
      <c r="D33" s="10">
        <f>eth_ON!D33 - eth_OFF!D33 - AVERAGE(D$62:D$63)</f>
        <v>0.55000000000003979</v>
      </c>
      <c r="E33" s="10">
        <f>eth_ON!E33 - eth_OFF!E33 - AVERAGE(E$62:E$63)</f>
        <v>0.25000000000002842</v>
      </c>
      <c r="F33" s="10">
        <f>eth_ON!F33 - eth_OFF!F33 - AVERAGE(F$62:F$63)</f>
        <v>0.10000000000005116</v>
      </c>
      <c r="G33" s="10">
        <f>eth_ON!G33 - eth_OFF!G33 - AVERAGE(G$62:G$63)</f>
        <v>0.55000000000003979</v>
      </c>
      <c r="H33" s="10">
        <f>eth_ON!H33 - eth_OFF!H33 - AVERAGE(H$62:H$63)</f>
        <v>1.8499999999999943</v>
      </c>
      <c r="I33" s="10">
        <f>eth_ON!I33 - eth_OFF!I33 - AVERAGE(I$62:I$63)</f>
        <v>0.45000000000001705</v>
      </c>
      <c r="J33" s="10">
        <f>eth_ON!J33 - eth_OFF!J33 - AVERAGE(J$62:J$63)</f>
        <v>2.0499999999999545</v>
      </c>
      <c r="K33" s="10">
        <f>eth_ON!K33 - eth_OFF!K33 - AVERAGE(K$62:K$63)</f>
        <v>0.20000000000001705</v>
      </c>
      <c r="L33" s="10">
        <f>eth_ON!L33 - eth_OFF!L33 - AVERAGE(L$62:L$63)</f>
        <v>2.3499999999999943</v>
      </c>
      <c r="M33" s="10">
        <f>eth_ON!M33 - eth_OFF!M33 - AVERAGE(M$62:M$63)</f>
        <v>1.8499999999999943</v>
      </c>
      <c r="N33" s="10">
        <f>eth_ON!N33 - eth_OFF!N33 - AVERAGE(N$62:N$63)</f>
        <v>2.2999999999999829</v>
      </c>
      <c r="O33" s="10">
        <f>eth_ON!O33 - eth_OFF!O33 - AVERAGE(O$62:O$63)</f>
        <v>1.5999999999999943</v>
      </c>
      <c r="P33" s="10">
        <f>eth_ON!P33 - eth_OFF!P33 - AVERAGE(P$62:P$63)</f>
        <v>3.5999999999999943</v>
      </c>
      <c r="Q33" s="10">
        <f>eth_ON!Q33 - eth_OFF!Q33 - AVERAGE(Q$62:Q$63)</f>
        <v>4.0999999999999943</v>
      </c>
      <c r="R33" s="10">
        <f>eth_ON!R33 - eth_OFF!R33 - AVERAGE(R$62:R$63)</f>
        <v>4.9000000000000625</v>
      </c>
      <c r="S33" s="10">
        <f>eth_ON!S33 - eth_OFF!S33 - AVERAGE(S$62:S$63)</f>
        <v>3.4499999999999886</v>
      </c>
      <c r="T33" s="10" t="e">
        <f>eth_ON!T33 - eth_OFF!T33 - AVERAGE(T$62:T$63)</f>
        <v>#VALUE!</v>
      </c>
      <c r="U33" s="10">
        <f>eth_ON!U33 - eth_OFF!U33 - AVERAGE(U$62:U$63)</f>
        <v>7.0999999999999659</v>
      </c>
      <c r="V33" s="10">
        <f>eth_ON!V33 - eth_OFF!V33 - AVERAGE(V$62:V$63)</f>
        <v>6.1999999999999886</v>
      </c>
      <c r="W33" s="10">
        <f>eth_ON!W33 - eth_OFF!W33 - AVERAGE(W$62:W$63)</f>
        <v>5.4999999999999716</v>
      </c>
      <c r="X33" s="10">
        <f>eth_ON!X33 - eth_OFF!X33 - AVERAGE(X$62:X$63)</f>
        <v>4.8999999999999773</v>
      </c>
      <c r="Y33" s="10">
        <f>eth_ON!Y33 - eth_OFF!Y33 - AVERAGE(Y$62:Y$63)</f>
        <v>7.0500000000000398</v>
      </c>
      <c r="Z33" s="10">
        <f>eth_ON!Z33 - eth_OFF!Z33 - AVERAGE(Z$62:Z$63)</f>
        <v>6.9000000000000057</v>
      </c>
      <c r="AA33" s="10">
        <f>eth_ON!AA33 - eth_OFF!AA33 - AVERAGE(AA$62:AA$63)</f>
        <v>6.3500000000000227</v>
      </c>
      <c r="AB33" s="10">
        <f>eth_ON!AB33 - eth_OFF!AB33 - AVERAGE(AB$62:AB$63)</f>
        <v>3.5999999999999943</v>
      </c>
      <c r="AC33" s="10">
        <f>eth_ON!AC33 - eth_OFF!AC33 - AVERAGE(AC$62:AC$63)</f>
        <v>4.7500000000000284</v>
      </c>
      <c r="AD33" s="10">
        <f>eth_ON!AD33 - eth_OFF!AD33 - AVERAGE(AD$62:AD$63)</f>
        <v>7.6499999999999773</v>
      </c>
      <c r="AE33" s="10">
        <f>eth_ON!AE33 - eth_OFF!AE33 - AVERAGE(AE$62:AE$63)</f>
        <v>3.25</v>
      </c>
      <c r="AF33" s="10">
        <f>eth_ON!AF33 - eth_OFF!AF33 - AVERAGE(AF$62:AF$63)</f>
        <v>4.3000000000000398</v>
      </c>
      <c r="AG33" s="10">
        <f>eth_ON!AG33 - eth_OFF!AG33 - AVERAGE(AG$62:AG$63)</f>
        <v>5.3499999999999943</v>
      </c>
      <c r="AH33" s="10">
        <f>eth_ON!AH33 - eth_OFF!AH33 - AVERAGE(AH$62:AH$63)</f>
        <v>7.75</v>
      </c>
      <c r="AI33" s="10">
        <f>eth_ON!AI33 - eth_OFF!AI33 - AVERAGE(AI$62:AI$63)</f>
        <v>8.8499999999999943</v>
      </c>
      <c r="AJ33" s="10">
        <f>eth_ON!AJ33 - eth_OFF!AJ33 - AVERAGE(AJ$62:AJ$63)</f>
        <v>7.5500000000000114</v>
      </c>
      <c r="AK33" s="10">
        <f>eth_ON!AK33 - eth_OFF!AK33 - AVERAGE(AK$62:AK$63)</f>
        <v>7.5000000000000284</v>
      </c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</row>
    <row r="34" spans="1:65">
      <c r="A34" s="30">
        <v>33</v>
      </c>
      <c r="B34" s="10">
        <f>eth_ON!B34 - eth_OFF!B34 - AVERAGE(B$62:B$63)</f>
        <v>2.4499999999999886</v>
      </c>
      <c r="C34" s="10">
        <f>eth_ON!C34 - eth_OFF!C34 - AVERAGE(C$62:C$63)</f>
        <v>0.45000000000004547</v>
      </c>
      <c r="D34" s="10">
        <f>eth_ON!D34 - eth_OFF!D34 - AVERAGE(D$62:D$63)</f>
        <v>6.3499999999999943</v>
      </c>
      <c r="E34" s="10">
        <f>eth_ON!E34 - eth_OFF!E34 - AVERAGE(E$62:E$63)</f>
        <v>9.8499999999999943</v>
      </c>
      <c r="F34" s="10">
        <f>eth_ON!F34 - eth_OFF!F34 - AVERAGE(F$62:F$63)</f>
        <v>11.400000000000006</v>
      </c>
      <c r="G34" s="10">
        <f>eth_ON!G34 - eth_OFF!G34 - AVERAGE(G$62:G$63)</f>
        <v>9.5499999999999829</v>
      </c>
      <c r="H34" s="10">
        <f>eth_ON!H34 - eth_OFF!H34 - AVERAGE(H$62:H$63)</f>
        <v>13.250000000000028</v>
      </c>
      <c r="I34" s="10">
        <f>eth_ON!I34 - eth_OFF!I34 - AVERAGE(I$62:I$63)</f>
        <v>11.750000000000028</v>
      </c>
      <c r="J34" s="10">
        <f>eth_ON!J34 - eth_OFF!J34 - AVERAGE(J$62:J$63)</f>
        <v>13.249999999999943</v>
      </c>
      <c r="K34" s="10">
        <f>eth_ON!K34 - eth_OFF!K34 - AVERAGE(K$62:K$63)</f>
        <v>13.500000000000028</v>
      </c>
      <c r="L34" s="10">
        <f>eth_ON!L34 - eth_OFF!L34 - AVERAGE(L$62:L$63)</f>
        <v>11.650000000000063</v>
      </c>
      <c r="M34" s="10">
        <f>eth_ON!M34 - eth_OFF!M34 - AVERAGE(M$62:M$63)</f>
        <v>15.049999999999983</v>
      </c>
      <c r="N34" s="10">
        <f>eth_ON!N34 - eth_OFF!N34 - AVERAGE(N$62:N$63)</f>
        <v>15.600000000000051</v>
      </c>
      <c r="O34" s="10">
        <f>eth_ON!O34 - eth_OFF!O34 - AVERAGE(O$62:O$63)</f>
        <v>14.900000000000006</v>
      </c>
      <c r="P34" s="10">
        <f>eth_ON!P34 - eth_OFF!P34 - AVERAGE(P$62:P$63)</f>
        <v>13.499999999999972</v>
      </c>
      <c r="Q34" s="10">
        <f>eth_ON!Q34 - eth_OFF!Q34 - AVERAGE(Q$62:Q$63)</f>
        <v>12.999999999999972</v>
      </c>
      <c r="R34" s="10">
        <f>eth_ON!R34 - eth_OFF!R34 - AVERAGE(R$62:R$63)</f>
        <v>15.900000000000006</v>
      </c>
      <c r="S34" s="10">
        <f>eth_ON!S34 - eth_OFF!S34 - AVERAGE(S$62:S$63)</f>
        <v>15.049999999999955</v>
      </c>
      <c r="T34" s="10" t="e">
        <f>eth_ON!T34 - eth_OFF!T34 - AVERAGE(T$62:T$63)</f>
        <v>#VALUE!</v>
      </c>
      <c r="U34" s="10">
        <f>eth_ON!U34 - eth_OFF!U34 - AVERAGE(U$62:U$63)</f>
        <v>13.100000000000023</v>
      </c>
      <c r="V34" s="10">
        <f>eth_ON!V34 - eth_OFF!V34 - AVERAGE(V$62:V$63)</f>
        <v>14.700000000000045</v>
      </c>
      <c r="W34" s="10">
        <f>eth_ON!W34 - eth_OFF!W34 - AVERAGE(W$62:W$63)</f>
        <v>16.400000000000006</v>
      </c>
      <c r="X34" s="10">
        <f>eth_ON!X34 - eth_OFF!X34 - AVERAGE(X$62:X$63)</f>
        <v>17.399999999999977</v>
      </c>
      <c r="Y34" s="10">
        <f>eth_ON!Y34 - eth_OFF!Y34 - AVERAGE(Y$62:Y$63)</f>
        <v>16.250000000000028</v>
      </c>
      <c r="Z34" s="10">
        <f>eth_ON!Z34 - eth_OFF!Z34 - AVERAGE(Z$62:Z$63)</f>
        <v>15.200000000000017</v>
      </c>
      <c r="AA34" s="10">
        <f>eth_ON!AA34 - eth_OFF!AA34 - AVERAGE(AA$62:AA$63)</f>
        <v>15.25</v>
      </c>
      <c r="AB34" s="10">
        <f>eth_ON!AB34 - eth_OFF!AB34 - AVERAGE(AB$62:AB$63)</f>
        <v>17.099999999999994</v>
      </c>
      <c r="AC34" s="10">
        <f>eth_ON!AC34 - eth_OFF!AC34 - AVERAGE(AC$62:AC$63)</f>
        <v>19.05000000000004</v>
      </c>
      <c r="AD34" s="10">
        <f>eth_ON!AD34 - eth_OFF!AD34 - AVERAGE(AD$62:AD$63)</f>
        <v>16.25</v>
      </c>
      <c r="AE34" s="10">
        <f>eth_ON!AE34 - eth_OFF!AE34 - AVERAGE(AE$62:AE$63)</f>
        <v>18.849999999999966</v>
      </c>
      <c r="AF34" s="10">
        <f>eth_ON!AF34 - eth_OFF!AF34 - AVERAGE(AF$62:AF$63)</f>
        <v>16.000000000000028</v>
      </c>
      <c r="AG34" s="10">
        <f>eth_ON!AG34 - eth_OFF!AG34 - AVERAGE(AG$62:AG$63)</f>
        <v>16.94999999999996</v>
      </c>
      <c r="AH34" s="10">
        <f>eth_ON!AH34 - eth_OFF!AH34 - AVERAGE(AH$62:AH$63)</f>
        <v>12.949999999999989</v>
      </c>
      <c r="AI34" s="10">
        <f>eth_ON!AI34 - eth_OFF!AI34 - AVERAGE(AI$62:AI$63)</f>
        <v>14.950000000000017</v>
      </c>
      <c r="AJ34" s="10">
        <f>eth_ON!AJ34 - eth_OFF!AJ34 - AVERAGE(AJ$62:AJ$63)</f>
        <v>19.949999999999989</v>
      </c>
      <c r="AK34" s="10">
        <f>eth_ON!AK34 - eth_OFF!AK34 - AVERAGE(AK$62:AK$63)</f>
        <v>19.599999999999994</v>
      </c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</row>
    <row r="35" spans="1:65">
      <c r="A35" s="30">
        <v>34</v>
      </c>
      <c r="B35" s="10">
        <f>eth_ON!B35 - eth_OFF!B35 - AVERAGE(B$62:B$63)</f>
        <v>18.850000000000023</v>
      </c>
      <c r="C35" s="10">
        <f>eth_ON!C35 - eth_OFF!C35 - AVERAGE(C$62:C$63)</f>
        <v>10.850000000000023</v>
      </c>
      <c r="D35" s="10">
        <f>eth_ON!D35 - eth_OFF!D35 - AVERAGE(D$62:D$63)</f>
        <v>11.250000000000028</v>
      </c>
      <c r="E35" s="10">
        <f>eth_ON!E35 - eth_OFF!E35 - AVERAGE(E$62:E$63)</f>
        <v>15.450000000000017</v>
      </c>
      <c r="F35" s="10">
        <f>eth_ON!F35 - eth_OFF!F35 - AVERAGE(F$62:F$63)</f>
        <v>17.200000000000017</v>
      </c>
      <c r="G35" s="10">
        <f>eth_ON!G35 - eth_OFF!G35 - AVERAGE(G$62:G$63)</f>
        <v>17.750000000000028</v>
      </c>
      <c r="H35" s="10">
        <f>eth_ON!H35 - eth_OFF!H35 - AVERAGE(H$62:H$63)</f>
        <v>20.750000000000028</v>
      </c>
      <c r="I35" s="10">
        <f>eth_ON!I35 - eth_OFF!I35 - AVERAGE(I$62:I$63)</f>
        <v>20.349999999999994</v>
      </c>
      <c r="J35" s="10">
        <f>eth_ON!J35 - eth_OFF!J35 - AVERAGE(J$62:J$63)</f>
        <v>21.649999999999977</v>
      </c>
      <c r="K35" s="10">
        <f>eth_ON!K35 - eth_OFF!K35 - AVERAGE(K$62:K$63)</f>
        <v>24.80000000000004</v>
      </c>
      <c r="L35" s="10">
        <f>eth_ON!L35 - eth_OFF!L35 - AVERAGE(L$62:L$63)</f>
        <v>20.650000000000006</v>
      </c>
      <c r="M35" s="10">
        <f>eth_ON!M35 - eth_OFF!M35 - AVERAGE(M$62:M$63)</f>
        <v>21.44999999999996</v>
      </c>
      <c r="N35" s="10">
        <f>eth_ON!N35 - eth_OFF!N35 - AVERAGE(N$62:N$63)</f>
        <v>22.299999999999983</v>
      </c>
      <c r="O35" s="10">
        <f>eth_ON!O35 - eth_OFF!O35 - AVERAGE(O$62:O$63)</f>
        <v>20.400000000000063</v>
      </c>
      <c r="P35" s="10">
        <f>eth_ON!P35 - eth_OFF!P35 - AVERAGE(P$62:P$63)</f>
        <v>23.099999999999994</v>
      </c>
      <c r="Q35" s="10">
        <f>eth_ON!Q35 - eth_OFF!Q35 - AVERAGE(Q$62:Q$63)</f>
        <v>23.500000000000028</v>
      </c>
      <c r="R35" s="10">
        <f>eth_ON!R35 - eth_OFF!R35 - AVERAGE(R$62:R$63)</f>
        <v>21.599999999999994</v>
      </c>
      <c r="S35" s="10">
        <f>eth_ON!S35 - eth_OFF!S35 - AVERAGE(S$62:S$63)</f>
        <v>21.64999999999992</v>
      </c>
      <c r="T35" s="10" t="e">
        <f>eth_ON!T35 - eth_OFF!T35 - AVERAGE(T$62:T$63)</f>
        <v>#VALUE!</v>
      </c>
      <c r="U35" s="10">
        <f>eth_ON!U35 - eth_OFF!U35 - AVERAGE(U$62:U$63)</f>
        <v>25.399999999999977</v>
      </c>
      <c r="V35" s="10">
        <f>eth_ON!V35 - eth_OFF!V35 - AVERAGE(V$62:V$63)</f>
        <v>23.700000000000045</v>
      </c>
      <c r="W35" s="10">
        <f>eth_ON!W35 - eth_OFF!W35 - AVERAGE(W$62:W$63)</f>
        <v>21.299999999999983</v>
      </c>
      <c r="X35" s="10">
        <f>eth_ON!X35 - eth_OFF!X35 - AVERAGE(X$62:X$63)</f>
        <v>25.399999999999977</v>
      </c>
      <c r="Y35" s="10">
        <f>eth_ON!Y35 - eth_OFF!Y35 - AVERAGE(Y$62:Y$63)</f>
        <v>25.55000000000004</v>
      </c>
      <c r="Z35" s="10">
        <f>eth_ON!Z35 - eth_OFF!Z35 - AVERAGE(Z$62:Z$63)</f>
        <v>23.900000000000006</v>
      </c>
      <c r="AA35" s="10">
        <f>eth_ON!AA35 - eth_OFF!AA35 - AVERAGE(AA$62:AA$63)</f>
        <v>23.449999999999989</v>
      </c>
      <c r="AB35" s="10">
        <f>eth_ON!AB35 - eth_OFF!AB35 - AVERAGE(AB$62:AB$63)</f>
        <v>28.799999999999983</v>
      </c>
      <c r="AC35" s="10">
        <f>eth_ON!AC35 - eth_OFF!AC35 - AVERAGE(AC$62:AC$63)</f>
        <v>27.450000000000017</v>
      </c>
      <c r="AD35" s="10">
        <f>eth_ON!AD35 - eth_OFF!AD35 - AVERAGE(AD$62:AD$63)</f>
        <v>27.849999999999966</v>
      </c>
      <c r="AE35" s="10">
        <f>eth_ON!AE35 - eth_OFF!AE35 - AVERAGE(AE$62:AE$63)</f>
        <v>28.449999999999989</v>
      </c>
      <c r="AF35" s="10">
        <f>eth_ON!AF35 - eth_OFF!AF35 - AVERAGE(AF$62:AF$63)</f>
        <v>25.900000000000006</v>
      </c>
      <c r="AG35" s="10">
        <f>eth_ON!AG35 - eth_OFF!AG35 - AVERAGE(AG$62:AG$63)</f>
        <v>30.349999999999994</v>
      </c>
      <c r="AH35" s="10">
        <f>eth_ON!AH35 - eth_OFF!AH35 - AVERAGE(AH$62:AH$63)</f>
        <v>28.149999999999977</v>
      </c>
      <c r="AI35" s="10">
        <f>eth_ON!AI35 - eth_OFF!AI35 - AVERAGE(AI$62:AI$63)</f>
        <v>28.450000000000017</v>
      </c>
      <c r="AJ35" s="10">
        <f>eth_ON!AJ35 - eth_OFF!AJ35 - AVERAGE(AJ$62:AJ$63)</f>
        <v>30.349999999999966</v>
      </c>
      <c r="AK35" s="10">
        <f>eth_ON!AK35 - eth_OFF!AK35 - AVERAGE(AK$62:AK$63)</f>
        <v>28.69999999999996</v>
      </c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</row>
    <row r="36" spans="1:65">
      <c r="A36" s="30">
        <v>35</v>
      </c>
      <c r="B36" s="10">
        <f>eth_ON!B36 - eth_OFF!B36 - AVERAGE(B$62:B$63)</f>
        <v>3.8499999999999659</v>
      </c>
      <c r="C36" s="10">
        <f>eth_ON!C36 - eth_OFF!C36 - AVERAGE(C$62:C$63)</f>
        <v>5.4500000000000455</v>
      </c>
      <c r="D36" s="10">
        <f>eth_ON!D36 - eth_OFF!D36 - AVERAGE(D$62:D$63)</f>
        <v>3.5499999999999829</v>
      </c>
      <c r="E36" s="10">
        <f>eth_ON!E36 - eth_OFF!E36 - AVERAGE(E$62:E$63)</f>
        <v>6.7499999999999716</v>
      </c>
      <c r="F36" s="10">
        <f>eth_ON!F36 - eth_OFF!F36 - AVERAGE(F$62:F$63)</f>
        <v>5.4000000000000057</v>
      </c>
      <c r="G36" s="10">
        <f>eth_ON!G36 - eth_OFF!G36 - AVERAGE(G$62:G$63)</f>
        <v>7.5499999999999829</v>
      </c>
      <c r="H36" s="10">
        <f>eth_ON!H36 - eth_OFF!H36 - AVERAGE(H$62:H$63)</f>
        <v>9.8499999999999943</v>
      </c>
      <c r="I36" s="10">
        <f>eth_ON!I36 - eth_OFF!I36 - AVERAGE(I$62:I$63)</f>
        <v>8.4500000000000171</v>
      </c>
      <c r="J36" s="10">
        <f>eth_ON!J36 - eth_OFF!J36 - AVERAGE(J$62:J$63)</f>
        <v>6.0500000000000114</v>
      </c>
      <c r="K36" s="10">
        <f>eth_ON!K36 - eth_OFF!K36 - AVERAGE(K$62:K$63)</f>
        <v>7.2000000000000171</v>
      </c>
      <c r="L36" s="10">
        <f>eth_ON!L36 - eth_OFF!L36 - AVERAGE(L$62:L$63)</f>
        <v>6.5499999999999829</v>
      </c>
      <c r="M36" s="10">
        <f>eth_ON!M36 - eth_OFF!M36 - AVERAGE(M$62:M$63)</f>
        <v>8.4500000000000171</v>
      </c>
      <c r="N36" s="10">
        <f>eth_ON!N36 - eth_OFF!N36 - AVERAGE(N$62:N$63)</f>
        <v>9.2000000000000171</v>
      </c>
      <c r="O36" s="10">
        <f>eth_ON!O36 - eth_OFF!O36 - AVERAGE(O$62:O$63)</f>
        <v>10.400000000000063</v>
      </c>
      <c r="P36" s="10">
        <f>eth_ON!P36 - eth_OFF!P36 - AVERAGE(P$62:P$63)</f>
        <v>8.5000000000000284</v>
      </c>
      <c r="Q36" s="10">
        <f>eth_ON!Q36 - eth_OFF!Q36 - AVERAGE(Q$62:Q$63)</f>
        <v>9.2000000000000171</v>
      </c>
      <c r="R36" s="10">
        <f>eth_ON!R36 - eth_OFF!R36 - AVERAGE(R$62:R$63)</f>
        <v>9.4000000000000057</v>
      </c>
      <c r="S36" s="10">
        <f>eth_ON!S36 - eth_OFF!S36 - AVERAGE(S$62:S$63)</f>
        <v>10.25</v>
      </c>
      <c r="T36" s="10" t="e">
        <f>eth_ON!T36 - eth_OFF!T36 - AVERAGE(T$62:T$63)</f>
        <v>#VALUE!</v>
      </c>
      <c r="U36" s="10">
        <f>eth_ON!U36 - eth_OFF!U36 - AVERAGE(U$62:U$63)</f>
        <v>10.300000000000011</v>
      </c>
      <c r="V36" s="10">
        <f>eth_ON!V36 - eth_OFF!V36 - AVERAGE(V$62:V$63)</f>
        <v>9.2000000000000455</v>
      </c>
      <c r="W36" s="10">
        <f>eth_ON!W36 - eth_OFF!W36 - AVERAGE(W$62:W$63)</f>
        <v>9.0999999999999943</v>
      </c>
      <c r="X36" s="10">
        <f>eth_ON!X36 - eth_OFF!X36 - AVERAGE(X$62:X$63)</f>
        <v>10.5</v>
      </c>
      <c r="Y36" s="10">
        <f>eth_ON!Y36 - eth_OFF!Y36 - AVERAGE(Y$62:Y$63)</f>
        <v>9.3500000000000512</v>
      </c>
      <c r="Z36" s="10">
        <f>eth_ON!Z36 - eth_OFF!Z36 - AVERAGE(Z$62:Z$63)</f>
        <v>5.4000000000000057</v>
      </c>
      <c r="AA36" s="10">
        <f>eth_ON!AA36 - eth_OFF!AA36 - AVERAGE(AA$62:AA$63)</f>
        <v>7.75</v>
      </c>
      <c r="AB36" s="10">
        <f>eth_ON!AB36 - eth_OFF!AB36 - AVERAGE(AB$62:AB$63)</f>
        <v>8.7000000000000171</v>
      </c>
      <c r="AC36" s="10">
        <f>eth_ON!AC36 - eth_OFF!AC36 - AVERAGE(AC$62:AC$63)</f>
        <v>5.8500000000000512</v>
      </c>
      <c r="AD36" s="10">
        <f>eth_ON!AD36 - eth_OFF!AD36 - AVERAGE(AD$62:AD$63)</f>
        <v>8.6499999999999773</v>
      </c>
      <c r="AE36" s="10">
        <f>eth_ON!AE36 - eth_OFF!AE36 - AVERAGE(AE$62:AE$63)</f>
        <v>7.7499999999999432</v>
      </c>
      <c r="AF36" s="10">
        <f>eth_ON!AF36 - eth_OFF!AF36 - AVERAGE(AF$62:AF$63)</f>
        <v>8.0999999999999943</v>
      </c>
      <c r="AG36" s="10">
        <f>eth_ON!AG36 - eth_OFF!AG36 - AVERAGE(AG$62:AG$63)</f>
        <v>9.3499999999999943</v>
      </c>
      <c r="AH36" s="10">
        <f>eth_ON!AH36 - eth_OFF!AH36 - AVERAGE(AH$62:AH$63)</f>
        <v>10.649999999999977</v>
      </c>
      <c r="AI36" s="10">
        <f>eth_ON!AI36 - eth_OFF!AI36 - AVERAGE(AI$62:AI$63)</f>
        <v>7.3499999999999943</v>
      </c>
      <c r="AJ36" s="10">
        <f>eth_ON!AJ36 - eth_OFF!AJ36 - AVERAGE(AJ$62:AJ$63)</f>
        <v>7.1499999999999773</v>
      </c>
      <c r="AK36" s="10">
        <f>eth_ON!AK36 - eth_OFF!AK36 - AVERAGE(AK$62:AK$63)</f>
        <v>8.4000000000000057</v>
      </c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</row>
    <row r="37" spans="1:65">
      <c r="A37" s="30">
        <v>36</v>
      </c>
      <c r="B37" s="10">
        <f>eth_ON!B37 - eth_OFF!B37 - AVERAGE(B$62:B$63)</f>
        <v>4.6499999999999773</v>
      </c>
      <c r="C37" s="10">
        <f>eth_ON!C37 - eth_OFF!C37 - AVERAGE(C$62:C$63)</f>
        <v>9.5500000000000114</v>
      </c>
      <c r="D37" s="10">
        <f>eth_ON!D37 - eth_OFF!D37 - AVERAGE(D$62:D$63)</f>
        <v>11.349999999999994</v>
      </c>
      <c r="E37" s="10">
        <f>eth_ON!E37 - eth_OFF!E37 - AVERAGE(E$62:E$63)</f>
        <v>5.8499999999999943</v>
      </c>
      <c r="F37" s="10">
        <f>eth_ON!F37 - eth_OFF!F37 - AVERAGE(F$62:F$63)</f>
        <v>7.5000000000000284</v>
      </c>
      <c r="G37" s="10">
        <f>eth_ON!G37 - eth_OFF!G37 - AVERAGE(G$62:G$63)</f>
        <v>4.2500000000000284</v>
      </c>
      <c r="H37" s="10">
        <f>eth_ON!H37 - eth_OFF!H37 - AVERAGE(H$62:H$63)</f>
        <v>9.1500000000000057</v>
      </c>
      <c r="I37" s="10">
        <f>eth_ON!I37 - eth_OFF!I37 - AVERAGE(I$62:I$63)</f>
        <v>10.750000000000028</v>
      </c>
      <c r="J37" s="10">
        <f>eth_ON!J37 - eth_OFF!J37 - AVERAGE(J$62:J$63)</f>
        <v>11.949999999999989</v>
      </c>
      <c r="K37" s="10">
        <f>eth_ON!K37 - eth_OFF!K37 - AVERAGE(K$62:K$63)</f>
        <v>10.30000000000004</v>
      </c>
      <c r="L37" s="10">
        <f>eth_ON!L37 - eth_OFF!L37 - AVERAGE(L$62:L$63)</f>
        <v>10.350000000000051</v>
      </c>
      <c r="M37" s="10">
        <f>eth_ON!M37 - eth_OFF!M37 - AVERAGE(M$62:M$63)</f>
        <v>9.9499999999999602</v>
      </c>
      <c r="N37" s="10">
        <f>eth_ON!N37 - eth_OFF!N37 - AVERAGE(N$62:N$63)</f>
        <v>8.4999999999999716</v>
      </c>
      <c r="O37" s="10">
        <f>eth_ON!O37 - eth_OFF!O37 - AVERAGE(O$62:O$63)</f>
        <v>10.200000000000017</v>
      </c>
      <c r="P37" s="10">
        <f>eth_ON!P37 - eth_OFF!P37 - AVERAGE(P$62:P$63)</f>
        <v>9.8000000000000398</v>
      </c>
      <c r="Q37" s="10">
        <f>eth_ON!Q37 - eth_OFF!Q37 - AVERAGE(Q$62:Q$63)</f>
        <v>12.400000000000006</v>
      </c>
      <c r="R37" s="10">
        <f>eth_ON!R37 - eth_OFF!R37 - AVERAGE(R$62:R$63)</f>
        <v>10.700000000000017</v>
      </c>
      <c r="S37" s="10">
        <f>eth_ON!S37 - eth_OFF!S37 - AVERAGE(S$62:S$63)</f>
        <v>12.749999999999943</v>
      </c>
      <c r="T37" s="10" t="e">
        <f>eth_ON!T37 - eth_OFF!T37 - AVERAGE(T$62:T$63)</f>
        <v>#VALUE!</v>
      </c>
      <c r="U37" s="10">
        <f>eth_ON!U37 - eth_OFF!U37 - AVERAGE(U$62:U$63)</f>
        <v>13.799999999999955</v>
      </c>
      <c r="V37" s="10">
        <f>eth_ON!V37 - eth_OFF!V37 - AVERAGE(V$62:V$63)</f>
        <v>12.60000000000008</v>
      </c>
      <c r="W37" s="10">
        <f>eth_ON!W37 - eth_OFF!W37 - AVERAGE(W$62:W$63)</f>
        <v>10.499999999999972</v>
      </c>
      <c r="X37" s="10">
        <f>eth_ON!X37 - eth_OFF!X37 - AVERAGE(X$62:X$63)</f>
        <v>12.699999999999989</v>
      </c>
      <c r="Y37" s="10">
        <f>eth_ON!Y37 - eth_OFF!Y37 - AVERAGE(Y$62:Y$63)</f>
        <v>13.250000000000028</v>
      </c>
      <c r="Z37" s="10">
        <f>eth_ON!Z37 - eth_OFF!Z37 - AVERAGE(Z$62:Z$63)</f>
        <v>13.599999999999994</v>
      </c>
      <c r="AA37" s="10">
        <f>eth_ON!AA37 - eth_OFF!AA37 - AVERAGE(AA$62:AA$63)</f>
        <v>11.75</v>
      </c>
      <c r="AB37" s="10">
        <f>eth_ON!AB37 - eth_OFF!AB37 - AVERAGE(AB$62:AB$63)</f>
        <v>14.299999999999983</v>
      </c>
      <c r="AC37" s="10">
        <f>eth_ON!AC37 - eth_OFF!AC37 - AVERAGE(AC$62:AC$63)</f>
        <v>12.150000000000063</v>
      </c>
      <c r="AD37" s="10">
        <f>eth_ON!AD37 - eth_OFF!AD37 - AVERAGE(AD$62:AD$63)</f>
        <v>14.25</v>
      </c>
      <c r="AE37" s="10">
        <f>eth_ON!AE37 - eth_OFF!AE37 - AVERAGE(AE$62:AE$63)</f>
        <v>14.649999999999977</v>
      </c>
      <c r="AF37" s="10">
        <f>eth_ON!AF37 - eth_OFF!AF37 - AVERAGE(AF$62:AF$63)</f>
        <v>10.900000000000006</v>
      </c>
      <c r="AG37" s="10">
        <f>eth_ON!AG37 - eth_OFF!AG37 - AVERAGE(AG$62:AG$63)</f>
        <v>14.249999999999972</v>
      </c>
      <c r="AH37" s="10">
        <f>eth_ON!AH37 - eth_OFF!AH37 - AVERAGE(AH$62:AH$63)</f>
        <v>12.949999999999989</v>
      </c>
      <c r="AI37" s="10">
        <f>eth_ON!AI37 - eth_OFF!AI37 - AVERAGE(AI$62:AI$63)</f>
        <v>11.249999999999972</v>
      </c>
      <c r="AJ37" s="10">
        <f>eth_ON!AJ37 - eth_OFF!AJ37 - AVERAGE(AJ$62:AJ$63)</f>
        <v>12.449999999999989</v>
      </c>
      <c r="AK37" s="10">
        <f>eth_ON!AK37 - eth_OFF!AK37 - AVERAGE(AK$62:AK$63)</f>
        <v>12.299999999999983</v>
      </c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</row>
    <row r="38" spans="1:65">
      <c r="A38" s="30">
        <v>37</v>
      </c>
      <c r="B38" s="10">
        <f>eth_ON!B38 - eth_OFF!B38 - AVERAGE(B$62:B$63)</f>
        <v>9.8500000000000227</v>
      </c>
      <c r="C38" s="10">
        <f>eth_ON!C38 - eth_OFF!C38 - AVERAGE(C$62:C$63)</f>
        <v>15.350000000000023</v>
      </c>
      <c r="D38" s="10">
        <f>eth_ON!D38 - eth_OFF!D38 - AVERAGE(D$62:D$63)</f>
        <v>19.549999999999983</v>
      </c>
      <c r="E38" s="10">
        <f>eth_ON!E38 - eth_OFF!E38 - AVERAGE(E$62:E$63)</f>
        <v>20.349999999999994</v>
      </c>
      <c r="F38" s="10">
        <f>eth_ON!F38 - eth_OFF!F38 - AVERAGE(F$62:F$63)</f>
        <v>18.400000000000006</v>
      </c>
      <c r="G38" s="10">
        <f>eth_ON!G38 - eth_OFF!G38 - AVERAGE(G$62:G$63)</f>
        <v>21.150000000000006</v>
      </c>
      <c r="H38" s="10">
        <f>eth_ON!H38 - eth_OFF!H38 - AVERAGE(H$62:H$63)</f>
        <v>21.150000000000006</v>
      </c>
      <c r="I38" s="10">
        <f>eth_ON!I38 - eth_OFF!I38 - AVERAGE(I$62:I$63)</f>
        <v>16.950000000000017</v>
      </c>
      <c r="J38" s="10">
        <f>eth_ON!J38 - eth_OFF!J38 - AVERAGE(J$62:J$63)</f>
        <v>17.849999999999966</v>
      </c>
      <c r="K38" s="10">
        <f>eth_ON!K38 - eth_OFF!K38 - AVERAGE(K$62:K$63)</f>
        <v>23.799999999999983</v>
      </c>
      <c r="L38" s="10">
        <f>eth_ON!L38 - eth_OFF!L38 - AVERAGE(L$62:L$63)</f>
        <v>17.450000000000017</v>
      </c>
      <c r="M38" s="10">
        <f>eth_ON!M38 - eth_OFF!M38 - AVERAGE(M$62:M$63)</f>
        <v>23.049999999999983</v>
      </c>
      <c r="N38" s="10">
        <f>eth_ON!N38 - eth_OFF!N38 - AVERAGE(N$62:N$63)</f>
        <v>21.100000000000051</v>
      </c>
      <c r="O38" s="10">
        <f>eth_ON!O38 - eth_OFF!O38 - AVERAGE(O$62:O$63)</f>
        <v>21.099999999999994</v>
      </c>
      <c r="P38" s="10">
        <f>eth_ON!P38 - eth_OFF!P38 - AVERAGE(P$62:P$63)</f>
        <v>26.099999999999994</v>
      </c>
      <c r="Q38" s="10">
        <f>eth_ON!Q38 - eth_OFF!Q38 - AVERAGE(Q$62:Q$63)</f>
        <v>25.500000000000028</v>
      </c>
      <c r="R38" s="10">
        <f>eth_ON!R38 - eth_OFF!R38 - AVERAGE(R$62:R$63)</f>
        <v>19.799999999999983</v>
      </c>
      <c r="S38" s="10">
        <f>eth_ON!S38 - eth_OFF!S38 - AVERAGE(S$62:S$63)</f>
        <v>19.649999999999977</v>
      </c>
      <c r="T38" s="10" t="e">
        <f>eth_ON!T38 - eth_OFF!T38 - AVERAGE(T$62:T$63)</f>
        <v>#VALUE!</v>
      </c>
      <c r="U38" s="10">
        <f>eth_ON!U38 - eth_OFF!U38 - AVERAGE(U$62:U$63)</f>
        <v>17.600000000000023</v>
      </c>
      <c r="V38" s="10">
        <f>eth_ON!V38 - eth_OFF!V38 - AVERAGE(V$62:V$63)</f>
        <v>20.700000000000045</v>
      </c>
      <c r="W38" s="10">
        <f>eth_ON!W38 - eth_OFF!W38 - AVERAGE(W$62:W$63)</f>
        <v>25.80000000000004</v>
      </c>
      <c r="X38" s="10">
        <f>eth_ON!X38 - eth_OFF!X38 - AVERAGE(X$62:X$63)</f>
        <v>22.399999999999977</v>
      </c>
      <c r="Y38" s="10">
        <f>eth_ON!Y38 - eth_OFF!Y38 - AVERAGE(Y$62:Y$63)</f>
        <v>24.250000000000028</v>
      </c>
      <c r="Z38" s="10">
        <f>eth_ON!Z38 - eth_OFF!Z38 - AVERAGE(Z$62:Z$63)</f>
        <v>24.799999999999983</v>
      </c>
      <c r="AA38" s="10">
        <f>eth_ON!AA38 - eth_OFF!AA38 - AVERAGE(AA$62:AA$63)</f>
        <v>28.349999999999966</v>
      </c>
      <c r="AB38" s="10">
        <f>eth_ON!AB38 - eth_OFF!AB38 - AVERAGE(AB$62:AB$63)</f>
        <v>23.69999999999996</v>
      </c>
      <c r="AC38" s="10">
        <f>eth_ON!AC38 - eth_OFF!AC38 - AVERAGE(AC$62:AC$63)</f>
        <v>27.05000000000004</v>
      </c>
      <c r="AD38" s="10">
        <f>eth_ON!AD38 - eth_OFF!AD38 - AVERAGE(AD$62:AD$63)</f>
        <v>28.149999999999977</v>
      </c>
      <c r="AE38" s="10">
        <f>eth_ON!AE38 - eth_OFF!AE38 - AVERAGE(AE$62:AE$63)</f>
        <v>29.150000000000034</v>
      </c>
      <c r="AF38" s="10">
        <f>eth_ON!AF38 - eth_OFF!AF38 - AVERAGE(AF$62:AF$63)</f>
        <v>28.500000000000028</v>
      </c>
      <c r="AG38" s="10">
        <f>eth_ON!AG38 - eth_OFF!AG38 - AVERAGE(AG$62:AG$63)</f>
        <v>27.94999999999996</v>
      </c>
      <c r="AH38" s="10">
        <f>eth_ON!AH38 - eth_OFF!AH38 - AVERAGE(AH$62:AH$63)</f>
        <v>26.449999999999989</v>
      </c>
      <c r="AI38" s="10">
        <f>eth_ON!AI38 - eth_OFF!AI38 - AVERAGE(AI$62:AI$63)</f>
        <v>24.049999999999983</v>
      </c>
      <c r="AJ38" s="10">
        <f>eth_ON!AJ38 - eth_OFF!AJ38 - AVERAGE(AJ$62:AJ$63)</f>
        <v>25.049999999999955</v>
      </c>
      <c r="AK38" s="10">
        <f>eth_ON!AK38 - eth_OFF!AK38 - AVERAGE(AK$62:AK$63)</f>
        <v>26.000000000000028</v>
      </c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</row>
    <row r="39" spans="1:65">
      <c r="A39" s="30">
        <v>38</v>
      </c>
      <c r="B39" s="10">
        <f>eth_ON!B39 - eth_OFF!B39 - AVERAGE(B$62:B$63)</f>
        <v>6.1499999999999773</v>
      </c>
      <c r="C39" s="10">
        <f>eth_ON!C39 - eth_OFF!C39 - AVERAGE(C$62:C$63)</f>
        <v>11.650000000000034</v>
      </c>
      <c r="D39" s="10">
        <f>eth_ON!D39 - eth_OFF!D39 - AVERAGE(D$62:D$63)</f>
        <v>12.049999999999983</v>
      </c>
      <c r="E39" s="10">
        <f>eth_ON!E39 - eth_OFF!E39 - AVERAGE(E$62:E$63)</f>
        <v>12.150000000000006</v>
      </c>
      <c r="F39" s="10">
        <f>eth_ON!F39 - eth_OFF!F39 - AVERAGE(F$62:F$63)</f>
        <v>13.400000000000006</v>
      </c>
      <c r="G39" s="10">
        <f>eth_ON!G39 - eth_OFF!G39 - AVERAGE(G$62:G$63)</f>
        <v>13.350000000000051</v>
      </c>
      <c r="H39" s="10">
        <f>eth_ON!H39 - eth_OFF!H39 - AVERAGE(H$62:H$63)</f>
        <v>13.349999999999994</v>
      </c>
      <c r="I39" s="10">
        <f>eth_ON!I39 - eth_OFF!I39 - AVERAGE(I$62:I$63)</f>
        <v>12.250000000000028</v>
      </c>
      <c r="J39" s="10">
        <f>eth_ON!J39 - eth_OFF!J39 - AVERAGE(J$62:J$63)</f>
        <v>13.349999999999966</v>
      </c>
      <c r="K39" s="10">
        <f>eth_ON!K39 - eth_OFF!K39 - AVERAGE(K$62:K$63)</f>
        <v>15.400000000000006</v>
      </c>
      <c r="L39" s="10">
        <f>eth_ON!L39 - eth_OFF!L39 - AVERAGE(L$62:L$63)</f>
        <v>14.850000000000051</v>
      </c>
      <c r="M39" s="10">
        <f>eth_ON!M39 - eth_OFF!M39 - AVERAGE(M$62:M$63)</f>
        <v>14.250000000000028</v>
      </c>
      <c r="N39" s="10">
        <f>eth_ON!N39 - eth_OFF!N39 - AVERAGE(N$62:N$63)</f>
        <v>16.30000000000004</v>
      </c>
      <c r="O39" s="10">
        <f>eth_ON!O39 - eth_OFF!O39 - AVERAGE(O$62:O$63)</f>
        <v>15.500000000000028</v>
      </c>
      <c r="P39" s="10">
        <f>eth_ON!P39 - eth_OFF!P39 - AVERAGE(P$62:P$63)</f>
        <v>16.799999999999983</v>
      </c>
      <c r="Q39" s="10">
        <f>eth_ON!Q39 - eth_OFF!Q39 - AVERAGE(Q$62:Q$63)</f>
        <v>14.000000000000028</v>
      </c>
      <c r="R39" s="10">
        <f>eth_ON!R39 - eth_OFF!R39 - AVERAGE(R$62:R$63)</f>
        <v>13.000000000000028</v>
      </c>
      <c r="S39" s="10">
        <f>eth_ON!S39 - eth_OFF!S39 - AVERAGE(S$62:S$63)</f>
        <v>16.550000000000011</v>
      </c>
      <c r="T39" s="10" t="e">
        <f>eth_ON!T39 - eth_OFF!T39 - AVERAGE(T$62:T$63)</f>
        <v>#VALUE!</v>
      </c>
      <c r="U39" s="10">
        <f>eth_ON!U39 - eth_OFF!U39 - AVERAGE(U$62:U$63)</f>
        <v>14.700000000000045</v>
      </c>
      <c r="V39" s="10">
        <f>eth_ON!V39 - eth_OFF!V39 - AVERAGE(V$62:V$63)</f>
        <v>14.200000000000045</v>
      </c>
      <c r="W39" s="10">
        <f>eth_ON!W39 - eth_OFF!W39 - AVERAGE(W$62:W$63)</f>
        <v>17.099999999999994</v>
      </c>
      <c r="X39" s="10">
        <f>eth_ON!X39 - eth_OFF!X39 - AVERAGE(X$62:X$63)</f>
        <v>16.399999999999977</v>
      </c>
      <c r="Y39" s="10">
        <f>eth_ON!Y39 - eth_OFF!Y39 - AVERAGE(Y$62:Y$63)</f>
        <v>15.350000000000051</v>
      </c>
      <c r="Z39" s="10">
        <f>eth_ON!Z39 - eth_OFF!Z39 - AVERAGE(Z$62:Z$63)</f>
        <v>16.400000000000006</v>
      </c>
      <c r="AA39" s="10">
        <f>eth_ON!AA39 - eth_OFF!AA39 - AVERAGE(AA$62:AA$63)</f>
        <v>13.149999999999977</v>
      </c>
      <c r="AB39" s="10">
        <f>eth_ON!AB39 - eth_OFF!AB39 - AVERAGE(AB$62:AB$63)</f>
        <v>16.299999999999983</v>
      </c>
      <c r="AC39" s="10">
        <f>eth_ON!AC39 - eth_OFF!AC39 - AVERAGE(AC$62:AC$63)</f>
        <v>13.749999999999972</v>
      </c>
      <c r="AD39" s="10">
        <f>eth_ON!AD39 - eth_OFF!AD39 - AVERAGE(AD$62:AD$63)</f>
        <v>14.849999999999966</v>
      </c>
      <c r="AE39" s="10">
        <f>eth_ON!AE39 - eth_OFF!AE39 - AVERAGE(AE$62:AE$63)</f>
        <v>17.849999999999966</v>
      </c>
      <c r="AF39" s="10">
        <f>eth_ON!AF39 - eth_OFF!AF39 - AVERAGE(AF$62:AF$63)</f>
        <v>16.400000000000006</v>
      </c>
      <c r="AG39" s="10">
        <f>eth_ON!AG39 - eth_OFF!AG39 - AVERAGE(AG$62:AG$63)</f>
        <v>15.950000000000017</v>
      </c>
      <c r="AH39" s="10">
        <f>eth_ON!AH39 - eth_OFF!AH39 - AVERAGE(AH$62:AH$63)</f>
        <v>13.449999999999989</v>
      </c>
      <c r="AI39" s="10">
        <f>eth_ON!AI39 - eth_OFF!AI39 - AVERAGE(AI$62:AI$63)</f>
        <v>15.549999999999983</v>
      </c>
      <c r="AJ39" s="10">
        <f>eth_ON!AJ39 - eth_OFF!AJ39 - AVERAGE(AJ$62:AJ$63)</f>
        <v>16.049999999999955</v>
      </c>
      <c r="AK39" s="10">
        <f>eth_ON!AK39 - eth_OFF!AK39 - AVERAGE(AK$62:AK$63)</f>
        <v>15.799999999999983</v>
      </c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</row>
    <row r="40" spans="1:65">
      <c r="A40" s="30">
        <v>39</v>
      </c>
      <c r="B40" s="10">
        <f>eth_ON!B40 - eth_OFF!B40 - AVERAGE(B$62:B$63)</f>
        <v>0.64999999999997726</v>
      </c>
      <c r="C40" s="10">
        <f>eth_ON!C40 - eth_OFF!C40 - AVERAGE(C$62:C$63)</f>
        <v>0.45000000000004547</v>
      </c>
      <c r="D40" s="10">
        <f>eth_ON!D40 - eth_OFF!D40 - AVERAGE(D$62:D$63)</f>
        <v>0.64999999999994884</v>
      </c>
      <c r="E40" s="10">
        <f>eth_ON!E40 - eth_OFF!E40 - AVERAGE(E$62:E$63)</f>
        <v>-4.9999999999982947E-2</v>
      </c>
      <c r="F40" s="10">
        <f>eth_ON!F40 - eth_OFF!F40 - AVERAGE(F$62:F$63)</f>
        <v>1.9000000000000057</v>
      </c>
      <c r="G40" s="10">
        <f>eth_ON!G40 - eth_OFF!G40 - AVERAGE(G$62:G$63)</f>
        <v>0.15000000000006253</v>
      </c>
      <c r="H40" s="10">
        <f>eth_ON!H40 - eth_OFF!H40 - AVERAGE(H$62:H$63)</f>
        <v>2.9500000000000171</v>
      </c>
      <c r="I40" s="10">
        <f>eth_ON!I40 - eth_OFF!I40 - AVERAGE(I$62:I$63)</f>
        <v>4.9999999999982947E-2</v>
      </c>
      <c r="J40" s="10">
        <f>eth_ON!J40 - eth_OFF!J40 - AVERAGE(J$62:J$63)</f>
        <v>1.3499999999999659</v>
      </c>
      <c r="K40" s="10">
        <f>eth_ON!K40 - eth_OFF!K40 - AVERAGE(K$62:K$63)</f>
        <v>2.2000000000000171</v>
      </c>
      <c r="L40" s="10">
        <f>eth_ON!L40 - eth_OFF!L40 - AVERAGE(L$62:L$63)</f>
        <v>4.3499999999999943</v>
      </c>
      <c r="M40" s="10">
        <f>eth_ON!M40 - eth_OFF!M40 - AVERAGE(M$62:M$63)</f>
        <v>1.9499999999999602</v>
      </c>
      <c r="N40" s="10">
        <f>eth_ON!N40 - eth_OFF!N40 - AVERAGE(N$62:N$63)</f>
        <v>5.2000000000000171</v>
      </c>
      <c r="O40" s="10">
        <f>eth_ON!O40 - eth_OFF!O40 - AVERAGE(O$62:O$63)</f>
        <v>7.7000000000000171</v>
      </c>
      <c r="P40" s="10">
        <f>eth_ON!P40 - eth_OFF!P40 - AVERAGE(P$62:P$63)</f>
        <v>7.7999999999999829</v>
      </c>
      <c r="Q40" s="10">
        <f>eth_ON!Q40 - eth_OFF!Q40 - AVERAGE(Q$62:Q$63)</f>
        <v>8.3000000000000398</v>
      </c>
      <c r="R40" s="10">
        <f>eth_ON!R40 - eth_OFF!R40 - AVERAGE(R$62:R$63)</f>
        <v>8.7999999999999829</v>
      </c>
      <c r="S40" s="10">
        <f>eth_ON!S40 - eth_OFF!S40 - AVERAGE(S$62:S$63)</f>
        <v>13.149999999999977</v>
      </c>
      <c r="T40" s="10" t="e">
        <f>eth_ON!T40 - eth_OFF!T40 - AVERAGE(T$62:T$63)</f>
        <v>#VALUE!</v>
      </c>
      <c r="U40" s="10">
        <f>eth_ON!U40 - eth_OFF!U40 - AVERAGE(U$62:U$63)</f>
        <v>15.800000000000011</v>
      </c>
      <c r="V40" s="10">
        <f>eth_ON!V40 - eth_OFF!V40 - AVERAGE(V$62:V$63)</f>
        <v>15.900000000000034</v>
      </c>
      <c r="W40" s="10">
        <f>eth_ON!W40 - eth_OFF!W40 - AVERAGE(W$62:W$63)</f>
        <v>21.900000000000006</v>
      </c>
      <c r="X40" s="10">
        <f>eth_ON!X40 - eth_OFF!X40 - AVERAGE(X$62:X$63)</f>
        <v>19.799999999999955</v>
      </c>
      <c r="Y40" s="10">
        <f>eth_ON!Y40 - eth_OFF!Y40 - AVERAGE(Y$62:Y$63)</f>
        <v>21.749999999999972</v>
      </c>
      <c r="Z40" s="10">
        <f>eth_ON!Z40 - eth_OFF!Z40 - AVERAGE(Z$62:Z$63)</f>
        <v>21.799999999999983</v>
      </c>
      <c r="AA40" s="10">
        <f>eth_ON!AA40 - eth_OFF!AA40 - AVERAGE(AA$62:AA$63)</f>
        <v>19.149999999999977</v>
      </c>
      <c r="AB40" s="10">
        <f>eth_ON!AB40 - eth_OFF!AB40 - AVERAGE(AB$62:AB$63)</f>
        <v>16.200000000000017</v>
      </c>
      <c r="AC40" s="10">
        <f>eth_ON!AC40 - eth_OFF!AC40 - AVERAGE(AC$62:AC$63)</f>
        <v>20.650000000000006</v>
      </c>
      <c r="AD40" s="10">
        <f>eth_ON!AD40 - eth_OFF!AD40 - AVERAGE(AD$62:AD$63)</f>
        <v>22.650000000000034</v>
      </c>
      <c r="AE40" s="10">
        <f>eth_ON!AE40 - eth_OFF!AE40 - AVERAGE(AE$62:AE$63)</f>
        <v>24.550000000000011</v>
      </c>
      <c r="AF40" s="10">
        <f>eth_ON!AF40 - eth_OFF!AF40 - AVERAGE(AF$62:AF$63)</f>
        <v>25.400000000000006</v>
      </c>
      <c r="AG40" s="10">
        <f>eth_ON!AG40 - eth_OFF!AG40 - AVERAGE(AG$62:AG$63)</f>
        <v>23.150000000000006</v>
      </c>
      <c r="AH40" s="10">
        <f>eth_ON!AH40 - eth_OFF!AH40 - AVERAGE(AH$62:AH$63)</f>
        <v>28.549999999999955</v>
      </c>
      <c r="AI40" s="10">
        <f>eth_ON!AI40 - eth_OFF!AI40 - AVERAGE(AI$62:AI$63)</f>
        <v>26.950000000000017</v>
      </c>
      <c r="AJ40" s="10">
        <f>eth_ON!AJ40 - eth_OFF!AJ40 - AVERAGE(AJ$62:AJ$63)</f>
        <v>25.550000000000011</v>
      </c>
      <c r="AK40" s="10">
        <f>eth_ON!AK40 - eth_OFF!AK40 - AVERAGE(AK$62:AK$63)</f>
        <v>26.099999999999994</v>
      </c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</row>
    <row r="41" spans="1:65">
      <c r="A41" s="30">
        <v>40</v>
      </c>
      <c r="B41" s="10">
        <f>eth_ON!B41 - eth_OFF!B41 - AVERAGE(B$62:B$63)</f>
        <v>0.84999999999996589</v>
      </c>
      <c r="C41" s="10">
        <f>eth_ON!C41 - eth_OFF!C41 - AVERAGE(C$62:C$63)</f>
        <v>-4.9999999999954525E-2</v>
      </c>
      <c r="D41" s="10">
        <f>eth_ON!D41 - eth_OFF!D41 - AVERAGE(D$62:D$63)</f>
        <v>0.44999999999996021</v>
      </c>
      <c r="E41" s="10">
        <f>eth_ON!E41 - eth_OFF!E41 - AVERAGE(E$62:E$63)</f>
        <v>0.44999999999996021</v>
      </c>
      <c r="F41" s="10">
        <f>eth_ON!F41 - eth_OFF!F41 - AVERAGE(F$62:F$63)</f>
        <v>0.59999999999999432</v>
      </c>
      <c r="G41" s="10">
        <f>eth_ON!G41 - eth_OFF!G41 - AVERAGE(G$62:G$63)</f>
        <v>-0.14999999999994884</v>
      </c>
      <c r="H41" s="10">
        <f>eth_ON!H41 - eth_OFF!H41 - AVERAGE(H$62:H$63)</f>
        <v>0.15000000000000568</v>
      </c>
      <c r="I41" s="10">
        <f>eth_ON!I41 - eth_OFF!I41 - AVERAGE(I$62:I$63)</f>
        <v>2.0500000000000398</v>
      </c>
      <c r="J41" s="10">
        <f>eth_ON!J41 - eth_OFF!J41 - AVERAGE(J$62:J$63)</f>
        <v>1.3500000000000227</v>
      </c>
      <c r="K41" s="10">
        <f>eth_ON!K41 - eth_OFF!K41 - AVERAGE(K$62:K$63)</f>
        <v>0.29999999999998295</v>
      </c>
      <c r="L41" s="10">
        <f>eth_ON!L41 - eth_OFF!L41 - AVERAGE(L$62:L$63)</f>
        <v>0.65000000000006253</v>
      </c>
      <c r="M41" s="10">
        <f>eth_ON!M41 - eth_OFF!M41 - AVERAGE(M$62:M$63)</f>
        <v>-4.9999999999982947E-2</v>
      </c>
      <c r="N41" s="10">
        <f>eth_ON!N41 - eth_OFF!N41 - AVERAGE(N$62:N$63)</f>
        <v>-9.9999999999994316E-2</v>
      </c>
      <c r="O41" s="10">
        <f>eth_ON!O41 - eth_OFF!O41 - AVERAGE(O$62:O$63)</f>
        <v>2.8421709430404007E-14</v>
      </c>
      <c r="P41" s="10">
        <f>eth_ON!P41 - eth_OFF!P41 - AVERAGE(P$62:P$63)</f>
        <v>0.20000000000001705</v>
      </c>
      <c r="Q41" s="10">
        <f>eth_ON!Q41 - eth_OFF!Q41 - AVERAGE(Q$62:Q$63)</f>
        <v>0.40000000000000568</v>
      </c>
      <c r="R41" s="10">
        <f>eth_ON!R41 - eth_OFF!R41 - AVERAGE(R$62:R$63)</f>
        <v>0.19999999999996021</v>
      </c>
      <c r="S41" s="10">
        <f>eth_ON!S41 - eth_OFF!S41 - AVERAGE(S$62:S$63)</f>
        <v>-0.25000000000005684</v>
      </c>
      <c r="T41" s="10" t="e">
        <f>eth_ON!T41 - eth_OFF!T41 - AVERAGE(T$62:T$63)</f>
        <v>#VALUE!</v>
      </c>
      <c r="U41" s="10">
        <f>eth_ON!U41 - eth_OFF!U41 - AVERAGE(U$62:U$63)</f>
        <v>0.19999999999998863</v>
      </c>
      <c r="V41" s="10">
        <f>eth_ON!V41 - eth_OFF!V41 - AVERAGE(V$62:V$63)</f>
        <v>0.10000000000002274</v>
      </c>
      <c r="W41" s="10">
        <f>eth_ON!W41 - eth_OFF!W41 - AVERAGE(W$62:W$63)</f>
        <v>-0.20000000000001705</v>
      </c>
      <c r="X41" s="10">
        <f>eth_ON!X41 - eth_OFF!X41 - AVERAGE(X$62:X$63)</f>
        <v>-5.5</v>
      </c>
      <c r="Y41" s="10">
        <f>eth_ON!Y41 - eth_OFF!Y41 - AVERAGE(Y$62:Y$63)</f>
        <v>0.35000000000005116</v>
      </c>
      <c r="Z41" s="10">
        <f>eth_ON!Z41 - eth_OFF!Z41 - AVERAGE(Z$62:Z$63)</f>
        <v>0.50000000000002842</v>
      </c>
      <c r="AA41" s="10">
        <f>eth_ON!AA41 - eth_OFF!AA41 - AVERAGE(AA$62:AA$63)</f>
        <v>0.64999999999997726</v>
      </c>
      <c r="AB41" s="10">
        <f>eth_ON!AB41 - eth_OFF!AB41 - AVERAGE(AB$62:AB$63)</f>
        <v>0.29999999999998295</v>
      </c>
      <c r="AC41" s="10">
        <f>eth_ON!AC41 - eth_OFF!AC41 - AVERAGE(AC$62:AC$63)</f>
        <v>0.65000000000000568</v>
      </c>
      <c r="AD41" s="10">
        <f>eth_ON!AD41 - eth_OFF!AD41 - AVERAGE(AD$62:AD$63)</f>
        <v>0.25</v>
      </c>
      <c r="AE41" s="10">
        <f>eth_ON!AE41 - eth_OFF!AE41 - AVERAGE(AE$62:AE$63)</f>
        <v>0.44999999999998863</v>
      </c>
      <c r="AF41" s="10">
        <f>eth_ON!AF41 - eth_OFF!AF41 - AVERAGE(AF$62:AF$63)</f>
        <v>0.30000000000003979</v>
      </c>
      <c r="AG41" s="10">
        <f>eth_ON!AG41 - eth_OFF!AG41 - AVERAGE(AG$62:AG$63)</f>
        <v>0.74999999999997158</v>
      </c>
      <c r="AH41" s="10">
        <f>eth_ON!AH41 - eth_OFF!AH41 - AVERAGE(AH$62:AH$63)</f>
        <v>5.0000000000011369E-2</v>
      </c>
      <c r="AI41" s="10">
        <f>eth_ON!AI41 - eth_OFF!AI41 - AVERAGE(AI$62:AI$63)</f>
        <v>0.34999999999999432</v>
      </c>
      <c r="AJ41" s="10">
        <f>eth_ON!AJ41 - eth_OFF!AJ41 - AVERAGE(AJ$62:AJ$63)</f>
        <v>0.14999999999997726</v>
      </c>
      <c r="AK41" s="10">
        <f>eth_ON!AK41 - eth_OFF!AK41 - AVERAGE(AK$62:AK$63)</f>
        <v>9.9999999999994316E-2</v>
      </c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</row>
    <row r="42" spans="1:65">
      <c r="A42" s="30">
        <v>41</v>
      </c>
      <c r="B42" s="10">
        <f>eth_ON!B42 - eth_OFF!B42 - AVERAGE(B$62:B$63)</f>
        <v>4.8500000000000227</v>
      </c>
      <c r="C42" s="10">
        <f>eth_ON!C42 - eth_OFF!C42 - AVERAGE(C$62:C$63)</f>
        <v>7.5500000000000114</v>
      </c>
      <c r="D42" s="10">
        <f>eth_ON!D42 - eth_OFF!D42 - AVERAGE(D$62:D$63)</f>
        <v>12.150000000000006</v>
      </c>
      <c r="E42" s="10">
        <f>eth_ON!E42 - eth_OFF!E42 - AVERAGE(E$62:E$63)</f>
        <v>9.8499999999999943</v>
      </c>
      <c r="F42" s="10">
        <f>eth_ON!F42 - eth_OFF!F42 - AVERAGE(F$62:F$63)</f>
        <v>15.099999999999994</v>
      </c>
      <c r="G42" s="10">
        <f>eth_ON!G42 - eth_OFF!G42 - AVERAGE(G$62:G$63)</f>
        <v>14.450000000000017</v>
      </c>
      <c r="H42" s="10">
        <f>eth_ON!H42 - eth_OFF!H42 - AVERAGE(H$62:H$63)</f>
        <v>12.450000000000017</v>
      </c>
      <c r="I42" s="10">
        <f>eth_ON!I42 - eth_OFF!I42 - AVERAGE(I$62:I$63)</f>
        <v>10.150000000000006</v>
      </c>
      <c r="J42" s="10">
        <f>eth_ON!J42 - eth_OFF!J42 - AVERAGE(J$62:J$63)</f>
        <v>13.150000000000034</v>
      </c>
      <c r="K42" s="10">
        <f>eth_ON!K42 - eth_OFF!K42 - AVERAGE(K$62:K$63)</f>
        <v>13.900000000000006</v>
      </c>
      <c r="L42" s="10">
        <f>eth_ON!L42 - eth_OFF!L42 - AVERAGE(L$62:L$63)</f>
        <v>13.55000000000004</v>
      </c>
      <c r="M42" s="10">
        <f>eth_ON!M42 - eth_OFF!M42 - AVERAGE(M$62:M$63)</f>
        <v>14.950000000000017</v>
      </c>
      <c r="N42" s="10">
        <f>eth_ON!N42 - eth_OFF!N42 - AVERAGE(N$62:N$63)</f>
        <v>16.700000000000017</v>
      </c>
      <c r="O42" s="10">
        <f>eth_ON!O42 - eth_OFF!O42 - AVERAGE(O$62:O$63)</f>
        <v>17.099999999999994</v>
      </c>
      <c r="P42" s="10">
        <f>eth_ON!P42 - eth_OFF!P42 - AVERAGE(P$62:P$63)</f>
        <v>12.900000000000006</v>
      </c>
      <c r="Q42" s="10">
        <f>eth_ON!Q42 - eth_OFF!Q42 - AVERAGE(Q$62:Q$63)</f>
        <v>14.099999999999994</v>
      </c>
      <c r="R42" s="10">
        <f>eth_ON!R42 - eth_OFF!R42 - AVERAGE(R$62:R$63)</f>
        <v>11.799999999999983</v>
      </c>
      <c r="S42" s="10">
        <f>eth_ON!S42 - eth_OFF!S42 - AVERAGE(S$62:S$63)</f>
        <v>13.849999999999966</v>
      </c>
      <c r="T42" s="10" t="e">
        <f>eth_ON!T42 - eth_OFF!T42 - AVERAGE(T$62:T$63)</f>
        <v>#VALUE!</v>
      </c>
      <c r="U42" s="10">
        <f>eth_ON!U42 - eth_OFF!U42 - AVERAGE(U$62:U$63)</f>
        <v>11.800000000000011</v>
      </c>
      <c r="V42" s="10">
        <f>eth_ON!V42 - eth_OFF!V42 - AVERAGE(V$62:V$63)</f>
        <v>16.300000000000011</v>
      </c>
      <c r="W42" s="10">
        <f>eth_ON!W42 - eth_OFF!W42 - AVERAGE(W$62:W$63)</f>
        <v>15.599999999999994</v>
      </c>
      <c r="X42" s="10">
        <f>eth_ON!X42 - eth_OFF!X42 - AVERAGE(X$62:X$63)</f>
        <v>15</v>
      </c>
      <c r="Y42" s="10">
        <f>eth_ON!Y42 - eth_OFF!Y42 - AVERAGE(Y$62:Y$63)</f>
        <v>15.850000000000051</v>
      </c>
      <c r="Z42" s="10">
        <f>eth_ON!Z42 - eth_OFF!Z42 - AVERAGE(Z$62:Z$63)</f>
        <v>14.999999999999972</v>
      </c>
      <c r="AA42" s="10">
        <f>eth_ON!AA42 - eth_OFF!AA42 - AVERAGE(AA$62:AA$63)</f>
        <v>15.25</v>
      </c>
      <c r="AB42" s="10">
        <f>eth_ON!AB42 - eth_OFF!AB42 - AVERAGE(AB$62:AB$63)</f>
        <v>15.299999999999983</v>
      </c>
      <c r="AC42" s="10">
        <f>eth_ON!AC42 - eth_OFF!AC42 - AVERAGE(AC$62:AC$63)</f>
        <v>16.249999999999972</v>
      </c>
      <c r="AD42" s="10">
        <f>eth_ON!AD42 - eth_OFF!AD42 - AVERAGE(AD$62:AD$63)</f>
        <v>13.449999999999989</v>
      </c>
      <c r="AE42" s="10">
        <f>eth_ON!AE42 - eth_OFF!AE42 - AVERAGE(AE$62:AE$63)</f>
        <v>14.149999999999977</v>
      </c>
      <c r="AF42" s="10">
        <f>eth_ON!AF42 - eth_OFF!AF42 - AVERAGE(AF$62:AF$63)</f>
        <v>15.099999999999994</v>
      </c>
      <c r="AG42" s="10">
        <f>eth_ON!AG42 - eth_OFF!AG42 - AVERAGE(AG$62:AG$63)</f>
        <v>15.150000000000006</v>
      </c>
      <c r="AH42" s="10">
        <f>eth_ON!AH42 - eth_OFF!AH42 - AVERAGE(AH$62:AH$63)</f>
        <v>16.75</v>
      </c>
      <c r="AI42" s="10">
        <f>eth_ON!AI42 - eth_OFF!AI42 - AVERAGE(AI$62:AI$63)</f>
        <v>13.55000000000004</v>
      </c>
      <c r="AJ42" s="10">
        <f>eth_ON!AJ42 - eth_OFF!AJ42 - AVERAGE(AJ$62:AJ$63)</f>
        <v>12.050000000000011</v>
      </c>
      <c r="AK42" s="10">
        <f>eth_ON!AK42 - eth_OFF!AK42 - AVERAGE(AK$62:AK$63)</f>
        <v>16.900000000000006</v>
      </c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</row>
    <row r="43" spans="1:65">
      <c r="A43" s="30">
        <v>42</v>
      </c>
      <c r="B43" s="10">
        <f>eth_ON!B43 - eth_OFF!B43 - AVERAGE(B$62:B$63)</f>
        <v>2.8499999999999659</v>
      </c>
      <c r="C43" s="10">
        <f>eth_ON!C43 - eth_OFF!C43 - AVERAGE(C$62:C$63)</f>
        <v>1.6499999999999773</v>
      </c>
      <c r="D43" s="10">
        <f>eth_ON!D43 - eth_OFF!D43 - AVERAGE(D$62:D$63)</f>
        <v>6.4499999999999602</v>
      </c>
      <c r="E43" s="10">
        <f>eth_ON!E43 - eth_OFF!E43 - AVERAGE(E$62:E$63)</f>
        <v>2.8499999999999943</v>
      </c>
      <c r="F43" s="10">
        <f>eth_ON!F43 - eth_OFF!F43 - AVERAGE(F$62:F$63)</f>
        <v>4.7000000000000171</v>
      </c>
      <c r="G43" s="10">
        <f>eth_ON!G43 - eth_OFF!G43 - AVERAGE(G$62:G$63)</f>
        <v>4.7500000000000284</v>
      </c>
      <c r="H43" s="10">
        <f>eth_ON!H43 - eth_OFF!H43 - AVERAGE(H$62:H$63)</f>
        <v>6.0499999999999829</v>
      </c>
      <c r="I43" s="10">
        <f>eth_ON!I43 - eth_OFF!I43 - AVERAGE(I$62:I$63)</f>
        <v>5.2500000000000284</v>
      </c>
      <c r="J43" s="10">
        <f>eth_ON!J43 - eth_OFF!J43 - AVERAGE(J$62:J$63)</f>
        <v>5.9499999999999886</v>
      </c>
      <c r="K43" s="10">
        <f>eth_ON!K43 - eth_OFF!K43 - AVERAGE(K$62:K$63)</f>
        <v>5.7000000000000171</v>
      </c>
      <c r="L43" s="10">
        <f>eth_ON!L43 - eth_OFF!L43 - AVERAGE(L$62:L$63)</f>
        <v>8.1500000000000057</v>
      </c>
      <c r="M43" s="10">
        <f>eth_ON!M43 - eth_OFF!M43 - AVERAGE(M$62:M$63)</f>
        <v>6.9500000000000171</v>
      </c>
      <c r="N43" s="10">
        <f>eth_ON!N43 - eth_OFF!N43 - AVERAGE(N$62:N$63)</f>
        <v>8.7999999999999829</v>
      </c>
      <c r="O43" s="10">
        <f>eth_ON!O43 - eth_OFF!O43 - AVERAGE(O$62:O$63)</f>
        <v>6.8000000000000398</v>
      </c>
      <c r="P43" s="10">
        <f>eth_ON!P43 - eth_OFF!P43 - AVERAGE(P$62:P$63)</f>
        <v>4.5999999999999943</v>
      </c>
      <c r="Q43" s="10">
        <f>eth_ON!Q43 - eth_OFF!Q43 - AVERAGE(Q$62:Q$63)</f>
        <v>7.2000000000000171</v>
      </c>
      <c r="R43" s="10">
        <f>eth_ON!R43 - eth_OFF!R43 - AVERAGE(R$62:R$63)</f>
        <v>4.9000000000000057</v>
      </c>
      <c r="S43" s="10">
        <f>eth_ON!S43 - eth_OFF!S43 - AVERAGE(S$62:S$63)</f>
        <v>6.7499999999999432</v>
      </c>
      <c r="T43" s="10" t="e">
        <f>eth_ON!T43 - eth_OFF!T43 - AVERAGE(T$62:T$63)</f>
        <v>#VALUE!</v>
      </c>
      <c r="U43" s="10">
        <f>eth_ON!U43 - eth_OFF!U43 - AVERAGE(U$62:U$63)</f>
        <v>4.6999999999999886</v>
      </c>
      <c r="V43" s="10">
        <f>eth_ON!V43 - eth_OFF!V43 - AVERAGE(V$62:V$63)</f>
        <v>5.6000000000000227</v>
      </c>
      <c r="W43" s="10">
        <f>eth_ON!W43 - eth_OFF!W43 - AVERAGE(W$62:W$63)</f>
        <v>6.4999999999999716</v>
      </c>
      <c r="X43" s="10">
        <f>eth_ON!X43 - eth_OFF!X43 - AVERAGE(X$62:X$63)</f>
        <v>7.3999999999999773</v>
      </c>
      <c r="Y43" s="10">
        <f>eth_ON!Y43 - eth_OFF!Y43 - AVERAGE(Y$62:Y$63)</f>
        <v>6.8500000000000512</v>
      </c>
      <c r="Z43" s="10">
        <f>eth_ON!Z43 - eth_OFF!Z43 - AVERAGE(Z$62:Z$63)</f>
        <v>8.0000000000000284</v>
      </c>
      <c r="AA43" s="10">
        <f>eth_ON!AA43 - eth_OFF!AA43 - AVERAGE(AA$62:AA$63)</f>
        <v>7.9499999999999886</v>
      </c>
      <c r="AB43" s="10">
        <f>eth_ON!AB43 - eth_OFF!AB43 - AVERAGE(AB$62:AB$63)</f>
        <v>8.5999999999999943</v>
      </c>
      <c r="AC43" s="10">
        <f>eth_ON!AC43 - eth_OFF!AC43 - AVERAGE(AC$62:AC$63)</f>
        <v>7.6500000000000057</v>
      </c>
      <c r="AD43" s="10">
        <f>eth_ON!AD43 - eth_OFF!AD43 - AVERAGE(AD$62:AD$63)</f>
        <v>7.7499999999999432</v>
      </c>
      <c r="AE43" s="10">
        <f>eth_ON!AE43 - eth_OFF!AE43 - AVERAGE(AE$62:AE$63)</f>
        <v>8.9499999999999886</v>
      </c>
      <c r="AF43" s="10">
        <f>eth_ON!AF43 - eth_OFF!AF43 - AVERAGE(AF$62:AF$63)</f>
        <v>8.4000000000000057</v>
      </c>
      <c r="AG43" s="10">
        <f>eth_ON!AG43 - eth_OFF!AG43 - AVERAGE(AG$62:AG$63)</f>
        <v>7.4499999999999602</v>
      </c>
      <c r="AH43" s="10">
        <f>eth_ON!AH43 - eth_OFF!AH43 - AVERAGE(AH$62:AH$63)</f>
        <v>8.0500000000000114</v>
      </c>
      <c r="AI43" s="10">
        <f>eth_ON!AI43 - eth_OFF!AI43 - AVERAGE(AI$62:AI$63)</f>
        <v>7.2500000000000284</v>
      </c>
      <c r="AJ43" s="10">
        <f>eth_ON!AJ43 - eth_OFF!AJ43 - AVERAGE(AJ$62:AJ$63)</f>
        <v>8.0500000000000114</v>
      </c>
      <c r="AK43" s="10">
        <f>eth_ON!AK43 - eth_OFF!AK43 - AVERAGE(AK$62:AK$63)</f>
        <v>6.7999999999999829</v>
      </c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</row>
    <row r="44" spans="1:65">
      <c r="A44" s="30">
        <v>43</v>
      </c>
      <c r="B44" s="10">
        <f>eth_ON!B44 - eth_OFF!B44 - AVERAGE(B$62:B$63)</f>
        <v>0.84999999999996589</v>
      </c>
      <c r="C44" s="10">
        <f>eth_ON!C44 - eth_OFF!C44 - AVERAGE(C$62:C$63)</f>
        <v>2.7500000000000568</v>
      </c>
      <c r="D44" s="10">
        <f>eth_ON!D44 - eth_OFF!D44 - AVERAGE(D$62:D$63)</f>
        <v>5.7500000000000284</v>
      </c>
      <c r="E44" s="10">
        <f>eth_ON!E44 - eth_OFF!E44 - AVERAGE(E$62:E$63)</f>
        <v>5.9499999999999602</v>
      </c>
      <c r="F44" s="10">
        <f>eth_ON!F44 - eth_OFF!F44 - AVERAGE(F$62:F$63)</f>
        <v>7.2000000000000171</v>
      </c>
      <c r="G44" s="10">
        <f>eth_ON!G44 - eth_OFF!G44 - AVERAGE(G$62:G$63)</f>
        <v>8.0500000000000398</v>
      </c>
      <c r="H44" s="10">
        <f>eth_ON!H44 - eth_OFF!H44 - AVERAGE(H$62:H$63)</f>
        <v>9.4499999999999602</v>
      </c>
      <c r="I44" s="10">
        <f>eth_ON!I44 - eth_OFF!I44 - AVERAGE(I$62:I$63)</f>
        <v>7.0499999999999829</v>
      </c>
      <c r="J44" s="10">
        <f>eth_ON!J44 - eth_OFF!J44 - AVERAGE(J$62:J$63)</f>
        <v>7.6499999999999773</v>
      </c>
      <c r="K44" s="10">
        <f>eth_ON!K44 - eth_OFF!K44 - AVERAGE(K$62:K$63)</f>
        <v>8.0999999999999943</v>
      </c>
      <c r="L44" s="10">
        <f>eth_ON!L44 - eth_OFF!L44 - AVERAGE(L$62:L$63)</f>
        <v>8.6500000000000057</v>
      </c>
      <c r="M44" s="10">
        <f>eth_ON!M44 - eth_OFF!M44 - AVERAGE(M$62:M$63)</f>
        <v>9.1500000000000057</v>
      </c>
      <c r="N44" s="10">
        <f>eth_ON!N44 - eth_OFF!N44 - AVERAGE(N$62:N$63)</f>
        <v>8.9000000000000057</v>
      </c>
      <c r="O44" s="10">
        <f>eth_ON!O44 - eth_OFF!O44 - AVERAGE(O$62:O$63)</f>
        <v>7.1000000000000512</v>
      </c>
      <c r="P44" s="10">
        <f>eth_ON!P44 - eth_OFF!P44 - AVERAGE(P$62:P$63)</f>
        <v>9.5999999999999943</v>
      </c>
      <c r="Q44" s="10">
        <f>eth_ON!Q44 - eth_OFF!Q44 - AVERAGE(Q$62:Q$63)</f>
        <v>9.2999999999999829</v>
      </c>
      <c r="R44" s="10">
        <f>eth_ON!R44 - eth_OFF!R44 - AVERAGE(R$62:R$63)</f>
        <v>8.7000000000000171</v>
      </c>
      <c r="S44" s="10">
        <f>eth_ON!S44 - eth_OFF!S44 - AVERAGE(S$62:S$63)</f>
        <v>8.75</v>
      </c>
      <c r="T44" s="10" t="e">
        <f>eth_ON!T44 - eth_OFF!T44 - AVERAGE(T$62:T$63)</f>
        <v>#VALUE!</v>
      </c>
      <c r="U44" s="10">
        <f>eth_ON!U44 - eth_OFF!U44 - AVERAGE(U$62:U$63)</f>
        <v>9.6999999999999886</v>
      </c>
      <c r="V44" s="10">
        <f>eth_ON!V44 - eth_OFF!V44 - AVERAGE(V$62:V$63)</f>
        <v>10.5</v>
      </c>
      <c r="W44" s="10">
        <f>eth_ON!W44 - eth_OFF!W44 - AVERAGE(W$62:W$63)</f>
        <v>10.599999999999994</v>
      </c>
      <c r="X44" s="10">
        <f>eth_ON!X44 - eth_OFF!X44 - AVERAGE(X$62:X$63)</f>
        <v>13.599999999999966</v>
      </c>
      <c r="Y44" s="10">
        <f>eth_ON!Y44 - eth_OFF!Y44 - AVERAGE(Y$62:Y$63)</f>
        <v>12.450000000000017</v>
      </c>
      <c r="Z44" s="10">
        <f>eth_ON!Z44 - eth_OFF!Z44 - AVERAGE(Z$62:Z$63)</f>
        <v>9.8000000000000398</v>
      </c>
      <c r="AA44" s="10">
        <f>eth_ON!AA44 - eth_OFF!AA44 - AVERAGE(AA$62:AA$63)</f>
        <v>9.2500000000000568</v>
      </c>
      <c r="AB44" s="10">
        <f>eth_ON!AB44 - eth_OFF!AB44 - AVERAGE(AB$62:AB$63)</f>
        <v>12.200000000000017</v>
      </c>
      <c r="AC44" s="10">
        <f>eth_ON!AC44 - eth_OFF!AC44 - AVERAGE(AC$62:AC$63)</f>
        <v>9.9500000000000171</v>
      </c>
      <c r="AD44" s="10">
        <f>eth_ON!AD44 - eth_OFF!AD44 - AVERAGE(AD$62:AD$63)</f>
        <v>11.649999999999977</v>
      </c>
      <c r="AE44" s="10">
        <f>eth_ON!AE44 - eth_OFF!AE44 - AVERAGE(AE$62:AE$63)</f>
        <v>10.649999999999977</v>
      </c>
      <c r="AF44" s="10">
        <f>eth_ON!AF44 - eth_OFF!AF44 - AVERAGE(AF$62:AF$63)</f>
        <v>13.100000000000051</v>
      </c>
      <c r="AG44" s="10">
        <f>eth_ON!AG44 - eth_OFF!AG44 - AVERAGE(AG$62:AG$63)</f>
        <v>10.349999999999994</v>
      </c>
      <c r="AH44" s="10">
        <f>eth_ON!AH44 - eth_OFF!AH44 - AVERAGE(AH$62:AH$63)</f>
        <v>12.150000000000034</v>
      </c>
      <c r="AI44" s="10">
        <f>eth_ON!AI44 - eth_OFF!AI44 - AVERAGE(AI$62:AI$63)</f>
        <v>10.950000000000017</v>
      </c>
      <c r="AJ44" s="10">
        <f>eth_ON!AJ44 - eth_OFF!AJ44 - AVERAGE(AJ$62:AJ$63)</f>
        <v>13.25</v>
      </c>
      <c r="AK44" s="10">
        <f>eth_ON!AK44 - eth_OFF!AK44 - AVERAGE(AK$62:AK$63)</f>
        <v>11.900000000000006</v>
      </c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</row>
    <row r="45" spans="1:65">
      <c r="A45" s="30">
        <v>44</v>
      </c>
      <c r="B45" s="10">
        <f>eth_ON!B45 - eth_OFF!B45 - AVERAGE(B$62:B$63)</f>
        <v>-0.35000000000002274</v>
      </c>
      <c r="C45" s="10">
        <f>eth_ON!C45 - eth_OFF!C45 - AVERAGE(C$62:C$63)</f>
        <v>3.3500000000000227</v>
      </c>
      <c r="D45" s="10">
        <f>eth_ON!D45 - eth_OFF!D45 - AVERAGE(D$62:D$63)</f>
        <v>7.5500000000000398</v>
      </c>
      <c r="E45" s="10">
        <f>eth_ON!E45 - eth_OFF!E45 - AVERAGE(E$62:E$63)</f>
        <v>6.9499999999999602</v>
      </c>
      <c r="F45" s="10">
        <f>eth_ON!F45 - eth_OFF!F45 - AVERAGE(F$62:F$63)</f>
        <v>9.4000000000000057</v>
      </c>
      <c r="G45" s="10">
        <f>eth_ON!G45 - eth_OFF!G45 - AVERAGE(G$62:G$63)</f>
        <v>11.150000000000006</v>
      </c>
      <c r="H45" s="10">
        <f>eth_ON!H45 - eth_OFF!H45 - AVERAGE(H$62:H$63)</f>
        <v>12.349999999999994</v>
      </c>
      <c r="I45" s="10">
        <f>eth_ON!I45 - eth_OFF!I45 - AVERAGE(I$62:I$63)</f>
        <v>10.250000000000028</v>
      </c>
      <c r="J45" s="10">
        <f>eth_ON!J45 - eth_OFF!J45 - AVERAGE(J$62:J$63)</f>
        <v>11.949999999999989</v>
      </c>
      <c r="K45" s="10">
        <f>eth_ON!K45 - eth_OFF!K45 - AVERAGE(K$62:K$63)</f>
        <v>12.499999999999972</v>
      </c>
      <c r="L45" s="10">
        <f>eth_ON!L45 - eth_OFF!L45 - AVERAGE(L$62:L$63)</f>
        <v>13.049999999999983</v>
      </c>
      <c r="M45" s="10">
        <f>eth_ON!M45 - eth_OFF!M45 - AVERAGE(M$62:M$63)</f>
        <v>12.749999999999972</v>
      </c>
      <c r="N45" s="10">
        <f>eth_ON!N45 - eth_OFF!N45 - AVERAGE(N$62:N$63)</f>
        <v>12.700000000000017</v>
      </c>
      <c r="O45" s="10">
        <f>eth_ON!O45 - eth_OFF!O45 - AVERAGE(O$62:O$63)</f>
        <v>12.599999999999994</v>
      </c>
      <c r="P45" s="10">
        <f>eth_ON!P45 - eth_OFF!P45 - AVERAGE(P$62:P$63)</f>
        <v>13.799999999999983</v>
      </c>
      <c r="Q45" s="10">
        <f>eth_ON!Q45 - eth_OFF!Q45 - AVERAGE(Q$62:Q$63)</f>
        <v>11.099999999999994</v>
      </c>
      <c r="R45" s="10">
        <f>eth_ON!R45 - eth_OFF!R45 - AVERAGE(R$62:R$63)</f>
        <v>13.500000000000028</v>
      </c>
      <c r="S45" s="10">
        <f>eth_ON!S45 - eth_OFF!S45 - AVERAGE(S$62:S$63)</f>
        <v>11.449999999999932</v>
      </c>
      <c r="T45" s="10" t="e">
        <f>eth_ON!T45 - eth_OFF!T45 - AVERAGE(T$62:T$63)</f>
        <v>#VALUE!</v>
      </c>
      <c r="U45" s="10">
        <f>eth_ON!U45 - eth_OFF!U45 - AVERAGE(U$62:U$63)</f>
        <v>13.800000000000011</v>
      </c>
      <c r="V45" s="10">
        <f>eth_ON!V45 - eth_OFF!V45 - AVERAGE(V$62:V$63)</f>
        <v>14.000000000000057</v>
      </c>
      <c r="W45" s="10">
        <f>eth_ON!W45 - eth_OFF!W45 - AVERAGE(W$62:W$63)</f>
        <v>13.900000000000006</v>
      </c>
      <c r="X45" s="10">
        <f>eth_ON!X45 - eth_OFF!X45 - AVERAGE(X$62:X$63)</f>
        <v>13.399999999999977</v>
      </c>
      <c r="Y45" s="10">
        <f>eth_ON!Y45 - eth_OFF!Y45 - AVERAGE(Y$62:Y$63)</f>
        <v>17.650000000000006</v>
      </c>
      <c r="Z45" s="10">
        <f>eth_ON!Z45 - eth_OFF!Z45 - AVERAGE(Z$62:Z$63)</f>
        <v>12.30000000000004</v>
      </c>
      <c r="AA45" s="10">
        <f>eth_ON!AA45 - eth_OFF!AA45 - AVERAGE(AA$62:AA$63)</f>
        <v>13.25</v>
      </c>
      <c r="AB45" s="10">
        <f>eth_ON!AB45 - eth_OFF!AB45 - AVERAGE(AB$62:AB$63)</f>
        <v>14.700000000000017</v>
      </c>
      <c r="AC45" s="10">
        <f>eth_ON!AC45 - eth_OFF!AC45 - AVERAGE(AC$62:AC$63)</f>
        <v>14.349999999999994</v>
      </c>
      <c r="AD45" s="10">
        <f>eth_ON!AD45 - eth_OFF!AD45 - AVERAGE(AD$62:AD$63)</f>
        <v>14.550000000000011</v>
      </c>
      <c r="AE45" s="10">
        <f>eth_ON!AE45 - eth_OFF!AE45 - AVERAGE(AE$62:AE$63)</f>
        <v>14.050000000000011</v>
      </c>
      <c r="AF45" s="10">
        <f>eth_ON!AF45 - eth_OFF!AF45 - AVERAGE(AF$62:AF$63)</f>
        <v>12.100000000000051</v>
      </c>
      <c r="AG45" s="10">
        <f>eth_ON!AG45 - eth_OFF!AG45 - AVERAGE(AG$62:AG$63)</f>
        <v>14.749999999999972</v>
      </c>
      <c r="AH45" s="10">
        <f>eth_ON!AH45 - eth_OFF!AH45 - AVERAGE(AH$62:AH$63)</f>
        <v>14.949999999999989</v>
      </c>
      <c r="AI45" s="10">
        <f>eth_ON!AI45 - eth_OFF!AI45 - AVERAGE(AI$62:AI$63)</f>
        <v>12.94999999999996</v>
      </c>
      <c r="AJ45" s="10">
        <f>eth_ON!AJ45 - eth_OFF!AJ45 - AVERAGE(AJ$62:AJ$63)</f>
        <v>13.149999999999977</v>
      </c>
      <c r="AK45" s="10">
        <f>eth_ON!AK45 - eth_OFF!AK45 - AVERAGE(AK$62:AK$63)</f>
        <v>13.599999999999994</v>
      </c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</row>
    <row r="46" spans="1:65">
      <c r="A46" s="30">
        <v>45</v>
      </c>
      <c r="B46" s="10">
        <f>eth_ON!B46 - eth_OFF!B46 - AVERAGE(B$62:B$63)</f>
        <v>8.1499999999999773</v>
      </c>
      <c r="C46" s="10">
        <f>eth_ON!C46 - eth_OFF!C46 - AVERAGE(C$62:C$63)</f>
        <v>2.3500000000000227</v>
      </c>
      <c r="D46" s="10">
        <f>eth_ON!D46 - eth_OFF!D46 - AVERAGE(D$62:D$63)</f>
        <v>1.6500000000000057</v>
      </c>
      <c r="E46" s="10">
        <f>eth_ON!E46 - eth_OFF!E46 - AVERAGE(E$62:E$63)</f>
        <v>10.849999999999994</v>
      </c>
      <c r="F46" s="10">
        <f>eth_ON!F46 - eth_OFF!F46 - AVERAGE(F$62:F$63)</f>
        <v>10.700000000000017</v>
      </c>
      <c r="G46" s="10">
        <f>eth_ON!G46 - eth_OFF!G46 - AVERAGE(G$62:G$63)</f>
        <v>12.150000000000006</v>
      </c>
      <c r="H46" s="10">
        <f>eth_ON!H46 - eth_OFF!H46 - AVERAGE(H$62:H$63)</f>
        <v>8.6500000000000057</v>
      </c>
      <c r="I46" s="10">
        <f>eth_ON!I46 - eth_OFF!I46 - AVERAGE(I$62:I$63)</f>
        <v>10.250000000000028</v>
      </c>
      <c r="J46" s="10">
        <f>eth_ON!J46 - eth_OFF!J46 - AVERAGE(J$62:J$63)</f>
        <v>10.350000000000023</v>
      </c>
      <c r="K46" s="10">
        <f>eth_ON!K46 - eth_OFF!K46 - AVERAGE(K$62:K$63)</f>
        <v>12.900000000000006</v>
      </c>
      <c r="L46" s="10">
        <f>eth_ON!L46 - eth_OFF!L46 - AVERAGE(L$62:L$63)</f>
        <v>10.650000000000006</v>
      </c>
      <c r="M46" s="10">
        <f>eth_ON!M46 - eth_OFF!M46 - AVERAGE(M$62:M$63)</f>
        <v>12.05000000000004</v>
      </c>
      <c r="N46" s="10">
        <f>eth_ON!N46 - eth_OFF!N46 - AVERAGE(N$62:N$63)</f>
        <v>13.799999999999983</v>
      </c>
      <c r="O46" s="10">
        <f>eth_ON!O46 - eth_OFF!O46 - AVERAGE(O$62:O$63)</f>
        <v>11.30000000000004</v>
      </c>
      <c r="P46" s="10">
        <f>eth_ON!P46 - eth_OFF!P46 - AVERAGE(P$62:P$63)</f>
        <v>10.000000000000028</v>
      </c>
      <c r="Q46" s="10">
        <f>eth_ON!Q46 - eth_OFF!Q46 - AVERAGE(Q$62:Q$63)</f>
        <v>22.400000000000006</v>
      </c>
      <c r="R46" s="10">
        <f>eth_ON!R46 - eth_OFF!R46 - AVERAGE(R$62:R$63)</f>
        <v>13.900000000000006</v>
      </c>
      <c r="S46" s="10">
        <f>eth_ON!S46 - eth_OFF!S46 - AVERAGE(S$62:S$63)</f>
        <v>13.249999999999943</v>
      </c>
      <c r="T46" s="10" t="e">
        <f>eth_ON!T46 - eth_OFF!T46 - AVERAGE(T$62:T$63)</f>
        <v>#VALUE!</v>
      </c>
      <c r="U46" s="10">
        <f>eth_ON!U46 - eth_OFF!U46 - AVERAGE(U$62:U$63)</f>
        <v>12.5</v>
      </c>
      <c r="V46" s="10">
        <f>eth_ON!V46 - eth_OFF!V46 - AVERAGE(V$62:V$63)</f>
        <v>10.900000000000034</v>
      </c>
      <c r="W46" s="10">
        <f>eth_ON!W46 - eth_OFF!W46 - AVERAGE(W$62:W$63)</f>
        <v>14.200000000000017</v>
      </c>
      <c r="X46" s="10">
        <f>eth_ON!X46 - eth_OFF!X46 - AVERAGE(X$62:X$63)</f>
        <v>13.599999999999966</v>
      </c>
      <c r="Y46" s="10">
        <f>eth_ON!Y46 - eth_OFF!Y46 - AVERAGE(Y$62:Y$63)</f>
        <v>13.650000000000006</v>
      </c>
      <c r="Z46" s="10">
        <f>eth_ON!Z46 - eth_OFF!Z46 - AVERAGE(Z$62:Z$63)</f>
        <v>17.200000000000017</v>
      </c>
      <c r="AA46" s="10">
        <f>eth_ON!AA46 - eth_OFF!AA46 - AVERAGE(AA$62:AA$63)</f>
        <v>12.650000000000034</v>
      </c>
      <c r="AB46" s="10">
        <f>eth_ON!AB46 - eth_OFF!AB46 - AVERAGE(AB$62:AB$63)</f>
        <v>11.900000000000006</v>
      </c>
      <c r="AC46" s="10">
        <f>eth_ON!AC46 - eth_OFF!AC46 - AVERAGE(AC$62:AC$63)</f>
        <v>16.150000000000063</v>
      </c>
      <c r="AD46" s="10">
        <f>eth_ON!AD46 - eth_OFF!AD46 - AVERAGE(AD$62:AD$63)</f>
        <v>14.949999999999989</v>
      </c>
      <c r="AE46" s="10">
        <f>eth_ON!AE46 - eth_OFF!AE46 - AVERAGE(AE$62:AE$63)</f>
        <v>14.449999999999989</v>
      </c>
      <c r="AF46" s="10">
        <f>eth_ON!AF46 - eth_OFF!AF46 - AVERAGE(AF$62:AF$63)</f>
        <v>15.099999999999994</v>
      </c>
      <c r="AG46" s="10">
        <f>eth_ON!AG46 - eth_OFF!AG46 - AVERAGE(AG$62:AG$63)</f>
        <v>16.150000000000006</v>
      </c>
      <c r="AH46" s="10">
        <f>eth_ON!AH46 - eth_OFF!AH46 - AVERAGE(AH$62:AH$63)</f>
        <v>13.849999999999966</v>
      </c>
      <c r="AI46" s="10">
        <f>eth_ON!AI46 - eth_OFF!AI46 - AVERAGE(AI$62:AI$63)</f>
        <v>15.350000000000051</v>
      </c>
      <c r="AJ46" s="10">
        <f>eth_ON!AJ46 - eth_OFF!AJ46 - AVERAGE(AJ$62:AJ$63)</f>
        <v>15.150000000000034</v>
      </c>
      <c r="AK46" s="10">
        <f>eth_ON!AK46 - eth_OFF!AK46 - AVERAGE(AK$62:AK$63)</f>
        <v>13.499999999999972</v>
      </c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</row>
    <row r="47" spans="1:65">
      <c r="A47" s="30">
        <v>46</v>
      </c>
      <c r="B47" s="10">
        <f>eth_ON!B47 - eth_OFF!B47 - AVERAGE(B$62:B$63)</f>
        <v>12.449999999999989</v>
      </c>
      <c r="C47" s="10">
        <f>eth_ON!C47 - eth_OFF!C47 - AVERAGE(C$62:C$63)</f>
        <v>10.450000000000045</v>
      </c>
      <c r="D47" s="10">
        <f>eth_ON!D47 - eth_OFF!D47 - AVERAGE(D$62:D$63)</f>
        <v>14.749999999999972</v>
      </c>
      <c r="E47" s="10">
        <f>eth_ON!E47 - eth_OFF!E47 - AVERAGE(E$62:E$63)</f>
        <v>14.649999999999949</v>
      </c>
      <c r="F47" s="10">
        <f>eth_ON!F47 - eth_OFF!F47 - AVERAGE(F$62:F$63)</f>
        <v>16.700000000000017</v>
      </c>
      <c r="G47" s="10">
        <f>eth_ON!G47 - eth_OFF!G47 - AVERAGE(G$62:G$63)</f>
        <v>19.650000000000006</v>
      </c>
      <c r="H47" s="10">
        <f>eth_ON!H47 - eth_OFF!H47 - AVERAGE(H$62:H$63)</f>
        <v>22.950000000000017</v>
      </c>
      <c r="I47" s="10">
        <f>eth_ON!I47 - eth_OFF!I47 - AVERAGE(I$62:I$63)</f>
        <v>19.249999999999972</v>
      </c>
      <c r="J47" s="10">
        <f>eth_ON!J47 - eth_OFF!J47 - AVERAGE(J$62:J$63)</f>
        <v>26.449999999999989</v>
      </c>
      <c r="K47" s="10">
        <f>eth_ON!K47 - eth_OFF!K47 - AVERAGE(K$62:K$63)</f>
        <v>21.600000000000051</v>
      </c>
      <c r="L47" s="10">
        <f>eth_ON!L47 - eth_OFF!L47 - AVERAGE(L$62:L$63)</f>
        <v>22.849999999999994</v>
      </c>
      <c r="M47" s="10">
        <f>eth_ON!M47 - eth_OFF!M47 - AVERAGE(M$62:M$63)</f>
        <v>24.749999999999972</v>
      </c>
      <c r="N47" s="10">
        <f>eth_ON!N47 - eth_OFF!N47 - AVERAGE(N$62:N$63)</f>
        <v>30.600000000000051</v>
      </c>
      <c r="O47" s="10">
        <f>eth_ON!O47 - eth_OFF!O47 - AVERAGE(O$62:O$63)</f>
        <v>26.100000000000051</v>
      </c>
      <c r="P47" s="10">
        <f>eth_ON!P47 - eth_OFF!P47 - AVERAGE(P$62:P$63)</f>
        <v>23.400000000000006</v>
      </c>
      <c r="Q47" s="10">
        <f>eth_ON!Q47 - eth_OFF!Q47 - AVERAGE(Q$62:Q$63)</f>
        <v>25.80000000000004</v>
      </c>
      <c r="R47" s="10">
        <f>eth_ON!R47 - eth_OFF!R47 - AVERAGE(R$62:R$63)</f>
        <v>27.30000000000004</v>
      </c>
      <c r="S47" s="10">
        <f>eth_ON!S47 - eth_OFF!S47 - AVERAGE(S$62:S$63)</f>
        <v>19.549999999999955</v>
      </c>
      <c r="T47" s="10" t="e">
        <f>eth_ON!T47 - eth_OFF!T47 - AVERAGE(T$62:T$63)</f>
        <v>#VALUE!</v>
      </c>
      <c r="U47" s="10">
        <f>eth_ON!U47 - eth_OFF!U47 - AVERAGE(U$62:U$63)</f>
        <v>20.600000000000023</v>
      </c>
      <c r="V47" s="10">
        <f>eth_ON!V47 - eth_OFF!V47 - AVERAGE(V$62:V$63)</f>
        <v>24.500000000000057</v>
      </c>
      <c r="W47" s="10">
        <f>eth_ON!W47 - eth_OFF!W47 - AVERAGE(W$62:W$63)</f>
        <v>21.200000000000017</v>
      </c>
      <c r="X47" s="10">
        <f>eth_ON!X47 - eth_OFF!X47 - AVERAGE(X$62:X$63)</f>
        <v>29.799999999999955</v>
      </c>
      <c r="Y47" s="10">
        <f>eth_ON!Y47 - eth_OFF!Y47 - AVERAGE(Y$62:Y$63)</f>
        <v>24.650000000000063</v>
      </c>
      <c r="Z47" s="10">
        <f>eth_ON!Z47 - eth_OFF!Z47 - AVERAGE(Z$62:Z$63)</f>
        <v>22.900000000000006</v>
      </c>
      <c r="AA47" s="10">
        <f>eth_ON!AA47 - eth_OFF!AA47 - AVERAGE(AA$62:AA$63)</f>
        <v>24.150000000000034</v>
      </c>
      <c r="AB47" s="10">
        <f>eth_ON!AB47 - eth_OFF!AB47 - AVERAGE(AB$62:AB$63)</f>
        <v>25.999999999999972</v>
      </c>
      <c r="AC47" s="10">
        <f>eth_ON!AC47 - eth_OFF!AC47 - AVERAGE(AC$62:AC$63)</f>
        <v>26.150000000000063</v>
      </c>
      <c r="AD47" s="10">
        <f>eth_ON!AD47 - eth_OFF!AD47 - AVERAGE(AD$62:AD$63)</f>
        <v>26.949999999999989</v>
      </c>
      <c r="AE47" s="10">
        <f>eth_ON!AE47 - eth_OFF!AE47 - AVERAGE(AE$62:AE$63)</f>
        <v>24.25</v>
      </c>
      <c r="AF47" s="10">
        <f>eth_ON!AF47 - eth_OFF!AF47 - AVERAGE(AF$62:AF$63)</f>
        <v>23.500000000000028</v>
      </c>
      <c r="AG47" s="10">
        <f>eth_ON!AG47 - eth_OFF!AG47 - AVERAGE(AG$62:AG$63)</f>
        <v>27.150000000000006</v>
      </c>
      <c r="AH47" s="10">
        <f>eth_ON!AH47 - eth_OFF!AH47 - AVERAGE(AH$62:AH$63)</f>
        <v>26.449999999999989</v>
      </c>
      <c r="AI47" s="10">
        <f>eth_ON!AI47 - eth_OFF!AI47 - AVERAGE(AI$62:AI$63)</f>
        <v>28.049999999999983</v>
      </c>
      <c r="AJ47" s="10">
        <f>eth_ON!AJ47 - eth_OFF!AJ47 - AVERAGE(AJ$62:AJ$63)</f>
        <v>30.949999999999989</v>
      </c>
      <c r="AK47" s="10">
        <f>eth_ON!AK47 - eth_OFF!AK47 - AVERAGE(AK$62:AK$63)</f>
        <v>29.700000000000017</v>
      </c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</row>
    <row r="48" spans="1:65">
      <c r="A48" s="30">
        <v>47</v>
      </c>
      <c r="B48" s="10">
        <f>eth_ON!B48 - eth_OFF!B48 - AVERAGE(B$62:B$63)</f>
        <v>30.649999999999977</v>
      </c>
      <c r="C48" s="10">
        <f>eth_ON!C48 - eth_OFF!C48 - AVERAGE(C$62:C$63)</f>
        <v>10.75</v>
      </c>
      <c r="D48" s="10">
        <f>eth_ON!D48 - eth_OFF!D48 - AVERAGE(D$62:D$63)</f>
        <v>16.750000000000028</v>
      </c>
      <c r="E48" s="10">
        <f>eth_ON!E48 - eth_OFF!E48 - AVERAGE(E$62:E$63)</f>
        <v>11.849999999999994</v>
      </c>
      <c r="F48" s="10">
        <f>eth_ON!F48 - eth_OFF!F48 - AVERAGE(F$62:F$63)</f>
        <v>9.5999999999999943</v>
      </c>
      <c r="G48" s="10">
        <f>eth_ON!G48 - eth_OFF!G48 - AVERAGE(G$62:G$63)</f>
        <v>5.0500000000000398</v>
      </c>
      <c r="H48" s="10">
        <f>eth_ON!H48 - eth_OFF!H48 - AVERAGE(H$62:H$63)</f>
        <v>8.1499999999999488</v>
      </c>
      <c r="I48" s="10">
        <f>eth_ON!I48 - eth_OFF!I48 - AVERAGE(I$62:I$63)</f>
        <v>14.249999999999972</v>
      </c>
      <c r="J48" s="10">
        <f>eth_ON!J48 - eth_OFF!J48 - AVERAGE(J$62:J$63)</f>
        <v>12.249999999999943</v>
      </c>
      <c r="K48" s="10">
        <f>eth_ON!K48 - eth_OFF!K48 - AVERAGE(K$62:K$63)</f>
        <v>13.099999999999994</v>
      </c>
      <c r="L48" s="10">
        <f>eth_ON!L48 - eth_OFF!L48 - AVERAGE(L$62:L$63)</f>
        <v>7.1500000000000057</v>
      </c>
      <c r="M48" s="10">
        <f>eth_ON!M48 - eth_OFF!M48 - AVERAGE(M$62:M$63)</f>
        <v>6.7499999999999716</v>
      </c>
      <c r="N48" s="10">
        <f>eth_ON!N48 - eth_OFF!N48 - AVERAGE(N$62:N$63)</f>
        <v>13.80000000000004</v>
      </c>
      <c r="O48" s="10">
        <f>eth_ON!O48 - eth_OFF!O48 - AVERAGE(O$62:O$63)</f>
        <v>10.499999999999972</v>
      </c>
      <c r="P48" s="10">
        <f>eth_ON!P48 - eth_OFF!P48 - AVERAGE(P$62:P$63)</f>
        <v>11.700000000000017</v>
      </c>
      <c r="Q48" s="10">
        <f>eth_ON!Q48 - eth_OFF!Q48 - AVERAGE(Q$62:Q$63)</f>
        <v>8.8000000000000398</v>
      </c>
      <c r="R48" s="10">
        <f>eth_ON!R48 - eth_OFF!R48 - AVERAGE(R$62:R$63)</f>
        <v>4.4000000000000057</v>
      </c>
      <c r="S48" s="10">
        <f>eth_ON!S48 - eth_OFF!S48 - AVERAGE(S$62:S$63)</f>
        <v>5.0499999999999545</v>
      </c>
      <c r="T48" s="10" t="e">
        <f>eth_ON!T48 - eth_OFF!T48 - AVERAGE(T$62:T$63)</f>
        <v>#VALUE!</v>
      </c>
      <c r="U48" s="10">
        <f>eth_ON!U48 - eth_OFF!U48 - AVERAGE(U$62:U$63)</f>
        <v>5.4000000000000341</v>
      </c>
      <c r="V48" s="10">
        <f>eth_ON!V48 - eth_OFF!V48 - AVERAGE(V$62:V$63)</f>
        <v>4.9000000000000341</v>
      </c>
      <c r="W48" s="10">
        <f>eth_ON!W48 - eth_OFF!W48 - AVERAGE(W$62:W$63)</f>
        <v>5.9000000000000057</v>
      </c>
      <c r="X48" s="10">
        <f>eth_ON!X48 - eth_OFF!X48 - AVERAGE(X$62:X$63)</f>
        <v>5.8999999999999773</v>
      </c>
      <c r="Y48" s="10">
        <f>eth_ON!Y48 - eth_OFF!Y48 - AVERAGE(Y$62:Y$63)</f>
        <v>9.7500000000000284</v>
      </c>
      <c r="Z48" s="10">
        <f>eth_ON!Z48 - eth_OFF!Z48 - AVERAGE(Z$62:Z$63)</f>
        <v>14.299999999999983</v>
      </c>
      <c r="AA48" s="10">
        <f>eth_ON!AA48 - eth_OFF!AA48 - AVERAGE(AA$62:AA$63)</f>
        <v>13.750000000000057</v>
      </c>
      <c r="AB48" s="10">
        <f>eth_ON!AB48 - eth_OFF!AB48 - AVERAGE(AB$62:AB$63)</f>
        <v>18.700000000000017</v>
      </c>
      <c r="AC48" s="10">
        <f>eth_ON!AC48 - eth_OFF!AC48 - AVERAGE(AC$62:AC$63)</f>
        <v>13.350000000000051</v>
      </c>
      <c r="AD48" s="10">
        <f>eth_ON!AD48 - eth_OFF!AD48 - AVERAGE(AD$62:AD$63)</f>
        <v>14.649999999999977</v>
      </c>
      <c r="AE48" s="10">
        <f>eth_ON!AE48 - eth_OFF!AE48 - AVERAGE(AE$62:AE$63)</f>
        <v>13.449999999999989</v>
      </c>
      <c r="AF48" s="10">
        <f>eth_ON!AF48 - eth_OFF!AF48 - AVERAGE(AF$62:AF$63)</f>
        <v>14.799999999999983</v>
      </c>
      <c r="AG48" s="10">
        <f>eth_ON!AG48 - eth_OFF!AG48 - AVERAGE(AG$62:AG$63)</f>
        <v>14.650000000000006</v>
      </c>
      <c r="AH48" s="10">
        <f>eth_ON!AH48 - eth_OFF!AH48 - AVERAGE(AH$62:AH$63)</f>
        <v>12.75</v>
      </c>
      <c r="AI48" s="10">
        <f>eth_ON!AI48 - eth_OFF!AI48 - AVERAGE(AI$62:AI$63)</f>
        <v>8.4500000000000171</v>
      </c>
      <c r="AJ48" s="10">
        <f>eth_ON!AJ48 - eth_OFF!AJ48 - AVERAGE(AJ$62:AJ$63)</f>
        <v>10.049999999999955</v>
      </c>
      <c r="AK48" s="10">
        <f>eth_ON!AK48 - eth_OFF!AK48 - AVERAGE(AK$62:AK$63)</f>
        <v>10.900000000000006</v>
      </c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</row>
    <row r="49" spans="1:65">
      <c r="A49" s="30">
        <v>48</v>
      </c>
      <c r="B49" s="10">
        <f>eth_ON!B49 - eth_OFF!B49 - AVERAGE(B$62:B$63)</f>
        <v>15.549999999999955</v>
      </c>
      <c r="C49" s="10">
        <f>eth_ON!C49 - eth_OFF!C49 - AVERAGE(C$62:C$63)</f>
        <v>16.150000000000034</v>
      </c>
      <c r="D49" s="10">
        <f>eth_ON!D49 - eth_OFF!D49 - AVERAGE(D$62:D$63)</f>
        <v>4.8499999999999943</v>
      </c>
      <c r="E49" s="10">
        <f>eth_ON!E49 - eth_OFF!E49 - AVERAGE(E$62:E$63)</f>
        <v>17.249999999999972</v>
      </c>
      <c r="F49" s="10">
        <f>eth_ON!F49 - eth_OFF!F49 - AVERAGE(F$62:F$63)</f>
        <v>24.900000000000006</v>
      </c>
      <c r="G49" s="10">
        <f>eth_ON!G49 - eth_OFF!G49 - AVERAGE(G$62:G$63)</f>
        <v>21.349999999999994</v>
      </c>
      <c r="H49" s="10">
        <f>eth_ON!H49 - eth_OFF!H49 - AVERAGE(H$62:H$63)</f>
        <v>26.950000000000017</v>
      </c>
      <c r="I49" s="10">
        <f>eth_ON!I49 - eth_OFF!I49 - AVERAGE(I$62:I$63)</f>
        <v>19.44999999999996</v>
      </c>
      <c r="J49" s="10">
        <f>eth_ON!J49 - eth_OFF!J49 - AVERAGE(J$62:J$63)</f>
        <v>21.550000000000011</v>
      </c>
      <c r="K49" s="10">
        <f>eth_ON!K49 - eth_OFF!K49 - AVERAGE(K$62:K$63)</f>
        <v>23.099999999999994</v>
      </c>
      <c r="L49" s="10">
        <f>eth_ON!L49 - eth_OFF!L49 - AVERAGE(L$62:L$63)</f>
        <v>26.250000000000028</v>
      </c>
      <c r="M49" s="10">
        <f>eth_ON!M49 - eth_OFF!M49 - AVERAGE(M$62:M$63)</f>
        <v>25.749999999999972</v>
      </c>
      <c r="N49" s="10">
        <f>eth_ON!N49 - eth_OFF!N49 - AVERAGE(N$62:N$63)</f>
        <v>27.500000000000028</v>
      </c>
      <c r="O49" s="10">
        <f>eth_ON!O49 - eth_OFF!O49 - AVERAGE(O$62:O$63)</f>
        <v>24.80000000000004</v>
      </c>
      <c r="P49" s="10">
        <f>eth_ON!P49 - eth_OFF!P49 - AVERAGE(P$62:P$63)</f>
        <v>27.099999999999994</v>
      </c>
      <c r="Q49" s="10">
        <f>eth_ON!Q49 - eth_OFF!Q49 - AVERAGE(Q$62:Q$63)</f>
        <v>24.30000000000004</v>
      </c>
      <c r="R49" s="10">
        <f>eth_ON!R49 - eth_OFF!R49 - AVERAGE(R$62:R$63)</f>
        <v>25.100000000000051</v>
      </c>
      <c r="S49" s="10">
        <f>eth_ON!S49 - eth_OFF!S49 - AVERAGE(S$62:S$63)</f>
        <v>24.949999999999989</v>
      </c>
      <c r="T49" s="10" t="e">
        <f>eth_ON!T49 - eth_OFF!T49 - AVERAGE(T$62:T$63)</f>
        <v>#VALUE!</v>
      </c>
      <c r="U49" s="10">
        <f>eth_ON!U49 - eth_OFF!U49 - AVERAGE(U$62:U$63)</f>
        <v>25.699999999999989</v>
      </c>
      <c r="V49" s="10">
        <f>eth_ON!V49 - eth_OFF!V49 - AVERAGE(V$62:V$63)</f>
        <v>29.5</v>
      </c>
      <c r="W49" s="10">
        <f>eth_ON!W49 - eth_OFF!W49 - AVERAGE(W$62:W$63)</f>
        <v>29.700000000000017</v>
      </c>
      <c r="X49" s="10">
        <f>eth_ON!X49 - eth_OFF!X49 - AVERAGE(X$62:X$63)</f>
        <v>30.600000000000023</v>
      </c>
      <c r="Y49" s="10">
        <f>eth_ON!Y49 - eth_OFF!Y49 - AVERAGE(Y$62:Y$63)</f>
        <v>30.250000000000028</v>
      </c>
      <c r="Z49" s="10">
        <f>eth_ON!Z49 - eth_OFF!Z49 - AVERAGE(Z$62:Z$63)</f>
        <v>27.999999999999972</v>
      </c>
      <c r="AA49" s="10">
        <f>eth_ON!AA49 - eth_OFF!AA49 - AVERAGE(AA$62:AA$63)</f>
        <v>26.649999999999977</v>
      </c>
      <c r="AB49" s="10">
        <f>eth_ON!AB49 - eth_OFF!AB49 - AVERAGE(AB$62:AB$63)</f>
        <v>28.400000000000006</v>
      </c>
      <c r="AC49" s="10">
        <f>eth_ON!AC49 - eth_OFF!AC49 - AVERAGE(AC$62:AC$63)</f>
        <v>30.05000000000004</v>
      </c>
      <c r="AD49" s="10">
        <f>eth_ON!AD49 - eth_OFF!AD49 - AVERAGE(AD$62:AD$63)</f>
        <v>28.75</v>
      </c>
      <c r="AE49" s="10">
        <f>eth_ON!AE49 - eth_OFF!AE49 - AVERAGE(AE$62:AE$63)</f>
        <v>28.25</v>
      </c>
      <c r="AF49" s="10">
        <f>eth_ON!AF49 - eth_OFF!AF49 - AVERAGE(AF$62:AF$63)</f>
        <v>30.200000000000017</v>
      </c>
      <c r="AG49" s="10">
        <f>eth_ON!AG49 - eth_OFF!AG49 - AVERAGE(AG$62:AG$63)</f>
        <v>28.849999999999994</v>
      </c>
      <c r="AH49" s="10">
        <f>eth_ON!AH49 - eth_OFF!AH49 - AVERAGE(AH$62:AH$63)</f>
        <v>32.049999999999955</v>
      </c>
      <c r="AI49" s="10">
        <f>eth_ON!AI49 - eth_OFF!AI49 - AVERAGE(AI$62:AI$63)</f>
        <v>28.950000000000017</v>
      </c>
      <c r="AJ49" s="10">
        <f>eth_ON!AJ49 - eth_OFF!AJ49 - AVERAGE(AJ$62:AJ$63)</f>
        <v>31.949999999999989</v>
      </c>
      <c r="AK49" s="10">
        <f>eth_ON!AK49 - eth_OFF!AK49 - AVERAGE(AK$62:AK$63)</f>
        <v>31.900000000000006</v>
      </c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  <row r="50" spans="1:65">
      <c r="A50" s="30">
        <v>49</v>
      </c>
      <c r="B50" s="10">
        <f>eth_ON!B50 - eth_OFF!B50 - AVERAGE(B$62:B$63)</f>
        <v>2.4499999999999886</v>
      </c>
      <c r="C50" s="10">
        <f>eth_ON!C50 - eth_OFF!C50 - AVERAGE(C$62:C$63)</f>
        <v>2.3500000000000227</v>
      </c>
      <c r="D50" s="10">
        <f>eth_ON!D50 - eth_OFF!D50 - AVERAGE(D$62:D$63)</f>
        <v>-0.15000000000000568</v>
      </c>
      <c r="E50" s="10">
        <f>eth_ON!E50 - eth_OFF!E50 - AVERAGE(E$62:E$63)</f>
        <v>0.45000000000001705</v>
      </c>
      <c r="F50" s="10">
        <f>eth_ON!F50 - eth_OFF!F50 - AVERAGE(F$62:F$63)</f>
        <v>0.70000000000001705</v>
      </c>
      <c r="G50" s="10">
        <f>eth_ON!G50 - eth_OFF!G50 - AVERAGE(G$62:G$63)</f>
        <v>0.65000000000000568</v>
      </c>
      <c r="H50" s="10">
        <f>eth_ON!H50 - eth_OFF!H50 - AVERAGE(H$62:H$63)</f>
        <v>2.1500000000000057</v>
      </c>
      <c r="I50" s="10">
        <f>eth_ON!I50 - eth_OFF!I50 - AVERAGE(I$62:I$63)</f>
        <v>4.0499999999999829</v>
      </c>
      <c r="J50" s="10">
        <f>eth_ON!J50 - eth_OFF!J50 - AVERAGE(J$62:J$63)</f>
        <v>4.75</v>
      </c>
      <c r="K50" s="10">
        <f>eth_ON!K50 - eth_OFF!K50 - AVERAGE(K$62:K$63)</f>
        <v>6.4999999999999716</v>
      </c>
      <c r="L50" s="10">
        <f>eth_ON!L50 - eth_OFF!L50 - AVERAGE(L$62:L$63)</f>
        <v>6.5500000000000398</v>
      </c>
      <c r="M50" s="10">
        <f>eth_ON!M50 - eth_OFF!M50 - AVERAGE(M$62:M$63)</f>
        <v>6.6500000000000057</v>
      </c>
      <c r="N50" s="10">
        <f>eth_ON!N50 - eth_OFF!N50 - AVERAGE(N$62:N$63)</f>
        <v>13.700000000000017</v>
      </c>
      <c r="O50" s="10">
        <f>eth_ON!O50 - eth_OFF!O50 - AVERAGE(O$62:O$63)</f>
        <v>6.7000000000000171</v>
      </c>
      <c r="P50" s="10">
        <f>eth_ON!P50 - eth_OFF!P50 - AVERAGE(P$62:P$63)</f>
        <v>13.000000000000028</v>
      </c>
      <c r="Q50" s="10">
        <f>eth_ON!Q50 - eth_OFF!Q50 - AVERAGE(Q$62:Q$63)</f>
        <v>8.7999999999999829</v>
      </c>
      <c r="R50" s="10">
        <f>eth_ON!R50 - eth_OFF!R50 - AVERAGE(R$62:R$63)</f>
        <v>9.6000000000000512</v>
      </c>
      <c r="S50" s="10">
        <f>eth_ON!S50 - eth_OFF!S50 - AVERAGE(S$62:S$63)</f>
        <v>13.649999999999977</v>
      </c>
      <c r="T50" s="10" t="e">
        <f>eth_ON!T50 - eth_OFF!T50 - AVERAGE(T$62:T$63)</f>
        <v>#VALUE!</v>
      </c>
      <c r="U50" s="10">
        <f>eth_ON!U50 - eth_OFF!U50 - AVERAGE(U$62:U$63)</f>
        <v>11.599999999999966</v>
      </c>
      <c r="V50" s="10">
        <f>eth_ON!V50 - eth_OFF!V50 - AVERAGE(V$62:V$63)</f>
        <v>11.300000000000011</v>
      </c>
      <c r="W50" s="10">
        <f>eth_ON!W50 - eth_OFF!W50 - AVERAGE(W$62:W$63)</f>
        <v>15.099999999999994</v>
      </c>
      <c r="X50" s="10">
        <f>eth_ON!X50 - eth_OFF!X50 - AVERAGE(X$62:X$63)</f>
        <v>10.699999999999989</v>
      </c>
      <c r="Y50" s="10">
        <f>eth_ON!Y50 - eth_OFF!Y50 - AVERAGE(Y$62:Y$63)</f>
        <v>13.750000000000028</v>
      </c>
      <c r="Z50" s="10">
        <f>eth_ON!Z50 - eth_OFF!Z50 - AVERAGE(Z$62:Z$63)</f>
        <v>15.000000000000028</v>
      </c>
      <c r="AA50" s="10">
        <f>eth_ON!AA50 - eth_OFF!AA50 - AVERAGE(AA$62:AA$63)</f>
        <v>13.550000000000011</v>
      </c>
      <c r="AB50" s="10">
        <f>eth_ON!AB50 - eth_OFF!AB50 - AVERAGE(AB$62:AB$63)</f>
        <v>14.499999999999972</v>
      </c>
      <c r="AC50" s="10">
        <f>eth_ON!AC50 - eth_OFF!AC50 - AVERAGE(AC$62:AC$63)</f>
        <v>15.150000000000063</v>
      </c>
      <c r="AD50" s="10">
        <f>eth_ON!AD50 - eth_OFF!AD50 - AVERAGE(AD$62:AD$63)</f>
        <v>14.75</v>
      </c>
      <c r="AE50" s="10">
        <f>eth_ON!AE50 - eth_OFF!AE50 - AVERAGE(AE$62:AE$63)</f>
        <v>16.050000000000011</v>
      </c>
      <c r="AF50" s="10">
        <f>eth_ON!AF50 - eth_OFF!AF50 - AVERAGE(AF$62:AF$63)</f>
        <v>15.900000000000006</v>
      </c>
      <c r="AG50" s="10">
        <f>eth_ON!AG50 - eth_OFF!AG50 - AVERAGE(AG$62:AG$63)</f>
        <v>12.950000000000017</v>
      </c>
      <c r="AH50" s="10">
        <f>eth_ON!AH50 - eth_OFF!AH50 - AVERAGE(AH$62:AH$63)</f>
        <v>7.1499999999999773</v>
      </c>
      <c r="AI50" s="10">
        <f>eth_ON!AI50 - eth_OFF!AI50 - AVERAGE(AI$62:AI$63)</f>
        <v>14.049999999999983</v>
      </c>
      <c r="AJ50" s="10">
        <f>eth_ON!AJ50 - eth_OFF!AJ50 - AVERAGE(AJ$62:AJ$63)</f>
        <v>9.9499999999999886</v>
      </c>
      <c r="AK50" s="10">
        <f>eth_ON!AK50 - eth_OFF!AK50 - AVERAGE(AK$62:AK$63)</f>
        <v>10.599999999999994</v>
      </c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</row>
    <row r="51" spans="1:65">
      <c r="A51" s="30">
        <v>50</v>
      </c>
      <c r="B51" s="10">
        <f>eth_ON!B51 - eth_OFF!B51 - AVERAGE(B$62:B$63)</f>
        <v>33.949999999999989</v>
      </c>
      <c r="C51" s="10">
        <f>eth_ON!C51 - eth_OFF!C51 - AVERAGE(C$62:C$63)</f>
        <v>9.8500000000000227</v>
      </c>
      <c r="D51" s="10">
        <f>eth_ON!D51 - eth_OFF!D51 - AVERAGE(D$62:D$63)</f>
        <v>10.349999999999994</v>
      </c>
      <c r="E51" s="10">
        <f>eth_ON!E51 - eth_OFF!E51 - AVERAGE(E$62:E$63)</f>
        <v>6.8499999999999943</v>
      </c>
      <c r="F51" s="10">
        <f>eth_ON!F51 - eth_OFF!F51 - AVERAGE(F$62:F$63)</f>
        <v>14.099999999999994</v>
      </c>
      <c r="G51" s="10">
        <f>eth_ON!G51 - eth_OFF!G51 - AVERAGE(G$62:G$63)</f>
        <v>11.750000000000028</v>
      </c>
      <c r="H51" s="10">
        <f>eth_ON!H51 - eth_OFF!H51 - AVERAGE(H$62:H$63)</f>
        <v>9.0499999999999829</v>
      </c>
      <c r="I51" s="10">
        <f>eth_ON!I51 - eth_OFF!I51 - AVERAGE(I$62:I$63)</f>
        <v>8.9500000000000171</v>
      </c>
      <c r="J51" s="10">
        <f>eth_ON!J51 - eth_OFF!J51 - AVERAGE(J$62:J$63)</f>
        <v>9.5500000000000114</v>
      </c>
      <c r="K51" s="10">
        <f>eth_ON!K51 - eth_OFF!K51 - AVERAGE(K$62:K$63)</f>
        <v>14.200000000000017</v>
      </c>
      <c r="L51" s="10">
        <f>eth_ON!L51 - eth_OFF!L51 - AVERAGE(L$62:L$63)</f>
        <v>12.750000000000028</v>
      </c>
      <c r="M51" s="10">
        <f>eth_ON!M51 - eth_OFF!M51 - AVERAGE(M$62:M$63)</f>
        <v>15.55000000000004</v>
      </c>
      <c r="N51" s="10">
        <f>eth_ON!N51 - eth_OFF!N51 - AVERAGE(N$62:N$63)</f>
        <v>12.599999999999994</v>
      </c>
      <c r="O51" s="10">
        <f>eth_ON!O51 - eth_OFF!O51 - AVERAGE(O$62:O$63)</f>
        <v>13.400000000000006</v>
      </c>
      <c r="P51" s="10">
        <f>eth_ON!P51 - eth_OFF!P51 - AVERAGE(P$62:P$63)</f>
        <v>17.30000000000004</v>
      </c>
      <c r="Q51" s="10">
        <f>eth_ON!Q51 - eth_OFF!Q51 - AVERAGE(Q$62:Q$63)</f>
        <v>13.600000000000051</v>
      </c>
      <c r="R51" s="10">
        <f>eth_ON!R51 - eth_OFF!R51 - AVERAGE(R$62:R$63)</f>
        <v>19.30000000000004</v>
      </c>
      <c r="S51" s="10">
        <f>eth_ON!S51 - eth_OFF!S51 - AVERAGE(S$62:S$63)</f>
        <v>14.450000000000045</v>
      </c>
      <c r="T51" s="10" t="e">
        <f>eth_ON!T51 - eth_OFF!T51 - AVERAGE(T$62:T$63)</f>
        <v>#VALUE!</v>
      </c>
      <c r="U51" s="10">
        <f>eth_ON!U51 - eth_OFF!U51 - AVERAGE(U$62:U$63)</f>
        <v>15.5</v>
      </c>
      <c r="V51" s="10">
        <f>eth_ON!V51 - eth_OFF!V51 - AVERAGE(V$62:V$63)</f>
        <v>12.699999999999989</v>
      </c>
      <c r="W51" s="10">
        <f>eth_ON!W51 - eth_OFF!W51 - AVERAGE(W$62:W$63)</f>
        <v>15.700000000000017</v>
      </c>
      <c r="X51" s="10">
        <f>eth_ON!X51 - eth_OFF!X51 - AVERAGE(X$62:X$63)</f>
        <v>19.599999999999966</v>
      </c>
      <c r="Y51" s="10">
        <f>eth_ON!Y51 - eth_OFF!Y51 - AVERAGE(Y$62:Y$63)</f>
        <v>20.150000000000006</v>
      </c>
      <c r="Z51" s="10">
        <f>eth_ON!Z51 - eth_OFF!Z51 - AVERAGE(Z$62:Z$63)</f>
        <v>19.599999999999994</v>
      </c>
      <c r="AA51" s="10">
        <f>eth_ON!AA51 - eth_OFF!AA51 - AVERAGE(AA$62:AA$63)</f>
        <v>18.050000000000011</v>
      </c>
      <c r="AB51" s="10">
        <f>eth_ON!AB51 - eth_OFF!AB51 - AVERAGE(AB$62:AB$63)</f>
        <v>19.69999999999996</v>
      </c>
      <c r="AC51" s="10">
        <f>eth_ON!AC51 - eth_OFF!AC51 - AVERAGE(AC$62:AC$63)</f>
        <v>18.249999999999972</v>
      </c>
      <c r="AD51" s="10">
        <f>eth_ON!AD51 - eth_OFF!AD51 - AVERAGE(AD$62:AD$63)</f>
        <v>15.949999999999989</v>
      </c>
      <c r="AE51" s="10">
        <f>eth_ON!AE51 - eth_OFF!AE51 - AVERAGE(AE$62:AE$63)</f>
        <v>18.349999999999966</v>
      </c>
      <c r="AF51" s="10">
        <f>eth_ON!AF51 - eth_OFF!AF51 - AVERAGE(AF$62:AF$63)</f>
        <v>21.400000000000006</v>
      </c>
      <c r="AG51" s="10">
        <f>eth_ON!AG51 - eth_OFF!AG51 - AVERAGE(AG$62:AG$63)</f>
        <v>19.44999999999996</v>
      </c>
      <c r="AH51" s="10">
        <f>eth_ON!AH51 - eth_OFF!AH51 - AVERAGE(AH$62:AH$63)</f>
        <v>20.749999999999943</v>
      </c>
      <c r="AI51" s="10">
        <f>eth_ON!AI51 - eth_OFF!AI51 - AVERAGE(AI$62:AI$63)</f>
        <v>18.749999999999972</v>
      </c>
      <c r="AJ51" s="10">
        <f>eth_ON!AJ51 - eth_OFF!AJ51 - AVERAGE(AJ$62:AJ$63)</f>
        <v>14.649999999999977</v>
      </c>
      <c r="AK51" s="10">
        <f>eth_ON!AK51 - eth_OFF!AK51 - AVERAGE(AK$62:AK$63)</f>
        <v>18.599999999999994</v>
      </c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</row>
    <row r="52" spans="1:65">
      <c r="A52" s="30">
        <v>51</v>
      </c>
      <c r="B52" s="10">
        <f>eth_ON!B52 - eth_OFF!B52 - AVERAGE(B$62:B$63)</f>
        <v>2.7499999999999432</v>
      </c>
      <c r="C52" s="10">
        <f>eth_ON!C52 - eth_OFF!C52 - AVERAGE(C$62:C$63)</f>
        <v>7.1500000000000341</v>
      </c>
      <c r="D52" s="10">
        <f>eth_ON!D52 - eth_OFF!D52 - AVERAGE(D$62:D$63)</f>
        <v>8.7500000000000284</v>
      </c>
      <c r="E52" s="10">
        <f>eth_ON!E52 - eth_OFF!E52 - AVERAGE(E$62:E$63)</f>
        <v>7.7499999999999716</v>
      </c>
      <c r="F52" s="10">
        <f>eth_ON!F52 - eth_OFF!F52 - AVERAGE(F$62:F$63)</f>
        <v>6.5999999999999943</v>
      </c>
      <c r="G52" s="10">
        <f>eth_ON!G52 - eth_OFF!G52 - AVERAGE(G$62:G$63)</f>
        <v>8.1500000000000057</v>
      </c>
      <c r="H52" s="10">
        <f>eth_ON!H52 - eth_OFF!H52 - AVERAGE(H$62:H$63)</f>
        <v>10.049999999999983</v>
      </c>
      <c r="I52" s="10">
        <f>eth_ON!I52 - eth_OFF!I52 - AVERAGE(I$62:I$63)</f>
        <v>7.5499999999999829</v>
      </c>
      <c r="J52" s="10">
        <f>eth_ON!J52 - eth_OFF!J52 - AVERAGE(J$62:J$63)</f>
        <v>8.4499999999999886</v>
      </c>
      <c r="K52" s="10">
        <f>eth_ON!K52 - eth_OFF!K52 - AVERAGE(K$62:K$63)</f>
        <v>8.0000000000000284</v>
      </c>
      <c r="L52" s="10">
        <f>eth_ON!L52 - eth_OFF!L52 - AVERAGE(L$62:L$63)</f>
        <v>7.9500000000000171</v>
      </c>
      <c r="M52" s="10">
        <f>eth_ON!M52 - eth_OFF!M52 - AVERAGE(M$62:M$63)</f>
        <v>11.250000000000028</v>
      </c>
      <c r="N52" s="10">
        <f>eth_ON!N52 - eth_OFF!N52 - AVERAGE(N$62:N$63)</f>
        <v>9.2000000000000171</v>
      </c>
      <c r="O52" s="10">
        <f>eth_ON!O52 - eth_OFF!O52 - AVERAGE(O$62:O$63)</f>
        <v>7.2000000000000171</v>
      </c>
      <c r="P52" s="10">
        <f>eth_ON!P52 - eth_OFF!P52 - AVERAGE(P$62:P$63)</f>
        <v>8.5999999999999943</v>
      </c>
      <c r="Q52" s="10">
        <f>eth_ON!Q52 - eth_OFF!Q52 - AVERAGE(Q$62:Q$63)</f>
        <v>7.8000000000000398</v>
      </c>
      <c r="R52" s="10">
        <f>eth_ON!R52 - eth_OFF!R52 - AVERAGE(R$62:R$63)</f>
        <v>8.4999999999999716</v>
      </c>
      <c r="S52" s="10">
        <f>eth_ON!S52 - eth_OFF!S52 - AVERAGE(S$62:S$63)</f>
        <v>10.649999999999977</v>
      </c>
      <c r="T52" s="10" t="e">
        <f>eth_ON!T52 - eth_OFF!T52 - AVERAGE(T$62:T$63)</f>
        <v>#VALUE!</v>
      </c>
      <c r="U52" s="10">
        <f>eth_ON!U52 - eth_OFF!U52 - AVERAGE(U$62:U$63)</f>
        <v>9.4000000000000341</v>
      </c>
      <c r="V52" s="10">
        <f>eth_ON!V52 - eth_OFF!V52 - AVERAGE(V$62:V$63)</f>
        <v>11.100000000000023</v>
      </c>
      <c r="W52" s="10">
        <f>eth_ON!W52 - eth_OFF!W52 - AVERAGE(W$62:W$63)</f>
        <v>8.3000000000000398</v>
      </c>
      <c r="X52" s="10">
        <f>eth_ON!X52 - eth_OFF!X52 - AVERAGE(X$62:X$63)</f>
        <v>9.6999999999999886</v>
      </c>
      <c r="Y52" s="10">
        <f>eth_ON!Y52 - eth_OFF!Y52 - AVERAGE(Y$62:Y$63)</f>
        <v>9.1500000000000625</v>
      </c>
      <c r="Z52" s="10">
        <f>eth_ON!Z52 - eth_OFF!Z52 - AVERAGE(Z$62:Z$63)</f>
        <v>10.700000000000017</v>
      </c>
      <c r="AA52" s="10">
        <f>eth_ON!AA52 - eth_OFF!AA52 - AVERAGE(AA$62:AA$63)</f>
        <v>9.2500000000000568</v>
      </c>
      <c r="AB52" s="10">
        <f>eth_ON!AB52 - eth_OFF!AB52 - AVERAGE(AB$62:AB$63)</f>
        <v>11.700000000000017</v>
      </c>
      <c r="AC52" s="10">
        <f>eth_ON!AC52 - eth_OFF!AC52 - AVERAGE(AC$62:AC$63)</f>
        <v>11.05000000000004</v>
      </c>
      <c r="AD52" s="10">
        <f>eth_ON!AD52 - eth_OFF!AD52 - AVERAGE(AD$62:AD$63)</f>
        <v>9.9499999999999886</v>
      </c>
      <c r="AE52" s="10">
        <f>eth_ON!AE52 - eth_OFF!AE52 - AVERAGE(AE$62:AE$63)</f>
        <v>9.9499999999999886</v>
      </c>
      <c r="AF52" s="10">
        <f>eth_ON!AF52 - eth_OFF!AF52 - AVERAGE(AF$62:AF$63)</f>
        <v>9.8000000000000398</v>
      </c>
      <c r="AG52" s="10">
        <f>eth_ON!AG52 - eth_OFF!AG52 - AVERAGE(AG$62:AG$63)</f>
        <v>8.1499999999999488</v>
      </c>
      <c r="AH52" s="10">
        <f>eth_ON!AH52 - eth_OFF!AH52 - AVERAGE(AH$62:AH$63)</f>
        <v>9.4499999999999886</v>
      </c>
      <c r="AI52" s="10">
        <f>eth_ON!AI52 - eth_OFF!AI52 - AVERAGE(AI$62:AI$63)</f>
        <v>9.0500000000000398</v>
      </c>
      <c r="AJ52" s="10">
        <f>eth_ON!AJ52 - eth_OFF!AJ52 - AVERAGE(AJ$62:AJ$63)</f>
        <v>8.5500000000000114</v>
      </c>
      <c r="AK52" s="10">
        <f>eth_ON!AK52 - eth_OFF!AK52 - AVERAGE(AK$62:AK$63)</f>
        <v>11.099999999999994</v>
      </c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</row>
    <row r="53" spans="1:65">
      <c r="A53" s="30">
        <v>52</v>
      </c>
      <c r="B53" s="10">
        <f>eth_ON!B53 - eth_OFF!B53 - AVERAGE(B$62:B$63)</f>
        <v>2.0499999999999545</v>
      </c>
      <c r="C53" s="10">
        <f>eth_ON!C53 - eth_OFF!C53 - AVERAGE(C$62:C$63)</f>
        <v>4.4500000000000455</v>
      </c>
      <c r="D53" s="10">
        <f>eth_ON!D53 - eth_OFF!D53 - AVERAGE(D$62:D$63)</f>
        <v>8.5499999999999829</v>
      </c>
      <c r="E53" s="10">
        <f>eth_ON!E53 - eth_OFF!E53 - AVERAGE(E$62:E$63)</f>
        <v>7.5499999999999829</v>
      </c>
      <c r="F53" s="10">
        <f>eth_ON!F53 - eth_OFF!F53 - AVERAGE(F$62:F$63)</f>
        <v>7.9999999999999716</v>
      </c>
      <c r="G53" s="10">
        <f>eth_ON!G53 - eth_OFF!G53 - AVERAGE(G$62:G$63)</f>
        <v>9.4500000000000171</v>
      </c>
      <c r="H53" s="10">
        <f>eth_ON!H53 - eth_OFF!H53 - AVERAGE(H$62:H$63)</f>
        <v>8.0499999999999829</v>
      </c>
      <c r="I53" s="10">
        <f>eth_ON!I53 - eth_OFF!I53 - AVERAGE(I$62:I$63)</f>
        <v>6.4499999999999602</v>
      </c>
      <c r="J53" s="10">
        <f>eth_ON!J53 - eth_OFF!J53 - AVERAGE(J$62:J$63)</f>
        <v>7.6499999999999773</v>
      </c>
      <c r="K53" s="10">
        <f>eth_ON!K53 - eth_OFF!K53 - AVERAGE(K$62:K$63)</f>
        <v>9.9999999999999716</v>
      </c>
      <c r="L53" s="10">
        <f>eth_ON!L53 - eth_OFF!L53 - AVERAGE(L$62:L$63)</f>
        <v>10.55000000000004</v>
      </c>
      <c r="M53" s="10">
        <f>eth_ON!M53 - eth_OFF!M53 - AVERAGE(M$62:M$63)</f>
        <v>8.4500000000000171</v>
      </c>
      <c r="N53" s="10">
        <f>eth_ON!N53 - eth_OFF!N53 - AVERAGE(N$62:N$63)</f>
        <v>11.400000000000006</v>
      </c>
      <c r="O53" s="10">
        <f>eth_ON!O53 - eth_OFF!O53 - AVERAGE(O$62:O$63)</f>
        <v>7.3000000000000398</v>
      </c>
      <c r="P53" s="10">
        <f>eth_ON!P53 - eth_OFF!P53 - AVERAGE(P$62:P$63)</f>
        <v>8.0000000000000284</v>
      </c>
      <c r="Q53" s="10">
        <f>eth_ON!Q53 - eth_OFF!Q53 - AVERAGE(Q$62:Q$63)</f>
        <v>8.6000000000000512</v>
      </c>
      <c r="R53" s="10">
        <f>eth_ON!R53 - eth_OFF!R53 - AVERAGE(R$62:R$63)</f>
        <v>10.100000000000051</v>
      </c>
      <c r="S53" s="10">
        <f>eth_ON!S53 - eth_OFF!S53 - AVERAGE(S$62:S$63)</f>
        <v>9.6499999999999204</v>
      </c>
      <c r="T53" s="10" t="e">
        <f>eth_ON!T53 - eth_OFF!T53 - AVERAGE(T$62:T$63)</f>
        <v>#VALUE!</v>
      </c>
      <c r="U53" s="10">
        <f>eth_ON!U53 - eth_OFF!U53 - AVERAGE(U$62:U$63)</f>
        <v>9.5</v>
      </c>
      <c r="V53" s="10">
        <f>eth_ON!V53 - eth_OFF!V53 - AVERAGE(V$62:V$63)</f>
        <v>9.1000000000000227</v>
      </c>
      <c r="W53" s="10">
        <f>eth_ON!W53 - eth_OFF!W53 - AVERAGE(W$62:W$63)</f>
        <v>8.9999999999999716</v>
      </c>
      <c r="X53" s="10">
        <f>eth_ON!X53 - eth_OFF!X53 - AVERAGE(X$62:X$63)</f>
        <v>9.6999999999999318</v>
      </c>
      <c r="Y53" s="10">
        <f>eth_ON!Y53 - eth_OFF!Y53 - AVERAGE(Y$62:Y$63)</f>
        <v>12.05000000000004</v>
      </c>
      <c r="Z53" s="10">
        <f>eth_ON!Z53 - eth_OFF!Z53 - AVERAGE(Z$62:Z$63)</f>
        <v>9.7999999999999829</v>
      </c>
      <c r="AA53" s="10">
        <f>eth_ON!AA53 - eth_OFF!AA53 - AVERAGE(AA$62:AA$63)</f>
        <v>12.550000000000011</v>
      </c>
      <c r="AB53" s="10">
        <f>eth_ON!AB53 - eth_OFF!AB53 - AVERAGE(AB$62:AB$63)</f>
        <v>10.500000000000028</v>
      </c>
      <c r="AC53" s="10">
        <f>eth_ON!AC53 - eth_OFF!AC53 - AVERAGE(AC$62:AC$63)</f>
        <v>8.3499999999999943</v>
      </c>
      <c r="AD53" s="10">
        <f>eth_ON!AD53 - eth_OFF!AD53 - AVERAGE(AD$62:AD$63)</f>
        <v>11.449999999999989</v>
      </c>
      <c r="AE53" s="10">
        <f>eth_ON!AE53 - eth_OFF!AE53 - AVERAGE(AE$62:AE$63)</f>
        <v>11.75</v>
      </c>
      <c r="AF53" s="10">
        <f>eth_ON!AF53 - eth_OFF!AF53 - AVERAGE(AF$62:AF$63)</f>
        <v>11.500000000000028</v>
      </c>
      <c r="AG53" s="10">
        <f>eth_ON!AG53 - eth_OFF!AG53 - AVERAGE(AG$62:AG$63)</f>
        <v>11.849999999999994</v>
      </c>
      <c r="AH53" s="10">
        <f>eth_ON!AH53 - eth_OFF!AH53 - AVERAGE(AH$62:AH$63)</f>
        <v>12.849999999999966</v>
      </c>
      <c r="AI53" s="10">
        <f>eth_ON!AI53 - eth_OFF!AI53 - AVERAGE(AI$62:AI$63)</f>
        <v>8.6500000000000057</v>
      </c>
      <c r="AJ53" s="10">
        <f>eth_ON!AJ53 - eth_OFF!AJ53 - AVERAGE(AJ$62:AJ$63)</f>
        <v>11.25</v>
      </c>
      <c r="AK53" s="10">
        <f>eth_ON!AK53 - eth_OFF!AK53 - AVERAGE(AK$62:AK$63)</f>
        <v>12.500000000000028</v>
      </c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</row>
    <row r="54" spans="1:65">
      <c r="A54" s="30">
        <v>53</v>
      </c>
      <c r="B54" s="10">
        <f>eth_ON!B54 - eth_OFF!B54 - AVERAGE(B$62:B$63)</f>
        <v>6.3500000000000227</v>
      </c>
      <c r="C54" s="10">
        <f>eth_ON!C54 - eth_OFF!C54 - AVERAGE(C$62:C$63)</f>
        <v>16.950000000000045</v>
      </c>
      <c r="D54" s="10">
        <f>eth_ON!D54 - eth_OFF!D54 - AVERAGE(D$62:D$63)</f>
        <v>8.1499999999999488</v>
      </c>
      <c r="E54" s="10">
        <f>eth_ON!E54 - eth_OFF!E54 - AVERAGE(E$62:E$63)</f>
        <v>16.649999999999949</v>
      </c>
      <c r="F54" s="10">
        <f>eth_ON!F54 - eth_OFF!F54 - AVERAGE(F$62:F$63)</f>
        <v>19.900000000000006</v>
      </c>
      <c r="G54" s="10">
        <f>eth_ON!G54 - eth_OFF!G54 - AVERAGE(G$62:G$63)</f>
        <v>20.150000000000006</v>
      </c>
      <c r="H54" s="10">
        <f>eth_ON!H54 - eth_OFF!H54 - AVERAGE(H$62:H$63)</f>
        <v>22.450000000000017</v>
      </c>
      <c r="I54" s="10">
        <f>eth_ON!I54 - eth_OFF!I54 - AVERAGE(I$62:I$63)</f>
        <v>22.250000000000028</v>
      </c>
      <c r="J54" s="10">
        <f>eth_ON!J54 - eth_OFF!J54 - AVERAGE(J$62:J$63)</f>
        <v>19.149999999999977</v>
      </c>
      <c r="K54" s="10">
        <f>eth_ON!K54 - eth_OFF!K54 - AVERAGE(K$62:K$63)</f>
        <v>21.200000000000017</v>
      </c>
      <c r="L54" s="10">
        <f>eth_ON!L54 - eth_OFF!L54 - AVERAGE(L$62:L$63)</f>
        <v>21.150000000000006</v>
      </c>
      <c r="M54" s="10">
        <f>eth_ON!M54 - eth_OFF!M54 - AVERAGE(M$62:M$63)</f>
        <v>24.849999999999994</v>
      </c>
      <c r="N54" s="10">
        <f>eth_ON!N54 - eth_OFF!N54 - AVERAGE(N$62:N$63)</f>
        <v>26.500000000000028</v>
      </c>
      <c r="O54" s="10">
        <f>eth_ON!O54 - eth_OFF!O54 - AVERAGE(O$62:O$63)</f>
        <v>17.700000000000017</v>
      </c>
      <c r="P54" s="10">
        <f>eth_ON!P54 - eth_OFF!P54 - AVERAGE(P$62:P$63)</f>
        <v>24.000000000000028</v>
      </c>
      <c r="Q54" s="10">
        <f>eth_ON!Q54 - eth_OFF!Q54 - AVERAGE(Q$62:Q$63)</f>
        <v>18.499999999999972</v>
      </c>
      <c r="R54" s="10">
        <f>eth_ON!R54 - eth_OFF!R54 - AVERAGE(R$62:R$63)</f>
        <v>24.700000000000074</v>
      </c>
      <c r="S54" s="10">
        <f>eth_ON!S54 - eth_OFF!S54 - AVERAGE(S$62:S$63)</f>
        <v>21.049999999999955</v>
      </c>
      <c r="T54" s="10" t="e">
        <f>eth_ON!T54 - eth_OFF!T54 - AVERAGE(T$62:T$63)</f>
        <v>#VALUE!</v>
      </c>
      <c r="U54" s="10">
        <f>eth_ON!U54 - eth_OFF!U54 - AVERAGE(U$62:U$63)</f>
        <v>23.599999999999966</v>
      </c>
      <c r="V54" s="10">
        <f>eth_ON!V54 - eth_OFF!V54 - AVERAGE(V$62:V$63)</f>
        <v>20.100000000000023</v>
      </c>
      <c r="W54" s="10">
        <f>eth_ON!W54 - eth_OFF!W54 - AVERAGE(W$62:W$63)</f>
        <v>23.30000000000004</v>
      </c>
      <c r="X54" s="10">
        <f>eth_ON!X54 - eth_OFF!X54 - AVERAGE(X$62:X$63)</f>
        <v>23.799999999999955</v>
      </c>
      <c r="Y54" s="10">
        <f>eth_ON!Y54 - eth_OFF!Y54 - AVERAGE(Y$62:Y$63)</f>
        <v>20.849999999999994</v>
      </c>
      <c r="Z54" s="10">
        <f>eth_ON!Z54 - eth_OFF!Z54 - AVERAGE(Z$62:Z$63)</f>
        <v>23.700000000000017</v>
      </c>
      <c r="AA54" s="10">
        <f>eth_ON!AA54 - eth_OFF!AA54 - AVERAGE(AA$62:AA$63)</f>
        <v>25.050000000000011</v>
      </c>
      <c r="AB54" s="10">
        <f>eth_ON!AB54 - eth_OFF!AB54 - AVERAGE(AB$62:AB$63)</f>
        <v>26.799999999999983</v>
      </c>
      <c r="AC54" s="10">
        <f>eth_ON!AC54 - eth_OFF!AC54 - AVERAGE(AC$62:AC$63)</f>
        <v>24.750000000000028</v>
      </c>
      <c r="AD54" s="10">
        <f>eth_ON!AD54 - eth_OFF!AD54 - AVERAGE(AD$62:AD$63)</f>
        <v>26.349999999999966</v>
      </c>
      <c r="AE54" s="10">
        <f>eth_ON!AE54 - eth_OFF!AE54 - AVERAGE(AE$62:AE$63)</f>
        <v>28.550000000000011</v>
      </c>
      <c r="AF54" s="10">
        <f>eth_ON!AF54 - eth_OFF!AF54 - AVERAGE(AF$62:AF$63)</f>
        <v>25.200000000000017</v>
      </c>
      <c r="AG54" s="10">
        <f>eth_ON!AG54 - eth_OFF!AG54 - AVERAGE(AG$62:AG$63)</f>
        <v>26.049999999999983</v>
      </c>
      <c r="AH54" s="10">
        <f>eth_ON!AH54 - eth_OFF!AH54 - AVERAGE(AH$62:AH$63)</f>
        <v>28.149999999999977</v>
      </c>
      <c r="AI54" s="10">
        <f>eth_ON!AI54 - eth_OFF!AI54 - AVERAGE(AI$62:AI$63)</f>
        <v>24.749999999999972</v>
      </c>
      <c r="AJ54" s="10">
        <f>eth_ON!AJ54 - eth_OFF!AJ54 - AVERAGE(AJ$62:AJ$63)</f>
        <v>31.75</v>
      </c>
      <c r="AK54" s="10">
        <f>eth_ON!AK54 - eth_OFF!AK54 - AVERAGE(AK$62:AK$63)</f>
        <v>26.000000000000028</v>
      </c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</row>
    <row r="55" spans="1:65">
      <c r="A55" s="30">
        <v>54</v>
      </c>
      <c r="B55" s="10">
        <f>eth_ON!B55 - eth_OFF!B55 - AVERAGE(B$62:B$63)</f>
        <v>11.249999999999943</v>
      </c>
      <c r="C55" s="10">
        <f>eth_ON!C55 - eth_OFF!C55 - AVERAGE(C$62:C$63)</f>
        <v>8.4500000000000455</v>
      </c>
      <c r="D55" s="10">
        <f>eth_ON!D55 - eth_OFF!D55 - AVERAGE(D$62:D$63)</f>
        <v>9.3499999999999943</v>
      </c>
      <c r="E55" s="10">
        <f>eth_ON!E55 - eth_OFF!E55 - AVERAGE(E$62:E$63)</f>
        <v>14.549999999999983</v>
      </c>
      <c r="F55" s="10">
        <f>eth_ON!F55 - eth_OFF!F55 - AVERAGE(F$62:F$63)</f>
        <v>14.900000000000006</v>
      </c>
      <c r="G55" s="10">
        <f>eth_ON!G55 - eth_OFF!G55 - AVERAGE(G$62:G$63)</f>
        <v>15.950000000000017</v>
      </c>
      <c r="H55" s="10">
        <f>eth_ON!H55 - eth_OFF!H55 - AVERAGE(H$62:H$63)</f>
        <v>16.44999999999996</v>
      </c>
      <c r="I55" s="10">
        <f>eth_ON!I55 - eth_OFF!I55 - AVERAGE(I$62:I$63)</f>
        <v>8.0500000000000398</v>
      </c>
      <c r="J55" s="10">
        <f>eth_ON!J55 - eth_OFF!J55 - AVERAGE(J$62:J$63)</f>
        <v>10.75</v>
      </c>
      <c r="K55" s="10">
        <f>eth_ON!K55 - eth_OFF!K55 - AVERAGE(K$62:K$63)</f>
        <v>15.099999999999994</v>
      </c>
      <c r="L55" s="10">
        <f>eth_ON!L55 - eth_OFF!L55 - AVERAGE(L$62:L$63)</f>
        <v>17.750000000000028</v>
      </c>
      <c r="M55" s="10">
        <f>eth_ON!M55 - eth_OFF!M55 - AVERAGE(M$62:M$63)</f>
        <v>14.349999999999994</v>
      </c>
      <c r="N55" s="10">
        <f>eth_ON!N55 - eth_OFF!N55 - AVERAGE(N$62:N$63)</f>
        <v>18.900000000000006</v>
      </c>
      <c r="O55" s="10">
        <f>eth_ON!O55 - eth_OFF!O55 - AVERAGE(O$62:O$63)</f>
        <v>16.599999999999994</v>
      </c>
      <c r="P55" s="10">
        <f>eth_ON!P55 - eth_OFF!P55 - AVERAGE(P$62:P$63)</f>
        <v>12.799999999999983</v>
      </c>
      <c r="Q55" s="10">
        <f>eth_ON!Q55 - eth_OFF!Q55 - AVERAGE(Q$62:Q$63)</f>
        <v>12.900000000000006</v>
      </c>
      <c r="R55" s="10">
        <f>eth_ON!R55 - eth_OFF!R55 - AVERAGE(R$62:R$63)</f>
        <v>17.900000000000006</v>
      </c>
      <c r="S55" s="10">
        <f>eth_ON!S55 - eth_OFF!S55 - AVERAGE(S$62:S$63)</f>
        <v>18.449999999999989</v>
      </c>
      <c r="T55" s="10" t="e">
        <f>eth_ON!T55 - eth_OFF!T55 - AVERAGE(T$62:T$63)</f>
        <v>#VALUE!</v>
      </c>
      <c r="U55" s="10">
        <f>eth_ON!U55 - eth_OFF!U55 - AVERAGE(U$62:U$63)</f>
        <v>15.800000000000011</v>
      </c>
      <c r="V55" s="10">
        <f>eth_ON!V55 - eth_OFF!V55 - AVERAGE(V$62:V$63)</f>
        <v>15.600000000000023</v>
      </c>
      <c r="W55" s="10">
        <f>eth_ON!W55 - eth_OFF!W55 - AVERAGE(W$62:W$63)</f>
        <v>8.4000000000000057</v>
      </c>
      <c r="X55" s="10">
        <f>eth_ON!X55 - eth_OFF!X55 - AVERAGE(X$62:X$63)</f>
        <v>18.499999999999943</v>
      </c>
      <c r="Y55" s="10">
        <f>eth_ON!Y55 - eth_OFF!Y55 - AVERAGE(Y$62:Y$63)</f>
        <v>21.850000000000051</v>
      </c>
      <c r="Z55" s="10">
        <f>eth_ON!Z55 - eth_OFF!Z55 - AVERAGE(Z$62:Z$63)</f>
        <v>15.69999999999996</v>
      </c>
      <c r="AA55" s="10">
        <f>eth_ON!AA55 - eth_OFF!AA55 - AVERAGE(AA$62:AA$63)</f>
        <v>17.850000000000023</v>
      </c>
      <c r="AB55" s="10">
        <f>eth_ON!AB55 - eth_OFF!AB55 - AVERAGE(AB$62:AB$63)</f>
        <v>15.200000000000017</v>
      </c>
      <c r="AC55" s="10">
        <f>eth_ON!AC55 - eth_OFF!AC55 - AVERAGE(AC$62:AC$63)</f>
        <v>17.450000000000017</v>
      </c>
      <c r="AD55" s="10">
        <f>eth_ON!AD55 - eth_OFF!AD55 - AVERAGE(AD$62:AD$63)</f>
        <v>19.25</v>
      </c>
      <c r="AE55" s="10">
        <f>eth_ON!AE55 - eth_OFF!AE55 - AVERAGE(AE$62:AE$63)</f>
        <v>20.049999999999955</v>
      </c>
      <c r="AF55" s="10">
        <f>eth_ON!AF55 - eth_OFF!AF55 - AVERAGE(AF$62:AF$63)</f>
        <v>20.700000000000017</v>
      </c>
      <c r="AG55" s="10">
        <f>eth_ON!AG55 - eth_OFF!AG55 - AVERAGE(AG$62:AG$63)</f>
        <v>18.94999999999996</v>
      </c>
      <c r="AH55" s="10">
        <f>eth_ON!AH55 - eth_OFF!AH55 - AVERAGE(AH$62:AH$63)</f>
        <v>16.549999999999955</v>
      </c>
      <c r="AI55" s="10">
        <f>eth_ON!AI55 - eth_OFF!AI55 - AVERAGE(AI$62:AI$63)</f>
        <v>21.049999999999983</v>
      </c>
      <c r="AJ55" s="10">
        <f>eth_ON!AJ55 - eth_OFF!AJ55 - AVERAGE(AJ$62:AJ$63)</f>
        <v>23.849999999999966</v>
      </c>
      <c r="AK55" s="10">
        <f>eth_ON!AK55 - eth_OFF!AK55 - AVERAGE(AK$62:AK$63)</f>
        <v>18.500000000000028</v>
      </c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</row>
    <row r="56" spans="1:65">
      <c r="A56" s="30">
        <v>55</v>
      </c>
      <c r="B56" s="10">
        <f>eth_ON!B56 - eth_OFF!B56 - AVERAGE(B$62:B$63)</f>
        <v>1.0499999999999545</v>
      </c>
      <c r="C56" s="10">
        <f>eth_ON!C56 - eth_OFF!C56 - AVERAGE(C$62:C$63)</f>
        <v>4.1500000000000341</v>
      </c>
      <c r="D56" s="10">
        <f>eth_ON!D56 - eth_OFF!D56 - AVERAGE(D$62:D$63)</f>
        <v>3.0499999999999829</v>
      </c>
      <c r="E56" s="10">
        <f>eth_ON!E56 - eth_OFF!E56 - AVERAGE(E$62:E$63)</f>
        <v>2.7500000000000284</v>
      </c>
      <c r="F56" s="10">
        <f>eth_ON!F56 - eth_OFF!F56 - AVERAGE(F$62:F$63)</f>
        <v>5.5999999999999943</v>
      </c>
      <c r="G56" s="10">
        <f>eth_ON!G56 - eth_OFF!G56 - AVERAGE(G$62:G$63)</f>
        <v>7.4500000000000171</v>
      </c>
      <c r="H56" s="10">
        <f>eth_ON!H56 - eth_OFF!H56 - AVERAGE(H$62:H$63)</f>
        <v>7.2500000000000284</v>
      </c>
      <c r="I56" s="10">
        <f>eth_ON!I56 - eth_OFF!I56 - AVERAGE(I$62:I$63)</f>
        <v>7.8499999999999943</v>
      </c>
      <c r="J56" s="10">
        <f>eth_ON!J56 - eth_OFF!J56 - AVERAGE(J$62:J$63)</f>
        <v>7.25</v>
      </c>
      <c r="K56" s="10">
        <f>eth_ON!K56 - eth_OFF!K56 - AVERAGE(K$62:K$63)</f>
        <v>7.7999999999999829</v>
      </c>
      <c r="L56" s="10">
        <f>eth_ON!L56 - eth_OFF!L56 - AVERAGE(L$62:L$63)</f>
        <v>5.4500000000000171</v>
      </c>
      <c r="M56" s="10">
        <f>eth_ON!M56 - eth_OFF!M56 - AVERAGE(M$62:M$63)</f>
        <v>6.6500000000000057</v>
      </c>
      <c r="N56" s="10">
        <f>eth_ON!N56 - eth_OFF!N56 - AVERAGE(N$62:N$63)</f>
        <v>7.5000000000000284</v>
      </c>
      <c r="O56" s="10">
        <f>eth_ON!O56 - eth_OFF!O56 - AVERAGE(O$62:O$63)</f>
        <v>8.1000000000000512</v>
      </c>
      <c r="P56" s="10">
        <f>eth_ON!P56 - eth_OFF!P56 - AVERAGE(P$62:P$63)</f>
        <v>6.7000000000000171</v>
      </c>
      <c r="Q56" s="10">
        <f>eth_ON!Q56 - eth_OFF!Q56 - AVERAGE(Q$62:Q$63)</f>
        <v>7.2000000000000171</v>
      </c>
      <c r="R56" s="10">
        <f>eth_ON!R56 - eth_OFF!R56 - AVERAGE(R$62:R$63)</f>
        <v>8.8000000000000398</v>
      </c>
      <c r="S56" s="10">
        <f>eth_ON!S56 - eth_OFF!S56 - AVERAGE(S$62:S$63)</f>
        <v>8.5499999999999545</v>
      </c>
      <c r="T56" s="10" t="e">
        <f>eth_ON!T56 - eth_OFF!T56 - AVERAGE(T$62:T$63)</f>
        <v>#VALUE!</v>
      </c>
      <c r="U56" s="10">
        <f>eth_ON!U56 - eth_OFF!U56 - AVERAGE(U$62:U$63)</f>
        <v>9.4000000000000341</v>
      </c>
      <c r="V56" s="10">
        <f>eth_ON!V56 - eth_OFF!V56 - AVERAGE(V$62:V$63)</f>
        <v>11</v>
      </c>
      <c r="W56" s="10">
        <f>eth_ON!W56 - eth_OFF!W56 - AVERAGE(W$62:W$63)</f>
        <v>7.6000000000000512</v>
      </c>
      <c r="X56" s="10">
        <f>eth_ON!X56 - eth_OFF!X56 - AVERAGE(X$62:X$63)</f>
        <v>8.6999999999999886</v>
      </c>
      <c r="Y56" s="10">
        <f>eth_ON!Y56 - eth_OFF!Y56 - AVERAGE(Y$62:Y$63)</f>
        <v>9.1500000000000057</v>
      </c>
      <c r="Z56" s="10">
        <f>eth_ON!Z56 - eth_OFF!Z56 - AVERAGE(Z$62:Z$63)</f>
        <v>9.4000000000000057</v>
      </c>
      <c r="AA56" s="10">
        <f>eth_ON!AA56 - eth_OFF!AA56 - AVERAGE(AA$62:AA$63)</f>
        <v>9.25</v>
      </c>
      <c r="AB56" s="10">
        <f>eth_ON!AB56 - eth_OFF!AB56 - AVERAGE(AB$62:AB$63)</f>
        <v>10.599999999999994</v>
      </c>
      <c r="AC56" s="10">
        <f>eth_ON!AC56 - eth_OFF!AC56 - AVERAGE(AC$62:AC$63)</f>
        <v>9.4500000000000171</v>
      </c>
      <c r="AD56" s="10">
        <f>eth_ON!AD56 - eth_OFF!AD56 - AVERAGE(AD$62:AD$63)</f>
        <v>11.049999999999955</v>
      </c>
      <c r="AE56" s="10">
        <f>eth_ON!AE56 - eth_OFF!AE56 - AVERAGE(AE$62:AE$63)</f>
        <v>9.8500000000000227</v>
      </c>
      <c r="AF56" s="10">
        <f>eth_ON!AF56 - eth_OFF!AF56 - AVERAGE(AF$62:AF$63)</f>
        <v>7.5999999999999943</v>
      </c>
      <c r="AG56" s="10">
        <f>eth_ON!AG56 - eth_OFF!AG56 - AVERAGE(AG$62:AG$63)</f>
        <v>10.649999999999949</v>
      </c>
      <c r="AH56" s="10">
        <f>eth_ON!AH56 - eth_OFF!AH56 - AVERAGE(AH$62:AH$63)</f>
        <v>9.8499999999999659</v>
      </c>
      <c r="AI56" s="10">
        <f>eth_ON!AI56 - eth_OFF!AI56 - AVERAGE(AI$62:AI$63)</f>
        <v>8.1500000000000057</v>
      </c>
      <c r="AJ56" s="10">
        <f>eth_ON!AJ56 - eth_OFF!AJ56 - AVERAGE(AJ$62:AJ$63)</f>
        <v>8.25</v>
      </c>
      <c r="AK56" s="10">
        <f>eth_ON!AK56 - eth_OFF!AK56 - AVERAGE(AK$62:AK$63)</f>
        <v>18.900000000000006</v>
      </c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</row>
    <row r="57" spans="1:65">
      <c r="A57" s="30">
        <v>56</v>
      </c>
      <c r="B57" s="10">
        <f>eth_ON!B57 - eth_OFF!B57 - AVERAGE(B$62:B$63)</f>
        <v>5.8500000000000227</v>
      </c>
      <c r="C57" s="10">
        <f>eth_ON!C57 - eth_OFF!C57 - AVERAGE(C$62:C$63)</f>
        <v>-1.2499999999999432</v>
      </c>
      <c r="D57" s="10">
        <f>eth_ON!D57 - eth_OFF!D57 - AVERAGE(D$62:D$63)</f>
        <v>9.0499999999999829</v>
      </c>
      <c r="E57" s="10">
        <f>eth_ON!E57 - eth_OFF!E57 - AVERAGE(E$62:E$63)</f>
        <v>7.3499999999999943</v>
      </c>
      <c r="F57" s="10">
        <f>eth_ON!F57 - eth_OFF!F57 - AVERAGE(F$62:F$63)</f>
        <v>5.9999999999999716</v>
      </c>
      <c r="G57" s="10">
        <f>eth_ON!G57 - eth_OFF!G57 - AVERAGE(G$62:G$63)</f>
        <v>8.0500000000000398</v>
      </c>
      <c r="H57" s="10">
        <f>eth_ON!H57 - eth_OFF!H57 - AVERAGE(H$62:H$63)</f>
        <v>10.450000000000017</v>
      </c>
      <c r="I57" s="10">
        <f>eth_ON!I57 - eth_OFF!I57 - AVERAGE(I$62:I$63)</f>
        <v>12.849999999999994</v>
      </c>
      <c r="J57" s="10">
        <f>eth_ON!J57 - eth_OFF!J57 - AVERAGE(J$62:J$63)</f>
        <v>9.1499999999999773</v>
      </c>
      <c r="K57" s="10">
        <f>eth_ON!K57 - eth_OFF!K57 - AVERAGE(K$62:K$63)</f>
        <v>8.7999999999999829</v>
      </c>
      <c r="L57" s="10">
        <f>eth_ON!L57 - eth_OFF!L57 - AVERAGE(L$62:L$63)</f>
        <v>7.1500000000000625</v>
      </c>
      <c r="M57" s="10">
        <f>eth_ON!M57 - eth_OFF!M57 - AVERAGE(M$62:M$63)</f>
        <v>8.4500000000000171</v>
      </c>
      <c r="N57" s="10">
        <f>eth_ON!N57 - eth_OFF!N57 - AVERAGE(N$62:N$63)</f>
        <v>10.700000000000017</v>
      </c>
      <c r="O57" s="10">
        <f>eth_ON!O57 - eth_OFF!O57 - AVERAGE(O$62:O$63)</f>
        <v>8.7000000000000171</v>
      </c>
      <c r="P57" s="10">
        <f>eth_ON!P57 - eth_OFF!P57 - AVERAGE(P$62:P$63)</f>
        <v>9.6999999999999602</v>
      </c>
      <c r="Q57" s="10">
        <f>eth_ON!Q57 - eth_OFF!Q57 - AVERAGE(Q$62:Q$63)</f>
        <v>10.19999999999996</v>
      </c>
      <c r="R57" s="10">
        <f>eth_ON!R57 - eth_OFF!R57 - AVERAGE(R$62:R$63)</f>
        <v>11.400000000000006</v>
      </c>
      <c r="S57" s="10">
        <f>eth_ON!S57 - eth_OFF!S57 - AVERAGE(S$62:S$63)</f>
        <v>11.649999999999977</v>
      </c>
      <c r="T57" s="10" t="e">
        <f>eth_ON!T57 - eth_OFF!T57 - AVERAGE(T$62:T$63)</f>
        <v>#VALUE!</v>
      </c>
      <c r="U57" s="10">
        <f>eth_ON!U57 - eth_OFF!U57 - AVERAGE(U$62:U$63)</f>
        <v>9.6000000000000227</v>
      </c>
      <c r="V57" s="10">
        <f>eth_ON!V57 - eth_OFF!V57 - AVERAGE(V$62:V$63)</f>
        <v>12.500000000000057</v>
      </c>
      <c r="W57" s="10">
        <f>eth_ON!W57 - eth_OFF!W57 - AVERAGE(W$62:W$63)</f>
        <v>11.500000000000028</v>
      </c>
      <c r="X57" s="10">
        <f>eth_ON!X57 - eth_OFF!X57 - AVERAGE(X$62:X$63)</f>
        <v>11.5</v>
      </c>
      <c r="Y57" s="10">
        <f>eth_ON!Y57 - eth_OFF!Y57 - AVERAGE(Y$62:Y$63)</f>
        <v>12.950000000000017</v>
      </c>
      <c r="Z57" s="10">
        <f>eth_ON!Z57 - eth_OFF!Z57 - AVERAGE(Z$62:Z$63)</f>
        <v>11.500000000000028</v>
      </c>
      <c r="AA57" s="10">
        <f>eth_ON!AA57 - eth_OFF!AA57 - AVERAGE(AA$62:AA$63)</f>
        <v>13.650000000000034</v>
      </c>
      <c r="AB57" s="10">
        <f>eth_ON!AB57 - eth_OFF!AB57 - AVERAGE(AB$62:AB$63)</f>
        <v>14.299999999999983</v>
      </c>
      <c r="AC57" s="10">
        <f>eth_ON!AC57 - eth_OFF!AC57 - AVERAGE(AC$62:AC$63)</f>
        <v>14.750000000000028</v>
      </c>
      <c r="AD57" s="10">
        <f>eth_ON!AD57 - eth_OFF!AD57 - AVERAGE(AD$62:AD$63)</f>
        <v>13.349999999999966</v>
      </c>
      <c r="AE57" s="10">
        <f>eth_ON!AE57 - eth_OFF!AE57 - AVERAGE(AE$62:AE$63)</f>
        <v>12.650000000000034</v>
      </c>
      <c r="AF57" s="10">
        <f>eth_ON!AF57 - eth_OFF!AF57 - AVERAGE(AF$62:AF$63)</f>
        <v>11.80000000000004</v>
      </c>
      <c r="AG57" s="10">
        <f>eth_ON!AG57 - eth_OFF!AG57 - AVERAGE(AG$62:AG$63)</f>
        <v>11.149999999999949</v>
      </c>
      <c r="AH57" s="10">
        <f>eth_ON!AH57 - eth_OFF!AH57 - AVERAGE(AH$62:AH$63)</f>
        <v>12.149999999999977</v>
      </c>
      <c r="AI57" s="10">
        <f>eth_ON!AI57 - eth_OFF!AI57 - AVERAGE(AI$62:AI$63)</f>
        <v>14.049999999999983</v>
      </c>
      <c r="AJ57" s="10">
        <f>eth_ON!AJ57 - eth_OFF!AJ57 - AVERAGE(AJ$62:AJ$63)</f>
        <v>12.449999999999989</v>
      </c>
      <c r="AK57" s="10">
        <f>eth_ON!AK57 - eth_OFF!AK57 - AVERAGE(AK$62:AK$63)</f>
        <v>13.200000000000017</v>
      </c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</row>
    <row r="58" spans="1:65">
      <c r="A58" s="30">
        <v>57</v>
      </c>
      <c r="B58" s="10">
        <f>eth_ON!B58 - eth_OFF!B58 - AVERAGE(B$62:B$63)</f>
        <v>1.8500000000000227</v>
      </c>
      <c r="C58" s="10">
        <f>eth_ON!C58 - eth_OFF!C58 - AVERAGE(C$62:C$63)</f>
        <v>-0.54999999999995453</v>
      </c>
      <c r="D58" s="10">
        <f>eth_ON!D58 - eth_OFF!D58 - AVERAGE(D$62:D$63)</f>
        <v>0.64999999999994884</v>
      </c>
      <c r="E58" s="10">
        <f>eth_ON!E58 - eth_OFF!E58 - AVERAGE(E$62:E$63)</f>
        <v>0.54999999999998295</v>
      </c>
      <c r="F58" s="10">
        <f>eth_ON!F58 - eth_OFF!F58 - AVERAGE(F$62:F$63)</f>
        <v>2.7000000000000171</v>
      </c>
      <c r="G58" s="10">
        <f>eth_ON!G58 - eth_OFF!G58 - AVERAGE(G$62:G$63)</f>
        <v>1.9500000000000171</v>
      </c>
      <c r="H58" s="10">
        <f>eth_ON!H58 - eth_OFF!H58 - AVERAGE(H$62:H$63)</f>
        <v>3.1499999999999488</v>
      </c>
      <c r="I58" s="10">
        <f>eth_ON!I58 - eth_OFF!I58 - AVERAGE(I$62:I$63)</f>
        <v>7.6500000000000057</v>
      </c>
      <c r="J58" s="10">
        <f>eth_ON!J58 - eth_OFF!J58 - AVERAGE(J$62:J$63)</f>
        <v>6.8500000000000227</v>
      </c>
      <c r="K58" s="10">
        <f>eth_ON!K58 - eth_OFF!K58 - AVERAGE(K$62:K$63)</f>
        <v>7.2000000000000171</v>
      </c>
      <c r="L58" s="10">
        <f>eth_ON!L58 - eth_OFF!L58 - AVERAGE(L$62:L$63)</f>
        <v>4.3499999999999943</v>
      </c>
      <c r="M58" s="10">
        <f>eth_ON!M58 - eth_OFF!M58 - AVERAGE(M$62:M$63)</f>
        <v>4.6500000000000057</v>
      </c>
      <c r="N58" s="10">
        <f>eth_ON!N58 - eth_OFF!N58 - AVERAGE(N$62:N$63)</f>
        <v>4.7000000000000171</v>
      </c>
      <c r="O58" s="10">
        <f>eth_ON!O58 - eth_OFF!O58 - AVERAGE(O$62:O$63)</f>
        <v>4.3000000000000398</v>
      </c>
      <c r="P58" s="10">
        <f>eth_ON!P58 - eth_OFF!P58 - AVERAGE(P$62:P$63)</f>
        <v>5.2999999999999829</v>
      </c>
      <c r="Q58" s="10">
        <f>eth_ON!Q58 - eth_OFF!Q58 - AVERAGE(Q$62:Q$63)</f>
        <v>6.2999999999999829</v>
      </c>
      <c r="R58" s="10">
        <f>eth_ON!R58 - eth_OFF!R58 - AVERAGE(R$62:R$63)</f>
        <v>6.0999999999999943</v>
      </c>
      <c r="S58" s="10">
        <f>eth_ON!S58 - eth_OFF!S58 - AVERAGE(S$62:S$63)</f>
        <v>4.8499999999999659</v>
      </c>
      <c r="T58" s="10" t="e">
        <f>eth_ON!T58 - eth_OFF!T58 - AVERAGE(T$62:T$63)</f>
        <v>#VALUE!</v>
      </c>
      <c r="U58" s="10">
        <f>eth_ON!U58 - eth_OFF!U58 - AVERAGE(U$62:U$63)</f>
        <v>2.4000000000000341</v>
      </c>
      <c r="V58" s="10">
        <f>eth_ON!V58 - eth_OFF!V58 - AVERAGE(V$62:V$63)</f>
        <v>3.1000000000000227</v>
      </c>
      <c r="W58" s="10">
        <f>eth_ON!W58 - eth_OFF!W58 - AVERAGE(W$62:W$63)</f>
        <v>0.59999999999999432</v>
      </c>
      <c r="X58" s="10">
        <f>eth_ON!X58 - eth_OFF!X58 - AVERAGE(X$62:X$63)</f>
        <v>0.39999999999997726</v>
      </c>
      <c r="Y58" s="10">
        <f>eth_ON!Y58 - eth_OFF!Y58 - AVERAGE(Y$62:Y$63)</f>
        <v>1.2500000000000284</v>
      </c>
      <c r="Z58" s="10">
        <f>eth_ON!Z58 - eth_OFF!Z58 - AVERAGE(Z$62:Z$63)</f>
        <v>21.200000000000017</v>
      </c>
      <c r="AA58" s="10">
        <f>eth_ON!AA58 - eth_OFF!AA58 - AVERAGE(AA$62:AA$63)</f>
        <v>0.85000000000002274</v>
      </c>
      <c r="AB58" s="10">
        <f>eth_ON!AB58 - eth_OFF!AB58 - AVERAGE(AB$62:AB$63)</f>
        <v>1.9000000000000057</v>
      </c>
      <c r="AC58" s="10">
        <f>eth_ON!AC58 - eth_OFF!AC58 - AVERAGE(AC$62:AC$63)</f>
        <v>3.8500000000000512</v>
      </c>
      <c r="AD58" s="10">
        <f>eth_ON!AD58 - eth_OFF!AD58 - AVERAGE(AD$62:AD$63)</f>
        <v>6.5500000000000114</v>
      </c>
      <c r="AE58" s="10">
        <f>eth_ON!AE58 - eth_OFF!AE58 - AVERAGE(AE$62:AE$63)</f>
        <v>9.9499999999999886</v>
      </c>
      <c r="AF58" s="10">
        <f>eth_ON!AF58 - eth_OFF!AF58 - AVERAGE(AF$62:AF$63)</f>
        <v>9.2999999999999829</v>
      </c>
      <c r="AG58" s="10">
        <f>eth_ON!AG58 - eth_OFF!AG58 - AVERAGE(AG$62:AG$63)</f>
        <v>6.9500000000000171</v>
      </c>
      <c r="AH58" s="10">
        <f>eth_ON!AH58 - eth_OFF!AH58 - AVERAGE(AH$62:AH$63)</f>
        <v>6.9499999999999886</v>
      </c>
      <c r="AI58" s="10">
        <f>eth_ON!AI58 - eth_OFF!AI58 - AVERAGE(AI$62:AI$63)</f>
        <v>7.7499999999999716</v>
      </c>
      <c r="AJ58" s="10">
        <f>eth_ON!AJ58 - eth_OFF!AJ58 - AVERAGE(AJ$62:AJ$63)</f>
        <v>7.7499999999999432</v>
      </c>
      <c r="AK58" s="10">
        <f>eth_ON!AK58 - eth_OFF!AK58 - AVERAGE(AK$62:AK$63)</f>
        <v>5.7999999999999829</v>
      </c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</row>
    <row r="59" spans="1:65">
      <c r="A59" s="30">
        <v>58</v>
      </c>
      <c r="B59" s="10">
        <f>eth_ON!B59 - eth_OFF!B59 - AVERAGE(B$62:B$63)</f>
        <v>1.0500000000000114</v>
      </c>
      <c r="C59" s="10">
        <f>eth_ON!C59 - eth_OFF!C59 - AVERAGE(C$62:C$63)</f>
        <v>-0.64999999999997726</v>
      </c>
      <c r="D59" s="10">
        <f>eth_ON!D59 - eth_OFF!D59 - AVERAGE(D$62:D$63)</f>
        <v>-0.15000000000000568</v>
      </c>
      <c r="E59" s="10">
        <f>eth_ON!E59 - eth_OFF!E59 - AVERAGE(E$62:E$63)</f>
        <v>0.15000000000000568</v>
      </c>
      <c r="F59" s="10">
        <f>eth_ON!F59 - eth_OFF!F59 - AVERAGE(F$62:F$63)</f>
        <v>0.70000000000001705</v>
      </c>
      <c r="G59" s="10">
        <f>eth_ON!G59 - eth_OFF!G59 - AVERAGE(G$62:G$63)</f>
        <v>0.75000000000002842</v>
      </c>
      <c r="H59" s="10">
        <f>eth_ON!H59 - eth_OFF!H59 - AVERAGE(H$62:H$63)</f>
        <v>0.24999999999997158</v>
      </c>
      <c r="I59" s="10">
        <f>eth_ON!I59 - eth_OFF!I59 - AVERAGE(I$62:I$63)</f>
        <v>0.25000000000002842</v>
      </c>
      <c r="J59" s="10">
        <f>eth_ON!J59 - eth_OFF!J59 - AVERAGE(J$62:J$63)</f>
        <v>0.74999999999994316</v>
      </c>
      <c r="K59" s="10">
        <f>eth_ON!K59 - eth_OFF!K59 - AVERAGE(K$62:K$63)</f>
        <v>0.80000000000003979</v>
      </c>
      <c r="L59" s="10">
        <f>eth_ON!L59 - eth_OFF!L59 - AVERAGE(L$62:L$63)</f>
        <v>0.65000000000000568</v>
      </c>
      <c r="M59" s="10">
        <f>eth_ON!M59 - eth_OFF!M59 - AVERAGE(M$62:M$63)</f>
        <v>-0.65000000000000568</v>
      </c>
      <c r="N59" s="10">
        <f>eth_ON!N59 - eth_OFF!N59 - AVERAGE(N$62:N$63)</f>
        <v>-2.8421709430404007E-14</v>
      </c>
      <c r="O59" s="10">
        <f>eth_ON!O59 - eth_OFF!O59 - AVERAGE(O$62:O$63)</f>
        <v>-9.9999999999994316E-2</v>
      </c>
      <c r="P59" s="10">
        <f>eth_ON!P59 - eth_OFF!P59 - AVERAGE(P$62:P$63)</f>
        <v>0.29999999999998295</v>
      </c>
      <c r="Q59" s="10">
        <f>eth_ON!Q59 - eth_OFF!Q59 - AVERAGE(Q$62:Q$63)</f>
        <v>0.20000000000001705</v>
      </c>
      <c r="R59" s="10">
        <f>eth_ON!R59 - eth_OFF!R59 - AVERAGE(R$62:R$63)</f>
        <v>0.40000000000000568</v>
      </c>
      <c r="S59" s="10">
        <f>eth_ON!S59 - eth_OFF!S59 - AVERAGE(S$62:S$63)</f>
        <v>0.34999999999996589</v>
      </c>
      <c r="T59" s="10" t="e">
        <f>eth_ON!T59 - eth_OFF!T59 - AVERAGE(T$62:T$63)</f>
        <v>#VALUE!</v>
      </c>
      <c r="U59" s="10">
        <f>eth_ON!U59 - eth_OFF!U59 - AVERAGE(U$62:U$63)</f>
        <v>0.30000000000001137</v>
      </c>
      <c r="V59" s="10">
        <f>eth_ON!V59 - eth_OFF!V59 - AVERAGE(V$62:V$63)</f>
        <v>0.19999999999998863</v>
      </c>
      <c r="W59" s="10">
        <f>eth_ON!W59 - eth_OFF!W59 - AVERAGE(W$62:W$63)</f>
        <v>9.9999999999994316E-2</v>
      </c>
      <c r="X59" s="10">
        <f>eth_ON!X59 - eth_OFF!X59 - AVERAGE(X$62:X$63)</f>
        <v>0.29999999999995453</v>
      </c>
      <c r="Y59" s="10">
        <f>eth_ON!Y59 - eth_OFF!Y59 - AVERAGE(Y$62:Y$63)</f>
        <v>0.15000000000000568</v>
      </c>
      <c r="Z59" s="10">
        <f>eth_ON!Z59 - eth_OFF!Z59 - AVERAGE(Z$62:Z$63)</f>
        <v>0.40000000000000568</v>
      </c>
      <c r="AA59" s="10">
        <f>eth_ON!AA59 - eth_OFF!AA59 - AVERAGE(AA$62:AA$63)</f>
        <v>0.25</v>
      </c>
      <c r="AB59" s="10">
        <f>eth_ON!AB59 - eth_OFF!AB59 - AVERAGE(AB$62:AB$63)</f>
        <v>0.29999999999998295</v>
      </c>
      <c r="AC59" s="10">
        <f>eth_ON!AC59 - eth_OFF!AC59 - AVERAGE(AC$62:AC$63)</f>
        <v>0.84999999999999432</v>
      </c>
      <c r="AD59" s="10">
        <f>eth_ON!AD59 - eth_OFF!AD59 - AVERAGE(AD$62:AD$63)</f>
        <v>0.15000000000003411</v>
      </c>
      <c r="AE59" s="10">
        <f>eth_ON!AE59 - eth_OFF!AE59 - AVERAGE(AE$62:AE$63)</f>
        <v>0.44999999999998863</v>
      </c>
      <c r="AF59" s="10">
        <f>eth_ON!AF59 - eth_OFF!AF59 - AVERAGE(AF$62:AF$63)</f>
        <v>0.10000000000005116</v>
      </c>
      <c r="AG59" s="10">
        <f>eth_ON!AG59 - eth_OFF!AG59 - AVERAGE(AG$62:AG$63)</f>
        <v>0.15000000000000568</v>
      </c>
      <c r="AH59" s="10">
        <f>eth_ON!AH59 - eth_OFF!AH59 - AVERAGE(AH$62:AH$63)</f>
        <v>0.35000000000002274</v>
      </c>
      <c r="AI59" s="10">
        <f>eth_ON!AI59 - eth_OFF!AI59 - AVERAGE(AI$62:AI$63)</f>
        <v>0.45000000000001705</v>
      </c>
      <c r="AJ59" s="10">
        <f>eth_ON!AJ59 - eth_OFF!AJ59 - AVERAGE(AJ$62:AJ$63)</f>
        <v>0.14999999999997726</v>
      </c>
      <c r="AK59" s="10">
        <f>eth_ON!AK59 - eth_OFF!AK59 - AVERAGE(AK$62:AK$63)</f>
        <v>0.20000000000001705</v>
      </c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</row>
    <row r="60" spans="1:65">
      <c r="A60" s="30">
        <v>59</v>
      </c>
      <c r="B60" s="10">
        <f>eth_ON!B60 - eth_OFF!B60 - AVERAGE(B$62:B$63)</f>
        <v>4.3499999999999659</v>
      </c>
      <c r="C60" s="10">
        <f>eth_ON!C60 - eth_OFF!C60 - AVERAGE(C$62:C$63)</f>
        <v>13.350000000000023</v>
      </c>
      <c r="D60" s="10">
        <f>eth_ON!D60 - eth_OFF!D60 - AVERAGE(D$62:D$63)</f>
        <v>8.4500000000000171</v>
      </c>
      <c r="E60" s="10">
        <f>eth_ON!E60 - eth_OFF!E60 - AVERAGE(E$62:E$63)</f>
        <v>11.650000000000006</v>
      </c>
      <c r="F60" s="10">
        <f>eth_ON!F60 - eth_OFF!F60 - AVERAGE(F$62:F$63)</f>
        <v>14.200000000000017</v>
      </c>
      <c r="G60" s="10">
        <f>eth_ON!G60 - eth_OFF!G60 - AVERAGE(G$62:G$63)</f>
        <v>14.150000000000006</v>
      </c>
      <c r="H60" s="10">
        <f>eth_ON!H60 - eth_OFF!H60 - AVERAGE(H$62:H$63)</f>
        <v>17.150000000000006</v>
      </c>
      <c r="I60" s="10">
        <f>eth_ON!I60 - eth_OFF!I60 - AVERAGE(I$62:I$63)</f>
        <v>17.349999999999994</v>
      </c>
      <c r="J60" s="10">
        <f>eth_ON!J60 - eth_OFF!J60 - AVERAGE(J$62:J$63)</f>
        <v>17.249999999999943</v>
      </c>
      <c r="K60" s="10">
        <f>eth_ON!K60 - eth_OFF!K60 - AVERAGE(K$62:K$63)</f>
        <v>17.200000000000017</v>
      </c>
      <c r="L60" s="10">
        <f>eth_ON!L60 - eth_OFF!L60 - AVERAGE(L$62:L$63)</f>
        <v>18.450000000000017</v>
      </c>
      <c r="M60" s="10">
        <f>eth_ON!M60 - eth_OFF!M60 - AVERAGE(M$62:M$63)</f>
        <v>17.650000000000006</v>
      </c>
      <c r="N60" s="10">
        <f>eth_ON!N60 - eth_OFF!N60 - AVERAGE(N$62:N$63)</f>
        <v>22.500000000000028</v>
      </c>
      <c r="O60" s="10">
        <f>eth_ON!O60 - eth_OFF!O60 - AVERAGE(O$62:O$63)</f>
        <v>18.099999999999994</v>
      </c>
      <c r="P60" s="10">
        <f>eth_ON!P60 - eth_OFF!P60 - AVERAGE(P$62:P$63)</f>
        <v>15.200000000000017</v>
      </c>
      <c r="Q60" s="10">
        <f>eth_ON!Q60 - eth_OFF!Q60 - AVERAGE(Q$62:Q$63)</f>
        <v>16.900000000000006</v>
      </c>
      <c r="R60" s="10">
        <f>eth_ON!R60 - eth_OFF!R60 - AVERAGE(R$62:R$63)</f>
        <v>15.100000000000051</v>
      </c>
      <c r="S60" s="10">
        <f>eth_ON!S60 - eth_OFF!S60 - AVERAGE(S$62:S$63)</f>
        <v>16.949999999999989</v>
      </c>
      <c r="T60" s="10" t="e">
        <f>eth_ON!T60 - eth_OFF!T60 - AVERAGE(T$62:T$63)</f>
        <v>#VALUE!</v>
      </c>
      <c r="U60" s="10">
        <f>eth_ON!U60 - eth_OFF!U60 - AVERAGE(U$62:U$63)</f>
        <v>17.199999999999989</v>
      </c>
      <c r="V60" s="10">
        <f>eth_ON!V60 - eth_OFF!V60 - AVERAGE(V$62:V$63)</f>
        <v>16.900000000000034</v>
      </c>
      <c r="W60" s="10">
        <f>eth_ON!W60 - eth_OFF!W60 - AVERAGE(W$62:W$63)</f>
        <v>13.80000000000004</v>
      </c>
      <c r="X60" s="10">
        <f>eth_ON!X60 - eth_OFF!X60 - AVERAGE(X$62:X$63)</f>
        <v>16.299999999999955</v>
      </c>
      <c r="Y60" s="10">
        <f>eth_ON!Y60 - eth_OFF!Y60 - AVERAGE(Y$62:Y$63)</f>
        <v>18.950000000000017</v>
      </c>
      <c r="Z60" s="10">
        <f>eth_ON!Z60 - eth_OFF!Z60 - AVERAGE(Z$62:Z$63)</f>
        <v>16.000000000000028</v>
      </c>
      <c r="AA60" s="10">
        <f>eth_ON!AA60 - eth_OFF!AA60 - AVERAGE(AA$62:AA$63)</f>
        <v>17.750000000000057</v>
      </c>
      <c r="AB60" s="10">
        <f>eth_ON!AB60 - eth_OFF!AB60 - AVERAGE(AB$62:AB$63)</f>
        <v>17.299999999999983</v>
      </c>
      <c r="AC60" s="10">
        <f>eth_ON!AC60 - eth_OFF!AC60 - AVERAGE(AC$62:AC$63)</f>
        <v>17.05000000000004</v>
      </c>
      <c r="AD60" s="10">
        <f>eth_ON!AD60 - eth_OFF!AD60 - AVERAGE(AD$62:AD$63)</f>
        <v>15.849999999999966</v>
      </c>
      <c r="AE60" s="10">
        <f>eth_ON!AE60 - eth_OFF!AE60 - AVERAGE(AE$62:AE$63)</f>
        <v>16.550000000000011</v>
      </c>
      <c r="AF60" s="10">
        <f>eth_ON!AF60 - eth_OFF!AF60 - AVERAGE(AF$62:AF$63)</f>
        <v>16.000000000000028</v>
      </c>
      <c r="AG60" s="10">
        <f>eth_ON!AG60 - eth_OFF!AG60 - AVERAGE(AG$62:AG$63)</f>
        <v>17.849999999999994</v>
      </c>
      <c r="AH60" s="10">
        <f>eth_ON!AH60 - eth_OFF!AH60 - AVERAGE(AH$62:AH$63)</f>
        <v>17.649999999999977</v>
      </c>
      <c r="AI60" s="10">
        <f>eth_ON!AI60 - eth_OFF!AI60 - AVERAGE(AI$62:AI$63)</f>
        <v>13.849999999999994</v>
      </c>
      <c r="AJ60" s="10">
        <f>eth_ON!AJ60 - eth_OFF!AJ60 - AVERAGE(AJ$62:AJ$63)</f>
        <v>16.550000000000011</v>
      </c>
      <c r="AK60" s="10">
        <f>eth_ON!AK60 - eth_OFF!AK60 - AVERAGE(AK$62:AK$63)</f>
        <v>16.999999999999972</v>
      </c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</row>
    <row r="61" spans="1:65" s="18" customFormat="1">
      <c r="A61" s="33">
        <v>60</v>
      </c>
      <c r="B61" s="10">
        <f>eth_ON!B61 - eth_OFF!B61 - AVERAGE(B$62:B$63)</f>
        <v>17.149999999999977</v>
      </c>
      <c r="C61" s="10">
        <f>eth_ON!C61 - eth_OFF!C61 - AVERAGE(C$62:C$63)</f>
        <v>17.449999999999989</v>
      </c>
      <c r="D61" s="10">
        <f>eth_ON!D61 - eth_OFF!D61 - AVERAGE(D$62:D$63)</f>
        <v>11.549999999999983</v>
      </c>
      <c r="E61" s="10">
        <f>eth_ON!E61 - eth_OFF!E61 - AVERAGE(E$62:E$63)</f>
        <v>17.450000000000017</v>
      </c>
      <c r="F61" s="10">
        <f>eth_ON!F61 - eth_OFF!F61 - AVERAGE(F$62:F$63)</f>
        <v>15.599999999999994</v>
      </c>
      <c r="G61" s="10">
        <f>eth_ON!G61 - eth_OFF!G61 - AVERAGE(G$62:G$63)</f>
        <v>18.750000000000028</v>
      </c>
      <c r="H61" s="10">
        <f>eth_ON!H61 - eth_OFF!H61 - AVERAGE(H$62:H$63)</f>
        <v>25.849999999999994</v>
      </c>
      <c r="I61" s="10">
        <f>eth_ON!I61 - eth_OFF!I61 - AVERAGE(I$62:I$63)</f>
        <v>26.349999999999994</v>
      </c>
      <c r="J61" s="10">
        <f>eth_ON!J61 - eth_OFF!J61 - AVERAGE(J$62:J$63)</f>
        <v>24.549999999999955</v>
      </c>
      <c r="K61" s="10">
        <f>eth_ON!K61 - eth_OFF!K61 - AVERAGE(K$62:K$63)</f>
        <v>26.599999999999994</v>
      </c>
      <c r="L61" s="10">
        <f>eth_ON!L61 - eth_OFF!L61 - AVERAGE(L$62:L$63)</f>
        <v>26.450000000000017</v>
      </c>
      <c r="M61" s="10">
        <f>eth_ON!M61 - eth_OFF!M61 - AVERAGE(M$62:M$63)</f>
        <v>25.250000000000028</v>
      </c>
      <c r="N61" s="10">
        <f>eth_ON!N61 - eth_OFF!N61 - AVERAGE(N$62:N$63)</f>
        <v>27.400000000000006</v>
      </c>
      <c r="O61" s="10">
        <f>eth_ON!O61 - eth_OFF!O61 - AVERAGE(O$62:O$63)</f>
        <v>30.700000000000017</v>
      </c>
      <c r="P61" s="10">
        <f>eth_ON!P61 - eth_OFF!P61 - AVERAGE(P$62:P$63)</f>
        <v>30.900000000000006</v>
      </c>
      <c r="Q61" s="10">
        <f>eth_ON!Q61 - eth_OFF!Q61 - AVERAGE(Q$62:Q$63)</f>
        <v>19.599999999999994</v>
      </c>
      <c r="R61" s="10">
        <f>eth_ON!R61 - eth_OFF!R61 - AVERAGE(R$62:R$63)</f>
        <v>32.900000000000006</v>
      </c>
      <c r="S61" s="10">
        <f>eth_ON!S61 - eth_OFF!S61 - AVERAGE(S$62:S$63)</f>
        <v>31.549999999999955</v>
      </c>
      <c r="T61" s="10" t="e">
        <f>eth_ON!T61 - eth_OFF!T61 - AVERAGE(T$62:T$63)</f>
        <v>#VALUE!</v>
      </c>
      <c r="U61" s="10">
        <f>eth_ON!U61 - eth_OFF!U61 - AVERAGE(U$62:U$63)</f>
        <v>29.599999999999966</v>
      </c>
      <c r="V61" s="10">
        <f>eth_ON!V61 - eth_OFF!V61 - AVERAGE(V$62:V$63)</f>
        <v>29.400000000000034</v>
      </c>
      <c r="W61" s="10">
        <f>eth_ON!W61 - eth_OFF!W61 - AVERAGE(W$62:W$63)</f>
        <v>31.099999999999994</v>
      </c>
      <c r="X61" s="10">
        <f>eth_ON!X61 - eth_OFF!X61 - AVERAGE(X$62:X$63)</f>
        <v>29.399999999999977</v>
      </c>
      <c r="Y61" s="10">
        <f>eth_ON!Y61 - eth_OFF!Y61 - AVERAGE(Y$62:Y$63)</f>
        <v>32.950000000000017</v>
      </c>
      <c r="Z61" s="10">
        <f>eth_ON!Z61 - eth_OFF!Z61 - AVERAGE(Z$62:Z$63)</f>
        <v>33.099999999999994</v>
      </c>
      <c r="AA61" s="10">
        <f>eth_ON!AA61 - eth_OFF!AA61 - AVERAGE(AA$62:AA$63)</f>
        <v>29.850000000000023</v>
      </c>
      <c r="AB61" s="10">
        <f>eth_ON!AB61 - eth_OFF!AB61 - AVERAGE(AB$62:AB$63)</f>
        <v>29.000000000000028</v>
      </c>
      <c r="AC61" s="10">
        <f>eth_ON!AC61 - eth_OFF!AC61 - AVERAGE(AC$62:AC$63)</f>
        <v>30.150000000000006</v>
      </c>
      <c r="AD61" s="10">
        <f>eth_ON!AD61 - eth_OFF!AD61 - AVERAGE(AD$62:AD$63)</f>
        <v>31.050000000000011</v>
      </c>
      <c r="AE61" s="10">
        <f>eth_ON!AE61 - eth_OFF!AE61 - AVERAGE(AE$62:AE$63)</f>
        <v>32.449999999999989</v>
      </c>
      <c r="AF61" s="10">
        <f>eth_ON!AF61 - eth_OFF!AF61 - AVERAGE(AF$62:AF$63)</f>
        <v>33.700000000000017</v>
      </c>
      <c r="AG61" s="10">
        <f>eth_ON!AG61 - eth_OFF!AG61 - AVERAGE(AG$62:AG$63)</f>
        <v>32.549999999999983</v>
      </c>
      <c r="AH61" s="10">
        <f>eth_ON!AH61 - eth_OFF!AH61 - AVERAGE(AH$62:AH$63)</f>
        <v>32.649999999999977</v>
      </c>
      <c r="AI61" s="10">
        <f>eth_ON!AI61 - eth_OFF!AI61 - AVERAGE(AI$62:AI$63)</f>
        <v>30.849999999999994</v>
      </c>
      <c r="AJ61" s="10">
        <f>eth_ON!AJ61 - eth_OFF!AJ61 - AVERAGE(AJ$62:AJ$63)</f>
        <v>36.550000000000011</v>
      </c>
      <c r="AK61" s="10">
        <f>eth_ON!AK61 - eth_OFF!AK61 - AVERAGE(AK$62:AK$63)</f>
        <v>31.69999999999996</v>
      </c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</row>
    <row r="62" spans="1:65">
      <c r="A62" s="29" t="s">
        <v>135</v>
      </c>
      <c r="B62" s="10">
        <f>eth_ON!B62 - eth_OFF!B62</f>
        <v>-2.8999999999999773</v>
      </c>
      <c r="C62" s="10">
        <f>eth_ON!C62 - eth_OFF!C62</f>
        <v>0.89999999999997726</v>
      </c>
      <c r="D62" s="10">
        <f>eth_ON!D62 - eth_OFF!D62</f>
        <v>0.69999999999998863</v>
      </c>
      <c r="E62" s="10">
        <f>eth_ON!E62 - eth_OFF!E62</f>
        <v>0.80000000000001137</v>
      </c>
      <c r="F62" s="10">
        <f>eth_ON!F62 - eth_OFF!F62</f>
        <v>0.80000000000001137</v>
      </c>
      <c r="G62" s="10">
        <f>eth_ON!G62 - eth_OFF!G62</f>
        <v>0.89999999999997726</v>
      </c>
      <c r="H62" s="10">
        <f>eth_ON!H62 - eth_OFF!H62</f>
        <v>0.69999999999998863</v>
      </c>
      <c r="I62" s="10">
        <f>eth_ON!I62 - eth_OFF!I62</f>
        <v>1.0999999999999659</v>
      </c>
      <c r="J62" s="10">
        <f>eth_ON!J62 - eth_OFF!J62</f>
        <v>0.60000000000002274</v>
      </c>
      <c r="K62" s="10">
        <f>eth_ON!K62 - eth_OFF!K62</f>
        <v>0.60000000000002274</v>
      </c>
      <c r="L62" s="10">
        <f>eth_ON!L62 - eth_OFF!L62</f>
        <v>0.59999999999996589</v>
      </c>
      <c r="M62" s="10">
        <f>eth_ON!M62 - eth_OFF!M62</f>
        <v>2.0999999999999659</v>
      </c>
      <c r="N62" s="10">
        <f>eth_ON!N62 - eth_OFF!N62</f>
        <v>0.59999999999996589</v>
      </c>
      <c r="O62" s="10">
        <f>eth_ON!O62 - eth_OFF!O62</f>
        <v>0.89999999999997726</v>
      </c>
      <c r="P62" s="10">
        <f>eth_ON!P62 - eth_OFF!P62</f>
        <v>3.4000000000000341</v>
      </c>
      <c r="Q62" s="10">
        <f>eth_ON!Q62 - eth_OFF!Q62</f>
        <v>0.60000000000002274</v>
      </c>
      <c r="R62" s="10">
        <f>eth_ON!R62 - eth_OFF!R62</f>
        <v>0.59999999999996589</v>
      </c>
      <c r="S62" s="10">
        <f>eth_ON!S62 - eth_OFF!S62</f>
        <v>1.1000000000000227</v>
      </c>
      <c r="T62" s="10" t="e">
        <f>eth_ON!T62 - eth_OFF!T62</f>
        <v>#VALUE!</v>
      </c>
      <c r="U62" s="10">
        <f>eth_ON!U62 - eth_OFF!U62</f>
        <v>1.3999999999999773</v>
      </c>
      <c r="V62" s="10">
        <f>eth_ON!V62 - eth_OFF!V62</f>
        <v>0.59999999999996589</v>
      </c>
      <c r="W62" s="10">
        <f>eth_ON!W62 - eth_OFF!W62</f>
        <v>1.1999999999999886</v>
      </c>
      <c r="X62" s="10">
        <f>eth_ON!X62 - eth_OFF!X62</f>
        <v>0.80000000000001137</v>
      </c>
      <c r="Y62" s="10">
        <f>eth_ON!Y62 - eth_OFF!Y62</f>
        <v>0.59999999999996589</v>
      </c>
      <c r="Z62" s="10">
        <f>eth_ON!Z62 - eth_OFF!Z62</f>
        <v>0.39999999999997726</v>
      </c>
      <c r="AA62" s="10">
        <f>eth_ON!AA62 - eth_OFF!AA62</f>
        <v>0.39999999999997726</v>
      </c>
      <c r="AB62" s="10">
        <f>eth_ON!AB62 - eth_OFF!AB62</f>
        <v>0.30000000000001137</v>
      </c>
      <c r="AC62" s="10">
        <f>eth_ON!AC62 - eth_OFF!AC62</f>
        <v>0.39999999999997726</v>
      </c>
      <c r="AD62" s="10">
        <f>eth_ON!AD62 - eth_OFF!AD62</f>
        <v>1</v>
      </c>
      <c r="AE62" s="10">
        <f>eth_ON!AE62 - eth_OFF!AE62</f>
        <v>0.40000000000003411</v>
      </c>
      <c r="AF62" s="10">
        <f>eth_ON!AF62 - eth_OFF!AF62</f>
        <v>0.29999999999995453</v>
      </c>
      <c r="AG62" s="10">
        <f>eth_ON!AG62 - eth_OFF!AG62</f>
        <v>0.80000000000001137</v>
      </c>
      <c r="AH62" s="10">
        <f>eth_ON!AH62 - eth_OFF!AH62</f>
        <v>1.1000000000000227</v>
      </c>
      <c r="AI62" s="10">
        <f>eth_ON!AI62 - eth_OFF!AI62</f>
        <v>1.8000000000000114</v>
      </c>
      <c r="AJ62" s="10">
        <f>eth_ON!AJ62 - eth_OFF!AJ62</f>
        <v>1.5</v>
      </c>
      <c r="AK62" s="10">
        <f>eth_ON!AK62 - eth_OFF!AK62</f>
        <v>1.1999999999999886</v>
      </c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</row>
    <row r="63" spans="1:65">
      <c r="A63" s="29" t="s">
        <v>136</v>
      </c>
      <c r="B63" s="10">
        <f>eth_ON!B63 - eth_OFF!B63</f>
        <v>-3</v>
      </c>
      <c r="C63" s="10">
        <f>eth_ON!C63 - eth_OFF!C63</f>
        <v>1.3999999999999773</v>
      </c>
      <c r="D63" s="10">
        <f>eth_ON!D63 - eth_OFF!D63</f>
        <v>0.60000000000002274</v>
      </c>
      <c r="E63" s="10">
        <f>eth_ON!E63 - eth_OFF!E63</f>
        <v>0.5</v>
      </c>
      <c r="F63" s="10">
        <f>eth_ON!F63 - eth_OFF!F63</f>
        <v>0.39999999999997726</v>
      </c>
      <c r="G63" s="10">
        <f>eth_ON!G63 - eth_OFF!G63</f>
        <v>0.59999999999996589</v>
      </c>
      <c r="H63" s="10">
        <f>eth_ON!H63 - eth_OFF!H63</f>
        <v>0.60000000000002274</v>
      </c>
      <c r="I63" s="10">
        <f>eth_ON!I63 - eth_OFF!I63</f>
        <v>0.60000000000002274</v>
      </c>
      <c r="J63" s="10">
        <f>eth_ON!J63 - eth_OFF!J63</f>
        <v>0.5</v>
      </c>
      <c r="K63" s="10">
        <f>eth_ON!K63 - eth_OFF!K63</f>
        <v>0.40000000000003411</v>
      </c>
      <c r="L63" s="10">
        <f>eth_ON!L63 - eth_OFF!L63</f>
        <v>0.69999999999993179</v>
      </c>
      <c r="M63" s="10">
        <f>eth_ON!M63 - eth_OFF!M63</f>
        <v>2.3999999999999773</v>
      </c>
      <c r="N63" s="10">
        <f>eth_ON!N63 - eth_OFF!N63</f>
        <v>1</v>
      </c>
      <c r="O63" s="10">
        <f>eth_ON!O63 - eth_OFF!O63</f>
        <v>0.69999999999998863</v>
      </c>
      <c r="P63" s="10">
        <f>eth_ON!P63 - eth_OFF!P63</f>
        <v>3.3999999999999773</v>
      </c>
      <c r="Q63" s="10">
        <f>eth_ON!Q63 - eth_OFF!Q63</f>
        <v>0.59999999999996589</v>
      </c>
      <c r="R63" s="10">
        <f>eth_ON!R63 - eth_OFF!R63</f>
        <v>0.39999999999997726</v>
      </c>
      <c r="S63" s="10">
        <f>eth_ON!S63 - eth_OFF!S63</f>
        <v>0.60000000000002274</v>
      </c>
      <c r="T63" s="10" t="e">
        <f>eth_ON!T63 - eth_OFF!T63</f>
        <v>#VALUE!</v>
      </c>
      <c r="U63" s="10">
        <f>eth_ON!U63 - eth_OFF!U63</f>
        <v>0.60000000000002274</v>
      </c>
      <c r="V63" s="10">
        <f>eth_ON!V63 - eth_OFF!V63</f>
        <v>0.59999999999996589</v>
      </c>
      <c r="W63" s="10">
        <f>eth_ON!W63 - eth_OFF!W63</f>
        <v>1</v>
      </c>
      <c r="X63" s="10">
        <f>eth_ON!X63 - eth_OFF!X63</f>
        <v>0.40000000000003411</v>
      </c>
      <c r="Y63" s="10">
        <f>eth_ON!Y63 - eth_OFF!Y63</f>
        <v>0.5</v>
      </c>
      <c r="Z63" s="10">
        <f>eth_ON!Z63 - eth_OFF!Z63</f>
        <v>0.80000000000001137</v>
      </c>
      <c r="AA63" s="10">
        <f>eth_ON!AA63 - eth_OFF!AA63</f>
        <v>0.5</v>
      </c>
      <c r="AB63" s="10">
        <f>eth_ON!AB63 - eth_OFF!AB63</f>
        <v>0.5</v>
      </c>
      <c r="AC63" s="10">
        <f>eth_ON!AC63 - eth_OFF!AC63</f>
        <v>0.69999999999998863</v>
      </c>
      <c r="AD63" s="10">
        <f>eth_ON!AD63 - eth_OFF!AD63</f>
        <v>1.1000000000000227</v>
      </c>
      <c r="AE63" s="10">
        <f>eth_ON!AE63 - eth_OFF!AE63</f>
        <v>0.69999999999998863</v>
      </c>
      <c r="AF63" s="10">
        <f>eth_ON!AF63 - eth_OFF!AF63</f>
        <v>0.30000000000001137</v>
      </c>
      <c r="AG63" s="10">
        <f>eth_ON!AG63 - eth_OFF!AG63</f>
        <v>0.5</v>
      </c>
      <c r="AH63" s="10">
        <f>eth_ON!AH63 - eth_OFF!AH63</f>
        <v>1</v>
      </c>
      <c r="AI63" s="10">
        <f>eth_ON!AI63 - eth_OFF!AI63</f>
        <v>1.8999999999999773</v>
      </c>
      <c r="AJ63" s="10">
        <f>eth_ON!AJ63 - eth_OFF!AJ63</f>
        <v>0.60000000000002274</v>
      </c>
      <c r="AK63" s="10">
        <f>eth_ON!AK63 - eth_OFF!AK63</f>
        <v>0.60000000000002274</v>
      </c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</row>
  </sheetData>
  <conditionalFormatting sqref="B2:AM61">
    <cfRule type="colorScale" priority="1">
      <colorScale>
        <cfvo type="num" val="-10"/>
        <cfvo type="percentile" val="50"/>
        <cfvo type="num" val="80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E607-EDC5-4D73-895A-70B58A501608}">
  <dimension ref="A1:AQ63"/>
  <sheetViews>
    <sheetView workbookViewId="0">
      <selection sqref="A1:XFD1"/>
    </sheetView>
  </sheetViews>
  <sheetFormatPr defaultColWidth="7.453125" defaultRowHeight="14.5"/>
  <cols>
    <col min="1" max="1" width="7.453125" style="29"/>
    <col min="2" max="2" width="7.81640625" bestFit="1" customWidth="1"/>
    <col min="3" max="19" width="7.54296875" bestFit="1" customWidth="1"/>
    <col min="20" max="20" width="7.81640625" bestFit="1" customWidth="1"/>
    <col min="21" max="37" width="7.54296875" bestFit="1" customWidth="1"/>
  </cols>
  <sheetData>
    <row r="1" spans="1:43" s="3" customFormat="1">
      <c r="A1" s="3" t="s">
        <v>1</v>
      </c>
      <c r="B1" s="45">
        <v>45873</v>
      </c>
      <c r="C1" s="45">
        <v>45875</v>
      </c>
      <c r="D1" s="45">
        <v>45877</v>
      </c>
      <c r="E1" s="45">
        <v>45880</v>
      </c>
      <c r="F1" s="45">
        <v>45882</v>
      </c>
      <c r="G1" s="45">
        <v>45884</v>
      </c>
      <c r="H1" s="45">
        <v>45887</v>
      </c>
      <c r="I1" s="45">
        <v>45889</v>
      </c>
      <c r="J1" s="45">
        <v>45891</v>
      </c>
      <c r="K1" s="45">
        <v>45894</v>
      </c>
      <c r="L1" s="45">
        <v>45896</v>
      </c>
      <c r="M1" s="45">
        <v>45898</v>
      </c>
      <c r="N1" s="45">
        <v>45901</v>
      </c>
      <c r="O1" s="45">
        <v>45903</v>
      </c>
      <c r="P1" s="45">
        <v>45905</v>
      </c>
      <c r="Q1" s="45">
        <v>45908</v>
      </c>
      <c r="R1" s="45">
        <v>45910</v>
      </c>
      <c r="S1" s="45">
        <v>45912</v>
      </c>
      <c r="T1" s="45">
        <v>45915</v>
      </c>
      <c r="U1" s="45">
        <v>45917</v>
      </c>
      <c r="V1" s="45">
        <v>45919</v>
      </c>
      <c r="W1" s="45">
        <v>45922</v>
      </c>
      <c r="X1" s="45">
        <v>45924</v>
      </c>
      <c r="Y1" s="45">
        <v>45926</v>
      </c>
      <c r="Z1" s="45">
        <v>45929</v>
      </c>
      <c r="AA1" s="45">
        <v>45931</v>
      </c>
      <c r="AB1" s="45">
        <v>45933</v>
      </c>
      <c r="AC1" s="45">
        <v>45936</v>
      </c>
      <c r="AD1" s="45">
        <v>45938</v>
      </c>
      <c r="AE1" s="45">
        <v>45940</v>
      </c>
      <c r="AF1" s="45">
        <v>45943</v>
      </c>
      <c r="AG1" s="45">
        <v>45945</v>
      </c>
      <c r="AH1" s="45">
        <v>45947</v>
      </c>
      <c r="AI1" s="45">
        <v>45950</v>
      </c>
      <c r="AJ1" s="45">
        <v>45952</v>
      </c>
      <c r="AK1" s="45">
        <v>45954</v>
      </c>
    </row>
    <row r="2" spans="1:43">
      <c r="A2" s="30">
        <v>1</v>
      </c>
      <c r="B2" s="37">
        <f>E_g!B2/(rat_weight!B2/1000)*0.1578</f>
        <v>2.713162055335947</v>
      </c>
      <c r="C2" s="37">
        <f>E_g!C2/(rat_weight!C2/1000)*0.1578</f>
        <v>4.3901556420233669</v>
      </c>
      <c r="D2" s="37">
        <f>E_g!D2/(rat_weight!D2/1000)*0.1578</f>
        <v>5.556770428015553</v>
      </c>
      <c r="E2" s="37">
        <f>E_g!E2/(rat_weight!E2/1000)*0.1578</f>
        <v>6.1332421874999747</v>
      </c>
      <c r="F2" s="37">
        <f>E_g!F2/(rat_weight!F2/1000)*0.1578</f>
        <v>6.2995256916996007</v>
      </c>
      <c r="G2" s="37">
        <f>E_g!G2/(rat_weight!G2/1000)*0.1578</f>
        <v>6.8196511627907013</v>
      </c>
      <c r="H2" s="37">
        <f>E_g!H2/(rat_weight!H2/1000)*0.1578</f>
        <v>6.7933204633204669</v>
      </c>
      <c r="I2" s="37">
        <f>E_g!I2/(rat_weight!I2/1000)*0.1578</f>
        <v>7.0769083969465809</v>
      </c>
      <c r="J2" s="37">
        <f>E_g!J2/(rat_weight!J2/1000)*0.1578</f>
        <v>7.9495471698113338</v>
      </c>
      <c r="K2" s="37">
        <f>E_g!K2/(rat_weight!K2/1000)*0.1578</f>
        <v>8.7332061068702451</v>
      </c>
      <c r="L2" s="37">
        <f>E_g!L2/(rat_weight!L2/1000)*0.1578</f>
        <v>6.4994252873563383</v>
      </c>
      <c r="M2" s="37">
        <f>E_g!M2/(rat_weight!M2/1000)*0.1578</f>
        <v>6.9300000000000228</v>
      </c>
      <c r="N2" s="37">
        <f>E_g!N2/(rat_weight!N2/1000)*0.1578</f>
        <v>6.987453874538728</v>
      </c>
      <c r="O2" s="37">
        <f>E_g!O2/(rat_weight!O2/1000)*0.1578</f>
        <v>6.5798523985240074</v>
      </c>
      <c r="P2" s="37">
        <f>E_g!P2/(rat_weight!P2/1000)*0.1578</f>
        <v>7.045682656826564</v>
      </c>
      <c r="Q2" s="37">
        <f>E_g!Q2/(rat_weight!Q2/1000)*0.1578</f>
        <v>5.9028888888888851</v>
      </c>
      <c r="R2" s="37">
        <f>E_g!R2/(rat_weight!R2/1000)*0.1578</f>
        <v>6.3704444444444475</v>
      </c>
      <c r="S2" s="37">
        <f>E_g!S2/(rat_weight!S2/1000)*0.1578</f>
        <v>6.6334444444444243</v>
      </c>
      <c r="T2" s="37" t="e">
        <f>E_g!T2/(rat_weight!T2/1000)*0.1578</f>
        <v>#VALUE!</v>
      </c>
      <c r="U2" s="37">
        <f>E_g!U2/(rat_weight!U2/1000)*0.1578</f>
        <v>6.0557933579335659</v>
      </c>
      <c r="V2" s="37">
        <f>E_g!V2/(rat_weight!V2/1000)*0.1578</f>
        <v>7.6861992619926447</v>
      </c>
      <c r="W2" s="37">
        <f>E_g!W2/(rat_weight!W2/1000)*0.1578</f>
        <v>6.2774452554744551</v>
      </c>
      <c r="X2" s="37">
        <f>E_g!X2/(rat_weight!X2/1000)*0.1578</f>
        <v>6.0470802919707696</v>
      </c>
      <c r="Y2" s="37">
        <f>E_g!Y2/(rat_weight!Y2/1000)*0.1578</f>
        <v>7.1701094890511046</v>
      </c>
      <c r="Z2" s="37">
        <f>E_g!Z2/(rat_weight!Z2/1000)*0.1578</f>
        <v>5.5059712230215911</v>
      </c>
      <c r="AA2" s="37">
        <f>E_g!AA2/(rat_weight!AA2/1000)*0.1578</f>
        <v>6.4425539568345451</v>
      </c>
      <c r="AB2" s="37">
        <f>E_g!AB2/(rat_weight!AB2/1000)*0.1578</f>
        <v>5.7330215827338087</v>
      </c>
      <c r="AC2" s="37">
        <f>E_g!AC2/(rat_weight!AC2/1000)*0.1578</f>
        <v>5.2323157894736934</v>
      </c>
      <c r="AD2" s="37">
        <f>E_g!AD2/(rat_weight!AD2/1000)*0.1578</f>
        <v>5.7306315789473494</v>
      </c>
      <c r="AE2" s="37">
        <f>E_g!AE2/(rat_weight!AE2/1000)*0.1578</f>
        <v>6.1735789473684095</v>
      </c>
      <c r="AF2" s="37">
        <f>E_g!AF2/(rat_weight!AF2/1000)*0.1578</f>
        <v>6.322996515679459</v>
      </c>
      <c r="AG2" s="37">
        <f>E_g!AG2/(rat_weight!AG2/1000)*0.1578</f>
        <v>5.9106271777003636</v>
      </c>
      <c r="AH2" s="37">
        <f>E_g!AH2/(rat_weight!AH2/1000)*0.1578</f>
        <v>6.7903484320557306</v>
      </c>
      <c r="AI2" s="37">
        <f>E_g!AI2/(rat_weight!AI2/1000)*0.1578</f>
        <v>7.1604452054794683</v>
      </c>
      <c r="AJ2" s="37">
        <f>E_g!AJ2/(rat_weight!AJ2/1000)*0.1578</f>
        <v>5.5392123287671238</v>
      </c>
      <c r="AK2" s="37">
        <f>E_g!AK2/(rat_weight!AK2/1000)*0.1578</f>
        <v>6.0526027397260371</v>
      </c>
      <c r="AP2" s="11"/>
      <c r="AQ2" s="11"/>
    </row>
    <row r="3" spans="1:43">
      <c r="A3" s="30">
        <v>2</v>
      </c>
      <c r="B3" s="37">
        <f>E_g!B3/(rat_weight!B3/1000)*0.1578</f>
        <v>0.14611111111108896</v>
      </c>
      <c r="C3" s="37">
        <f>E_g!C3/(rat_weight!C3/1000)*0.1578</f>
        <v>-0.4277710843372845</v>
      </c>
      <c r="D3" s="37">
        <f>E_g!D3/(rat_weight!D3/1000)*0.1578</f>
        <v>4.8703703703687089E-2</v>
      </c>
      <c r="E3" s="37">
        <f>E_g!E3/(rat_weight!E3/1000)*0.1578</f>
        <v>3.3880588235293638</v>
      </c>
      <c r="F3" s="37">
        <f>E_g!F3/(rat_weight!F3/1000)*0.1578</f>
        <v>3.3472727272727543</v>
      </c>
      <c r="G3" s="37">
        <f>E_g!G3/(rat_weight!G3/1000)*0.1578</f>
        <v>7.6523493975903989</v>
      </c>
      <c r="H3" s="37">
        <f>E_g!H3/(rat_weight!H3/1000)*0.1578</f>
        <v>5.4697546012269989</v>
      </c>
      <c r="I3" s="37">
        <f>E_g!I3/(rat_weight!I3/1000)*0.1578</f>
        <v>3.3293063583815079</v>
      </c>
      <c r="J3" s="37">
        <f>E_g!J3/(rat_weight!J3/1000)*0.1578</f>
        <v>6.2655882352941168</v>
      </c>
      <c r="K3" s="37">
        <f>E_g!K3/(rat_weight!K3/1000)*0.1578</f>
        <v>5.4156213017751318</v>
      </c>
      <c r="L3" s="37">
        <f>E_g!L3/(rat_weight!L3/1000)*0.1578</f>
        <v>5.5947272727273214</v>
      </c>
      <c r="M3" s="37">
        <f>E_g!M3/(rat_weight!M3/1000)*0.1578</f>
        <v>5.7511445783132906</v>
      </c>
      <c r="N3" s="37">
        <f>E_g!N3/(rat_weight!N3/1000)*0.1578</f>
        <v>5.0421301775147978</v>
      </c>
      <c r="O3" s="37">
        <f>E_g!O3/(rat_weight!O3/1000)*0.1578</f>
        <v>7.0029585798816827</v>
      </c>
      <c r="P3" s="37">
        <f>E_g!P3/(rat_weight!P3/1000)*0.1578</f>
        <v>5.8824852071006282</v>
      </c>
      <c r="Q3" s="37">
        <f>E_g!Q3/(rat_weight!Q3/1000)*0.1578</f>
        <v>5.0495999999999945</v>
      </c>
      <c r="R3" s="37">
        <f>E_g!R3/(rat_weight!R3/1000)*0.1578</f>
        <v>4.5085714285714031</v>
      </c>
      <c r="S3" s="37">
        <f>E_g!S3/(rat_weight!S3/1000)*0.1578</f>
        <v>3.922457142857112</v>
      </c>
      <c r="T3" s="37" t="e">
        <f>E_g!T3/(rat_weight!T3/1000)*0.1578</f>
        <v>#VALUE!</v>
      </c>
      <c r="U3" s="37">
        <f>E_g!U3/(rat_weight!U3/1000)*0.1578</f>
        <v>5.8948275862068975</v>
      </c>
      <c r="V3" s="37">
        <f>E_g!V3/(rat_weight!V3/1000)*0.1578</f>
        <v>3.2648275862069172</v>
      </c>
      <c r="W3" s="37">
        <f>E_g!W3/(rat_weight!W3/1000)*0.1578</f>
        <v>4.7519318181818537</v>
      </c>
      <c r="X3" s="37">
        <f>E_g!X3/(rat_weight!X3/1000)*0.1578</f>
        <v>5.1105681818181203</v>
      </c>
      <c r="Y3" s="37">
        <f>E_g!Y3/(rat_weight!Y3/1000)*0.1578</f>
        <v>4.2588068181817924</v>
      </c>
      <c r="Z3" s="37">
        <f>E_g!Z3/(rat_weight!Z3/1000)*0.1578</f>
        <v>5.8736666666666313</v>
      </c>
      <c r="AA3" s="37">
        <f>E_g!AA3/(rat_weight!AA3/1000)*0.1578</f>
        <v>4.6901666666666868</v>
      </c>
      <c r="AB3" s="37">
        <f>E_g!AB3/(rat_weight!AB3/1000)*0.1578</f>
        <v>6.3996666666667013</v>
      </c>
      <c r="AC3" s="37">
        <f>E_g!AC3/(rat_weight!AC3/1000)*0.1578</f>
        <v>5.5016756756756902</v>
      </c>
      <c r="AD3" s="37">
        <f>E_g!AD3/(rat_weight!AD3/1000)*0.1578</f>
        <v>5.8428648648648354</v>
      </c>
      <c r="AE3" s="37">
        <f>E_g!AE3/(rat_weight!AE3/1000)*0.1578</f>
        <v>5.9281621621621525</v>
      </c>
      <c r="AF3" s="37">
        <f>E_g!AF3/(rat_weight!AF3/1000)*0.1578</f>
        <v>6.1027624309392516</v>
      </c>
      <c r="AG3" s="37">
        <f>E_g!AG3/(rat_weight!AG3/1000)*0.1578</f>
        <v>4.9258011049723809</v>
      </c>
      <c r="AH3" s="37">
        <f>E_g!AH3/(rat_weight!AH3/1000)*0.1578</f>
        <v>6.7566298342541433</v>
      </c>
      <c r="AI3" s="37">
        <f>E_g!AI3/(rat_weight!AI3/1000)*0.1578</f>
        <v>6.1463535911602065</v>
      </c>
      <c r="AJ3" s="37">
        <f>E_g!AJ3/(rat_weight!AJ3/1000)*0.1578</f>
        <v>4.8386187845303965</v>
      </c>
      <c r="AK3" s="37">
        <f>E_g!AK3/(rat_weight!AK3/1000)*0.1578</f>
        <v>5.928397790055234</v>
      </c>
    </row>
    <row r="4" spans="1:43">
      <c r="A4" s="30">
        <v>3</v>
      </c>
      <c r="B4" s="37">
        <f>E_g!B4/(rat_weight!B4/1000)*0.1578</f>
        <v>4.0393027888446111</v>
      </c>
      <c r="C4" s="37">
        <f>E_g!C4/(rat_weight!C4/1000)*0.1578</f>
        <v>3.6403366336633769</v>
      </c>
      <c r="D4" s="37">
        <f>E_g!D4/(rat_weight!D4/1000)*0.1578</f>
        <v>4.4709999999999877</v>
      </c>
      <c r="E4" s="37">
        <f>E_g!E4/(rat_weight!E4/1000)*0.1578</f>
        <v>5.6096531791907562</v>
      </c>
      <c r="F4" s="37">
        <f>E_g!F4/(rat_weight!F4/1000)*0.1578</f>
        <v>5.1887814313346139</v>
      </c>
      <c r="G4" s="37">
        <f>E_g!G4/(rat_weight!G4/1000)*0.1578</f>
        <v>5.0635057471264444</v>
      </c>
      <c r="H4" s="37">
        <f>E_g!H4/(rat_weight!H4/1000)*0.1578</f>
        <v>5.4439508506616168</v>
      </c>
      <c r="I4" s="37">
        <f>E_g!I4/(rat_weight!I4/1000)*0.1578</f>
        <v>5.0396089385474871</v>
      </c>
      <c r="J4" s="37">
        <f>E_g!J4/(rat_weight!J4/1000)*0.1578</f>
        <v>5.4737807183364904</v>
      </c>
      <c r="K4" s="37">
        <f>E_g!K4/(rat_weight!K4/1000)*0.1578</f>
        <v>4.7073545966228902</v>
      </c>
      <c r="L4" s="37">
        <f>E_g!L4/(rat_weight!L4/1000)*0.1578</f>
        <v>4.3768274582560345</v>
      </c>
      <c r="M4" s="37">
        <f>E_g!M4/(rat_weight!M4/1000)*0.1578</f>
        <v>4.8588135593220318</v>
      </c>
      <c r="N4" s="37">
        <f>E_g!N4/(rat_weight!N4/1000)*0.1578</f>
        <v>4.9741304347826096</v>
      </c>
      <c r="O4" s="37">
        <f>E_g!O4/(rat_weight!O4/1000)*0.1578</f>
        <v>4.1451086956521817</v>
      </c>
      <c r="P4" s="37">
        <f>E_g!P4/(rat_weight!P4/1000)*0.1578</f>
        <v>5.2314130434782546</v>
      </c>
      <c r="Q4" s="37">
        <f>E_g!Q4/(rat_weight!Q4/1000)*0.1578</f>
        <v>3.3814285714285788</v>
      </c>
      <c r="R4" s="37">
        <f>E_g!R4/(rat_weight!R4/1000)*0.1578</f>
        <v>5.3257500000000011</v>
      </c>
      <c r="S4" s="37">
        <f>E_g!S4/(rat_weight!S4/1000)*0.1578</f>
        <v>5.7061607142857138</v>
      </c>
      <c r="T4" s="37" t="e">
        <f>E_g!T4/(rat_weight!T4/1000)*0.1578</f>
        <v>#VALUE!</v>
      </c>
      <c r="U4" s="37">
        <f>E_g!U4/(rat_weight!U4/1000)*0.1578</f>
        <v>4.5166368515205715</v>
      </c>
      <c r="V4" s="37">
        <f>E_g!V4/(rat_weight!V4/1000)*0.1578</f>
        <v>3.9238282647585065</v>
      </c>
      <c r="W4" s="37">
        <f>E_g!W4/(rat_weight!W4/1000)*0.1578</f>
        <v>4.3694179894179941</v>
      </c>
      <c r="X4" s="37">
        <f>E_g!X4/(rat_weight!X4/1000)*0.1578</f>
        <v>4.6198941798941711</v>
      </c>
      <c r="Y4" s="37">
        <f>E_g!Y4/(rat_weight!Y4/1000)*0.1578</f>
        <v>4.8564550264550315</v>
      </c>
      <c r="Z4" s="37">
        <f>E_g!Z4/(rat_weight!Z4/1000)*0.1578</f>
        <v>4.7928596802841907</v>
      </c>
      <c r="AA4" s="37">
        <f>E_g!AA4/(rat_weight!AA4/1000)*0.1578</f>
        <v>5.8439253996447507</v>
      </c>
      <c r="AB4" s="37">
        <f>E_g!AB4/(rat_weight!AB4/1000)*0.1578</f>
        <v>5.4375133214920091</v>
      </c>
      <c r="AC4" s="37">
        <f>E_g!AC4/(rat_weight!AC4/1000)*0.1578</f>
        <v>5.3377565217391352</v>
      </c>
      <c r="AD4" s="37">
        <f>E_g!AD4/(rat_weight!AD4/1000)*0.1578</f>
        <v>4.5967826086956523</v>
      </c>
      <c r="AE4" s="37">
        <f>E_g!AE4/(rat_weight!AE4/1000)*0.1578</f>
        <v>4.9809913043478202</v>
      </c>
      <c r="AF4" s="37">
        <f>E_g!AF4/(rat_weight!AF4/1000)*0.1578</f>
        <v>5.9038965517241424</v>
      </c>
      <c r="AG4" s="37">
        <f>E_g!AG4/(rat_weight!AG4/1000)*0.1578</f>
        <v>5.3189482758620654</v>
      </c>
      <c r="AH4" s="37">
        <f>E_g!AH4/(rat_weight!AH4/1000)*0.1578</f>
        <v>5.9719137931034458</v>
      </c>
      <c r="AI4" s="37">
        <f>E_g!AI4/(rat_weight!AI4/1000)*0.1578</f>
        <v>6.0888756388415688</v>
      </c>
      <c r="AJ4" s="37">
        <f>E_g!AJ4/(rat_weight!AJ4/1000)*0.1578</f>
        <v>5.3899318568994774</v>
      </c>
      <c r="AK4" s="37">
        <f>E_g!AK4/(rat_weight!AK4/1000)*0.1578</f>
        <v>5.6721976149914806</v>
      </c>
    </row>
    <row r="5" spans="1:43">
      <c r="A5" s="30">
        <v>4</v>
      </c>
      <c r="B5" s="37">
        <f>E_g!B5/(rat_weight!B5/1000)*0.1578</f>
        <v>6.7910357142856883</v>
      </c>
      <c r="C5" s="37">
        <f>E_g!C5/(rat_weight!C5/1000)*0.1578</f>
        <v>4.6428519855595853</v>
      </c>
      <c r="D5" s="37">
        <f>E_g!D5/(rat_weight!D5/1000)*0.1578</f>
        <v>4.9347349823321531</v>
      </c>
      <c r="E5" s="37">
        <f>E_g!E5/(rat_weight!E5/1000)*0.1578</f>
        <v>6.611275862068938</v>
      </c>
      <c r="F5" s="37">
        <f>E_g!F5/(rat_weight!F5/1000)*0.1578</f>
        <v>6.8252595155709503</v>
      </c>
      <c r="G5" s="37">
        <f>E_g!G5/(rat_weight!G5/1000)*0.1578</f>
        <v>6.7667708333333305</v>
      </c>
      <c r="H5" s="37">
        <f>E_g!H5/(rat_weight!H5/1000)*0.1578</f>
        <v>9.1599657534246663</v>
      </c>
      <c r="I5" s="37">
        <f>E_g!I5/(rat_weight!I5/1000)*0.1578</f>
        <v>8.7878275862069</v>
      </c>
      <c r="J5" s="37">
        <f>E_g!J5/(rat_weight!J5/1000)*0.1578</f>
        <v>10.144285714285708</v>
      </c>
      <c r="K5" s="37">
        <f>E_g!K5/(rat_weight!K5/1000)*0.1578</f>
        <v>9.7107692307692339</v>
      </c>
      <c r="L5" s="37">
        <f>E_g!L5/(rat_weight!L5/1000)*0.1578</f>
        <v>9.0668135593220427</v>
      </c>
      <c r="M5" s="37">
        <f>E_g!M5/(rat_weight!M5/1000)*0.1578</f>
        <v>8.8182352941176507</v>
      </c>
      <c r="N5" s="37">
        <f>E_g!N5/(rat_weight!N5/1000)*0.1578</f>
        <v>10.002915254237298</v>
      </c>
      <c r="O5" s="37">
        <f>E_g!O5/(rat_weight!O5/1000)*0.1578</f>
        <v>9.3075254237288174</v>
      </c>
      <c r="P5" s="37">
        <f>E_g!P5/(rat_weight!P5/1000)*0.1578</f>
        <v>10.163389830508459</v>
      </c>
      <c r="Q5" s="37">
        <f>E_g!Q5/(rat_weight!Q5/1000)*0.1578</f>
        <v>9.2357859531772721</v>
      </c>
      <c r="R5" s="37">
        <f>E_g!R5/(rat_weight!R5/1000)*0.1578</f>
        <v>8.9191304347826108</v>
      </c>
      <c r="S5" s="37">
        <f>E_g!S5/(rat_weight!S5/1000)*0.1578</f>
        <v>9.1566220735785766</v>
      </c>
      <c r="T5" s="37" t="e">
        <f>E_g!T5/(rat_weight!T5/1000)*0.1578</f>
        <v>#VALUE!</v>
      </c>
      <c r="U5" s="37">
        <f>E_g!U5/(rat_weight!U5/1000)*0.1578</f>
        <v>9.2180198019801924</v>
      </c>
      <c r="V5" s="37">
        <f>E_g!V5/(rat_weight!V5/1000)*0.1578</f>
        <v>9.634653465346565</v>
      </c>
      <c r="W5" s="37">
        <f>E_g!W5/(rat_weight!W5/1000)*0.1578</f>
        <v>8.8409120521172433</v>
      </c>
      <c r="X5" s="37">
        <f>E_g!X5/(rat_weight!X5/1000)*0.1578</f>
        <v>9.3035179153094578</v>
      </c>
      <c r="Y5" s="37">
        <f>E_g!Y5/(rat_weight!Y5/1000)*0.1578</f>
        <v>8.9694136807817682</v>
      </c>
      <c r="Z5" s="37">
        <f>E_g!Z5/(rat_weight!Z5/1000)*0.1578</f>
        <v>8.8730990415335445</v>
      </c>
      <c r="AA5" s="37">
        <f>E_g!AA5/(rat_weight!AA5/1000)*0.1578</f>
        <v>11.721565495207669</v>
      </c>
      <c r="AB5" s="37">
        <f>E_g!AB5/(rat_weight!AB5/1000)*0.1578</f>
        <v>7.1589776357827279</v>
      </c>
      <c r="AC5" s="37">
        <f>E_g!AC5/(rat_weight!AC5/1000)*0.1578</f>
        <v>8.591333333333365</v>
      </c>
      <c r="AD5" s="37">
        <f>E_g!AD5/(rat_weight!AD5/1000)*0.1578</f>
        <v>9.092285714285703</v>
      </c>
      <c r="AE5" s="37">
        <f>E_g!AE5/(rat_weight!AE5/1000)*0.1578</f>
        <v>8.4410476190476302</v>
      </c>
      <c r="AF5" s="37">
        <f>E_g!AF5/(rat_weight!AF5/1000)*0.1578</f>
        <v>8.7218530351437895</v>
      </c>
      <c r="AG5" s="37">
        <f>E_g!AG5/(rat_weight!AG5/1000)*0.1578</f>
        <v>8.0916613418530261</v>
      </c>
      <c r="AH5" s="37">
        <f>E_g!AH5/(rat_weight!AH5/1000)*0.1578</f>
        <v>8.4445686900958457</v>
      </c>
      <c r="AI5" s="37">
        <f>E_g!AI5/(rat_weight!AI5/1000)*0.1578</f>
        <v>8.6366876971608804</v>
      </c>
      <c r="AJ5" s="37">
        <f>E_g!AJ5/(rat_weight!AJ5/1000)*0.1578</f>
        <v>8.9353627760252312</v>
      </c>
      <c r="AK5" s="37">
        <f>E_g!AK5/(rat_weight!AK5/1000)*0.1578</f>
        <v>9.1095899053627676</v>
      </c>
    </row>
    <row r="6" spans="1:43">
      <c r="A6" s="30">
        <v>5</v>
      </c>
      <c r="B6" s="37">
        <f>E_g!B6/(rat_weight!B6/1000)*0.1578</f>
        <v>0.44105590062110689</v>
      </c>
      <c r="C6" s="37">
        <f>E_g!C6/(rat_weight!C6/1000)*0.1578</f>
        <v>-8.2187499999981317E-2</v>
      </c>
      <c r="D6" s="37">
        <f>E_g!D6/(rat_weight!D6/1000)*0.1578</f>
        <v>0.27373469387754917</v>
      </c>
      <c r="E6" s="37">
        <f>E_g!E6/(rat_weight!E6/1000)*0.1578</f>
        <v>1.5843373493988511E-2</v>
      </c>
      <c r="F6" s="37">
        <f>E_g!F6/(rat_weight!F6/1000)*0.1578</f>
        <v>-3.1814516129030454E-2</v>
      </c>
      <c r="G6" s="37">
        <f>E_g!G6/(rat_weight!G6/1000)*0.1578</f>
        <v>1.5623762376250057E-2</v>
      </c>
      <c r="H6" s="37">
        <f>E_g!H6/(rat_weight!H6/1000)*0.1578</f>
        <v>4.6594488188978142E-2</v>
      </c>
      <c r="I6" s="37">
        <f>E_g!I6/(rat_weight!I6/1000)*0.1578</f>
        <v>0.20190944881889941</v>
      </c>
      <c r="J6" s="37">
        <f>E_g!J6/(rat_weight!J6/1000)*0.1578</f>
        <v>0.19994152046782926</v>
      </c>
      <c r="K6" s="37">
        <f>E_g!K6/(rat_weight!K6/1000)*0.1578</f>
        <v>8.6248956694572158E-15</v>
      </c>
      <c r="L6" s="37">
        <f>E_g!L6/(rat_weight!L6/1000)*0.1578</f>
        <v>4.5085714285715991E-2</v>
      </c>
      <c r="M6" s="37">
        <f>E_g!M6/(rat_weight!M6/1000)*0.1578</f>
        <v>0.24977653631284746</v>
      </c>
      <c r="N6" s="37">
        <f>E_g!N6/(rat_weight!N6/1000)*0.1578</f>
        <v>8.2748076533537866E-15</v>
      </c>
      <c r="O6" s="37">
        <f>E_g!O6/(rat_weight!O6/1000)*0.1578</f>
        <v>-2.9114391143909783E-2</v>
      </c>
      <c r="P6" s="37">
        <f>E_g!P6/(rat_weight!P6/1000)*0.1578</f>
        <v>2.9114391143909783E-2</v>
      </c>
      <c r="Q6" s="37">
        <f>E_g!Q6/(rat_weight!Q6/1000)*0.1578</f>
        <v>2.8638838475513743E-2</v>
      </c>
      <c r="R6" s="37">
        <f>E_g!R6/(rat_weight!R6/1000)*0.1578</f>
        <v>2.441894236724729E-14</v>
      </c>
      <c r="S6" s="37">
        <f>E_g!S6/(rat_weight!S6/1000)*0.1578</f>
        <v>0.24343012704174877</v>
      </c>
      <c r="T6" s="37" t="e">
        <f>E_g!T6/(rat_weight!T6/1000)*0.1578</f>
        <v>#VALUE!</v>
      </c>
      <c r="U6" s="37">
        <f>E_g!U6/(rat_weight!U6/1000)*0.1578</f>
        <v>0</v>
      </c>
      <c r="V6" s="37">
        <f>E_g!V6/(rat_weight!V6/1000)*0.1578</f>
        <v>2.8742142857142823</v>
      </c>
      <c r="W6" s="37">
        <f>E_g!W6/(rat_weight!W6/1000)*0.1578</f>
        <v>-0.13580034423408691</v>
      </c>
      <c r="X6" s="37">
        <f>E_g!X6/(rat_weight!X6/1000)*0.1578</f>
        <v>-8.1480206540450587E-2</v>
      </c>
      <c r="Y6" s="37">
        <f>E_g!Y6/(rat_weight!Y6/1000)*0.1578</f>
        <v>-4.0740103270209861E-2</v>
      </c>
      <c r="Z6" s="37">
        <f>E_g!Z6/(rat_weight!Z6/1000)*0.1578</f>
        <v>5.4791666666671339E-2</v>
      </c>
      <c r="AA6" s="37">
        <f>E_g!AA6/(rat_weight!AA6/1000)*0.1578</f>
        <v>9.5885416666657342E-2</v>
      </c>
      <c r="AB6" s="37">
        <f>E_g!AB6/(rat_weight!AB6/1000)*0.1578</f>
        <v>0.16437499999999847</v>
      </c>
      <c r="AC6" s="37">
        <f>E_g!AC6/(rat_weight!AC6/1000)*0.1578</f>
        <v>0.12076530612245356</v>
      </c>
      <c r="AD6" s="37">
        <f>E_g!AD6/(rat_weight!AD6/1000)*0.1578</f>
        <v>-4.0255102040825483E-2</v>
      </c>
      <c r="AE6" s="37">
        <f>E_g!AE6/(rat_weight!AE6/1000)*0.1578</f>
        <v>9.3928571428577537E-2</v>
      </c>
      <c r="AF6" s="37">
        <f>E_g!AF6/(rat_weight!AF6/1000)*0.1578</f>
        <v>2.6343906510849922E-2</v>
      </c>
      <c r="AG6" s="37">
        <f>E_g!AG6/(rat_weight!AG6/1000)*0.1578</f>
        <v>9.2203672787978475E-2</v>
      </c>
      <c r="AH6" s="37">
        <f>E_g!AH6/(rat_weight!AH6/1000)*0.1578</f>
        <v>3.9515859766271137E-2</v>
      </c>
      <c r="AI6" s="37">
        <f>E_g!AI6/(rat_weight!AI6/1000)*0.1578</f>
        <v>3.9059405940595537E-2</v>
      </c>
      <c r="AJ6" s="37">
        <f>E_g!AJ6/(rat_weight!AJ6/1000)*0.1578</f>
        <v>-1.301980198020098E-2</v>
      </c>
      <c r="AK6" s="37">
        <f>E_g!AK6/(rat_weight!AK6/1000)*0.1578</f>
        <v>7.4009005744517369E-15</v>
      </c>
    </row>
    <row r="7" spans="1:43">
      <c r="A7" s="30">
        <v>6</v>
      </c>
      <c r="B7" s="37">
        <f>E_g!B7/(rat_weight!B7/1000)*0.1578</f>
        <v>8.0563554216867406</v>
      </c>
      <c r="C7" s="37">
        <f>E_g!C7/(rat_weight!C7/1000)*0.1578</f>
        <v>3.1885840707964705</v>
      </c>
      <c r="D7" s="37">
        <f>E_g!D7/(rat_weight!D7/1000)*0.1578</f>
        <v>4.4231818181818046</v>
      </c>
      <c r="E7" s="37">
        <f>E_g!E7/(rat_weight!E7/1000)*0.1578</f>
        <v>5.4997941176470553</v>
      </c>
      <c r="F7" s="37">
        <f>E_g!F7/(rat_weight!F7/1000)*0.1578</f>
        <v>7.6115294117647077</v>
      </c>
      <c r="G7" s="37">
        <f>E_g!G7/(rat_weight!G7/1000)*0.1578</f>
        <v>7.2436440677966223</v>
      </c>
      <c r="H7" s="37">
        <f>E_g!H7/(rat_weight!H7/1000)*0.1578</f>
        <v>6.4037950138504183</v>
      </c>
      <c r="I7" s="37">
        <f>E_g!I7/(rat_weight!I7/1000)*0.1578</f>
        <v>5.8170241286863149</v>
      </c>
      <c r="J7" s="37">
        <f>E_g!J7/(rat_weight!J7/1000)*0.1578</f>
        <v>4.9886507936507885</v>
      </c>
      <c r="K7" s="37">
        <f>E_g!K7/(rat_weight!K7/1000)*0.1578</f>
        <v>5.9073846153846121</v>
      </c>
      <c r="L7" s="37">
        <f>E_g!L7/(rat_weight!L7/1000)*0.1578</f>
        <v>6.2278934010152431</v>
      </c>
      <c r="M7" s="37">
        <f>E_g!M7/(rat_weight!M7/1000)*0.1578</f>
        <v>2.7615000000000021</v>
      </c>
      <c r="N7" s="37">
        <f>E_g!N7/(rat_weight!N7/1000)*0.1578</f>
        <v>3.7806250000000068</v>
      </c>
      <c r="O7" s="37">
        <f>E_g!O7/(rat_weight!O7/1000)*0.1578</f>
        <v>2.0546874999999885</v>
      </c>
      <c r="P7" s="37">
        <f>E_g!P7/(rat_weight!P7/1000)*0.1578</f>
        <v>2.3012499999999974</v>
      </c>
      <c r="Q7" s="37">
        <f>E_g!Q7/(rat_weight!Q7/1000)*0.1578</f>
        <v>1.5125906735751367</v>
      </c>
      <c r="R7" s="37">
        <f>E_g!R7/(rat_weight!R7/1000)*0.1578</f>
        <v>2.452849740932677</v>
      </c>
      <c r="S7" s="37">
        <f>E_g!S7/(rat_weight!S7/1000)*0.1578</f>
        <v>2.9229792746113663</v>
      </c>
      <c r="T7" s="37" t="e">
        <f>E_g!T7/(rat_weight!T7/1000)*0.1578</f>
        <v>#VALUE!</v>
      </c>
      <c r="U7" s="37">
        <f>E_g!U7/(rat_weight!U7/1000)*0.1578</f>
        <v>3.6948292682926915</v>
      </c>
      <c r="V7" s="37">
        <f>E_g!V7/(rat_weight!V7/1000)*0.1578</f>
        <v>3.6178536585365988</v>
      </c>
      <c r="W7" s="37">
        <f>E_g!W7/(rat_weight!W7/1000)*0.1578</f>
        <v>5.0191807228915515</v>
      </c>
      <c r="X7" s="37">
        <f>E_g!X7/(rat_weight!X7/1000)*0.1578</f>
        <v>3.7263614457831156</v>
      </c>
      <c r="Y7" s="37">
        <f>E_g!Y7/(rat_weight!Y7/1000)*0.1578</f>
        <v>4.7340000000000062</v>
      </c>
      <c r="Z7" s="37">
        <f>E_g!Z7/(rat_weight!Z7/1000)*0.1578</f>
        <v>2.4366176470588172</v>
      </c>
      <c r="AA7" s="37">
        <f>E_g!AA7/(rat_weight!AA7/1000)*0.1578</f>
        <v>3.8869852941176517</v>
      </c>
      <c r="AB7" s="37">
        <f>E_g!AB7/(rat_weight!AB7/1000)*0.1578</f>
        <v>4.2544117647058712</v>
      </c>
      <c r="AC7" s="37">
        <f>E_g!AC7/(rat_weight!AC7/1000)*0.1578</f>
        <v>5.2052083333333439</v>
      </c>
      <c r="AD7" s="37">
        <f>E_g!AD7/(rat_weight!AD7/1000)*0.1578</f>
        <v>5.0225694444444438</v>
      </c>
      <c r="AE7" s="37">
        <f>E_g!AE7/(rat_weight!AE7/1000)*0.1578</f>
        <v>4.8034027777777695</v>
      </c>
      <c r="AF7" s="37">
        <f>E_g!AF7/(rat_weight!AF7/1000)*0.1578</f>
        <v>5.5212189616252925</v>
      </c>
      <c r="AG7" s="37">
        <f>E_g!AG7/(rat_weight!AG7/1000)*0.1578</f>
        <v>4.4347855530474094</v>
      </c>
      <c r="AH7" s="37">
        <f>E_g!AH7/(rat_weight!AH7/1000)*0.1578</f>
        <v>5.43216704288937</v>
      </c>
      <c r="AI7" s="37">
        <f>E_g!AI7/(rat_weight!AI7/1000)*0.1578</f>
        <v>4.9529735682819478</v>
      </c>
      <c r="AJ7" s="37">
        <f>E_g!AJ7/(rat_weight!AJ7/1000)*0.1578</f>
        <v>5.1962775330396438</v>
      </c>
      <c r="AK7" s="37">
        <f>E_g!AK7/(rat_weight!AK7/1000)*0.1578</f>
        <v>5.9435682819383233</v>
      </c>
    </row>
    <row r="8" spans="1:43">
      <c r="A8" s="30">
        <v>7</v>
      </c>
      <c r="B8" s="37">
        <f>E_g!B8/(rat_weight!B8/1000)*0.1578</f>
        <v>8.2342909090908876</v>
      </c>
      <c r="C8" s="37">
        <f>E_g!C8/(rat_weight!C8/1000)*0.1578</f>
        <v>2.8808881578947432</v>
      </c>
      <c r="D8" s="37">
        <f>E_g!D8/(rat_weight!D8/1000)*0.1578</f>
        <v>7.3697802197802025</v>
      </c>
      <c r="E8" s="37">
        <f>E_g!E8/(rat_weight!E8/1000)*0.1578</f>
        <v>8.3942481203007553</v>
      </c>
      <c r="F8" s="37">
        <f>E_g!F8/(rat_weight!F8/1000)*0.1578</f>
        <v>8.7602205882352902</v>
      </c>
      <c r="G8" s="37">
        <f>E_g!G8/(rat_weight!G8/1000)*0.1578</f>
        <v>7.6621299638989262</v>
      </c>
      <c r="H8" s="37">
        <f>E_g!H8/(rat_weight!H8/1000)*0.1578</f>
        <v>9.1432851985559456</v>
      </c>
      <c r="I8" s="37">
        <f>E_g!I8/(rat_weight!I8/1000)*0.1578</f>
        <v>7.6968881118880903</v>
      </c>
      <c r="J8" s="37">
        <f>E_g!J8/(rat_weight!J8/1000)*0.1578</f>
        <v>8.9326071428571545</v>
      </c>
      <c r="K8" s="37">
        <f>E_g!K8/(rat_weight!K8/1000)*0.1578</f>
        <v>8.687247386759573</v>
      </c>
      <c r="L8" s="37">
        <f>E_g!L8/(rat_weight!L8/1000)*0.1578</f>
        <v>9.2282332155476947</v>
      </c>
      <c r="M8" s="37">
        <f>E_g!M8/(rat_weight!M8/1000)*0.1578</f>
        <v>7.473274647887334</v>
      </c>
      <c r="N8" s="37">
        <f>E_g!N8/(rat_weight!N8/1000)*0.1578</f>
        <v>7.7553583617747472</v>
      </c>
      <c r="O8" s="37">
        <f>E_g!O8/(rat_weight!O8/1000)*0.1578</f>
        <v>7.9169283276450608</v>
      </c>
      <c r="P8" s="37">
        <f>E_g!P8/(rat_weight!P8/1000)*0.1578</f>
        <v>8.1862116040955719</v>
      </c>
      <c r="Q8" s="37">
        <f>E_g!Q8/(rat_weight!Q8/1000)*0.1578</f>
        <v>8.325310344827578</v>
      </c>
      <c r="R8" s="37">
        <f>E_g!R8/(rat_weight!R8/1000)*0.1578</f>
        <v>10.284206896551758</v>
      </c>
      <c r="S8" s="37">
        <f>E_g!S8/(rat_weight!S8/1000)*0.1578</f>
        <v>7.6451379310344585</v>
      </c>
      <c r="T8" s="37" t="e">
        <f>E_g!T8/(rat_weight!T8/1000)*0.1578</f>
        <v>#VALUE!</v>
      </c>
      <c r="U8" s="37">
        <f>E_g!U8/(rat_weight!U8/1000)*0.1578</f>
        <v>8.0237288135593214</v>
      </c>
      <c r="V8" s="37">
        <f>E_g!V8/(rat_weight!V8/1000)*0.1578</f>
        <v>9.521491525423766</v>
      </c>
      <c r="W8" s="37">
        <f>E_g!W8/(rat_weight!W8/1000)*0.1578</f>
        <v>8.5830405405405372</v>
      </c>
      <c r="X8" s="37">
        <f>E_g!X8/(rat_weight!X8/1000)*0.1578</f>
        <v>9.9158108108107932</v>
      </c>
      <c r="Y8" s="37">
        <f>E_g!Y8/(rat_weight!Y8/1000)*0.1578</f>
        <v>10.15570945945948</v>
      </c>
      <c r="Z8" s="37">
        <f>E_g!Z8/(rat_weight!Z8/1000)*0.1578</f>
        <v>10.949387755102045</v>
      </c>
      <c r="AA8" s="37">
        <f>E_g!AA8/(rat_weight!AA8/1000)*0.1578</f>
        <v>9.4733673469387636</v>
      </c>
      <c r="AB8" s="37">
        <f>E_g!AB8/(rat_weight!AB8/1000)*0.1578</f>
        <v>9.446530612244894</v>
      </c>
      <c r="AC8" s="37">
        <f>E_g!AC8/(rat_weight!AC8/1000)*0.1578</f>
        <v>11.351938775510208</v>
      </c>
      <c r="AD8" s="37">
        <f>E_g!AD8/(rat_weight!AD8/1000)*0.1578</f>
        <v>9.9564285714285781</v>
      </c>
      <c r="AE8" s="37">
        <f>E_g!AE8/(rat_weight!AE8/1000)*0.1578</f>
        <v>10.27846938775509</v>
      </c>
      <c r="AF8" s="37">
        <f>E_g!AF8/(rat_weight!AF8/1000)*0.1578</f>
        <v>8.849594594594592</v>
      </c>
      <c r="AG8" s="37">
        <f>E_g!AG8/(rat_weight!AG8/1000)*0.1578</f>
        <v>8.7163175675675646</v>
      </c>
      <c r="AH8" s="37">
        <f>E_g!AH8/(rat_weight!AH8/1000)*0.1578</f>
        <v>10.262331081081081</v>
      </c>
      <c r="AI8" s="37">
        <f>E_g!AI8/(rat_weight!AI8/1000)*0.1578</f>
        <v>10.848749999999997</v>
      </c>
      <c r="AJ8" s="37">
        <f>E_g!AJ8/(rat_weight!AJ8/1000)*0.1578</f>
        <v>9.8891554054054112</v>
      </c>
      <c r="AK8" s="37">
        <f>E_g!AK8/(rat_weight!AK8/1000)*0.1578</f>
        <v>9.8091891891891922</v>
      </c>
    </row>
    <row r="9" spans="1:43">
      <c r="A9" s="30">
        <v>8</v>
      </c>
      <c r="B9" s="37">
        <f>E_g!B9/(rat_weight!B9/1000)*0.1578</f>
        <v>7.00027659574467</v>
      </c>
      <c r="C9" s="37">
        <f>E_g!C9/(rat_weight!C9/1000)*0.1578</f>
        <v>5.164055793991416</v>
      </c>
      <c r="D9" s="37">
        <f>E_g!D9/(rat_weight!D9/1000)*0.1578</f>
        <v>5.0315466101694861</v>
      </c>
      <c r="E9" s="37">
        <f>E_g!E9/(rat_weight!E9/1000)*0.1578</f>
        <v>6.652029288702912</v>
      </c>
      <c r="F9" s="37">
        <f>E_g!F9/(rat_weight!F9/1000)*0.1578</f>
        <v>4.8170526315789566</v>
      </c>
      <c r="G9" s="37">
        <f>E_g!G9/(rat_weight!G9/1000)*0.1578</f>
        <v>5.7100824742268177</v>
      </c>
      <c r="H9" s="37">
        <f>E_g!H9/(rat_weight!H9/1000)*0.1578</f>
        <v>5.589425051334711</v>
      </c>
      <c r="I9" s="37">
        <f>E_g!I9/(rat_weight!I9/1000)*0.1578</f>
        <v>4.9755306122449037</v>
      </c>
      <c r="J9" s="37">
        <f>E_g!J9/(rat_weight!J9/1000)*0.1578</f>
        <v>5.1260896130346199</v>
      </c>
      <c r="K9" s="37">
        <f>E_g!K9/(rat_weight!K9/1000)*0.1578</f>
        <v>5.2706477732793608</v>
      </c>
      <c r="L9" s="37">
        <f>E_g!L9/(rat_weight!L9/1000)*0.1578</f>
        <v>4.0964774624374058</v>
      </c>
      <c r="M9" s="37">
        <f>E_g!M9/(rat_weight!M9/1000)*0.1578</f>
        <v>4.8689816700611015</v>
      </c>
      <c r="N9" s="37">
        <f>E_g!N9/(rat_weight!N9/1000)*0.1578</f>
        <v>5.7724055666003986</v>
      </c>
      <c r="O9" s="37">
        <f>E_g!O9/(rat_weight!O9/1000)*0.1578</f>
        <v>4.7685089463220729</v>
      </c>
      <c r="P9" s="37">
        <f>E_g!P9/(rat_weight!P9/1000)*0.1578</f>
        <v>6.3057256461232587</v>
      </c>
      <c r="Q9" s="37">
        <f>E_g!Q9/(rat_weight!Q9/1000)*0.1578</f>
        <v>5.1170097087378688</v>
      </c>
      <c r="R9" s="37">
        <f>E_g!R9/(rat_weight!R9/1000)*0.1578</f>
        <v>5.515339805825251</v>
      </c>
      <c r="S9" s="37">
        <f>E_g!S9/(rat_weight!S9/1000)*0.1578</f>
        <v>5.0097669902912338</v>
      </c>
      <c r="T9" s="37" t="e">
        <f>E_g!T9/(rat_weight!T9/1000)*0.1578</f>
        <v>#VALUE!</v>
      </c>
      <c r="U9" s="37">
        <f>E_g!U9/(rat_weight!U9/1000)*0.1578</f>
        <v>5.1390804597701143</v>
      </c>
      <c r="V9" s="37">
        <f>E_g!V9/(rat_weight!V9/1000)*0.1578</f>
        <v>5.4413793103448445</v>
      </c>
      <c r="W9" s="37">
        <f>E_g!W9/(rat_weight!W9/1000)*0.1578</f>
        <v>5.0826966292134879</v>
      </c>
      <c r="X9" s="37">
        <f>E_g!X9/(rat_weight!X9/1000)*0.1578</f>
        <v>4.1961797752808954</v>
      </c>
      <c r="Y9" s="37">
        <f>E_g!Y9/(rat_weight!Y9/1000)*0.1578</f>
        <v>5.6884831460674077</v>
      </c>
      <c r="Z9" s="37">
        <f>E_g!Z9/(rat_weight!Z9/1000)*0.1578</f>
        <v>5.0637313432835702</v>
      </c>
      <c r="AA9" s="37">
        <f>E_g!AA9/(rat_weight!AA9/1000)*0.1578</f>
        <v>5.3434141791044709</v>
      </c>
      <c r="AB9" s="37">
        <f>E_g!AB9/(rat_weight!AB9/1000)*0.1578</f>
        <v>5.1814925373134306</v>
      </c>
      <c r="AC9" s="37">
        <f>E_g!AC9/(rat_weight!AC9/1000)*0.1578</f>
        <v>5.2453888888888933</v>
      </c>
      <c r="AD9" s="37">
        <f>E_g!AD9/(rat_weight!AD9/1000)*0.1578</f>
        <v>5.6252777777777769</v>
      </c>
      <c r="AE9" s="37">
        <f>E_g!AE9/(rat_weight!AE9/1000)*0.1578</f>
        <v>5.0700555555555615</v>
      </c>
      <c r="AF9" s="37">
        <f>E_g!AF9/(rat_weight!AF9/1000)*0.1578</f>
        <v>5.6983333333333412</v>
      </c>
      <c r="AG9" s="37">
        <f>E_g!AG9/(rat_weight!AG9/1000)*0.1578</f>
        <v>6.2097222222222301</v>
      </c>
      <c r="AH9" s="37">
        <f>E_g!AH9/(rat_weight!AH9/1000)*0.1578</f>
        <v>5.508388888888895</v>
      </c>
      <c r="AI9" s="37">
        <f>E_g!AI9/(rat_weight!AI9/1000)*0.1578</f>
        <v>6.0681272727272733</v>
      </c>
      <c r="AJ9" s="37">
        <f>E_g!AJ9/(rat_weight!AJ9/1000)*0.1578</f>
        <v>5.5516909090909152</v>
      </c>
      <c r="AK9" s="37">
        <f>E_g!AK9/(rat_weight!AK9/1000)*0.1578</f>
        <v>5.250436363636358</v>
      </c>
    </row>
    <row r="10" spans="1:43">
      <c r="A10" s="30">
        <v>9</v>
      </c>
      <c r="B10" s="37">
        <f>E_g!B10/(rat_weight!B10/1000)*0.1578</f>
        <v>0.69882857142857668</v>
      </c>
      <c r="C10" s="37">
        <f>E_g!C10/(rat_weight!C10/1000)*0.1578</f>
        <v>6.6488764044958945E-2</v>
      </c>
      <c r="D10" s="37">
        <f>E_g!D10/(rat_weight!D10/1000)*0.1578</f>
        <v>3.3209322033898379</v>
      </c>
      <c r="E10" s="37">
        <f>E_g!E10/(rat_weight!E10/1000)*0.1578</f>
        <v>0.11336206896550435</v>
      </c>
      <c r="F10" s="37">
        <f>E_g!F10/(rat_weight!F10/1000)*0.1578</f>
        <v>-1.3229928460524343E-14</v>
      </c>
      <c r="G10" s="37">
        <f>E_g!G10/(rat_weight!G10/1000)*0.1578</f>
        <v>0.29730434782608955</v>
      </c>
      <c r="H10" s="37">
        <f>E_g!H10/(rat_weight!H10/1000)*0.1578</f>
        <v>2.3412462908003882E-2</v>
      </c>
      <c r="I10" s="37">
        <f>E_g!I10/(rat_weight!I10/1000)*0.1578</f>
        <v>0.43077586206897323</v>
      </c>
      <c r="J10" s="37">
        <f>E_g!J10/(rat_weight!J10/1000)*0.1578</f>
        <v>0.16635542168673076</v>
      </c>
      <c r="K10" s="37">
        <f>E_g!K10/(rat_weight!K10/1000)*0.1578</f>
        <v>0.35560563380283455</v>
      </c>
      <c r="L10" s="37">
        <f>E_g!L10/(rat_weight!L10/1000)*0.1578</f>
        <v>-2.3002915451887197E-2</v>
      </c>
      <c r="M10" s="37">
        <f>E_g!M10/(rat_weight!M10/1000)*0.1578</f>
        <v>2.1557377049172977E-2</v>
      </c>
      <c r="N10" s="37">
        <f>E_g!N10/(rat_weight!N10/1000)*0.1578</f>
        <v>-8.6942148760313281E-2</v>
      </c>
      <c r="O10" s="37">
        <f>E_g!O10/(rat_weight!O10/1000)*0.1578</f>
        <v>8.6942148760337984E-2</v>
      </c>
      <c r="P10" s="37">
        <f>E_g!P10/(rat_weight!P10/1000)*0.1578</f>
        <v>4.3471074380162816E-2</v>
      </c>
      <c r="Q10" s="37">
        <f>E_g!Q10/(rat_weight!Q10/1000)*0.1578</f>
        <v>0.21266846361187192</v>
      </c>
      <c r="R10" s="37">
        <f>E_g!R10/(rat_weight!R10/1000)*0.1578</f>
        <v>0.12760107816713281</v>
      </c>
      <c r="S10" s="37">
        <f>E_g!S10/(rat_weight!S10/1000)*0.1578</f>
        <v>0.23393530997305068</v>
      </c>
      <c r="T10" s="37" t="e">
        <f>E_g!T10/(rat_weight!T10/1000)*0.1578</f>
        <v>#VALUE!</v>
      </c>
      <c r="U10" s="37">
        <f>E_g!U10/(rat_weight!U10/1000)*0.1578</f>
        <v>0.11954545454545906</v>
      </c>
      <c r="V10" s="37">
        <f>E_g!V10/(rat_weight!V10/1000)*0.1578</f>
        <v>3.9848484848493911E-2</v>
      </c>
      <c r="W10" s="37">
        <f>E_g!W10/(rat_weight!W10/1000)*0.1578</f>
        <v>1.2321914357682595</v>
      </c>
      <c r="X10" s="37">
        <f>E_g!X10/(rat_weight!X10/1000)*0.1578</f>
        <v>-3.9748110831243286E-2</v>
      </c>
      <c r="Y10" s="37">
        <f>E_g!Y10/(rat_weight!Y10/1000)*0.1578</f>
        <v>0.13911838790934022</v>
      </c>
      <c r="Z10" s="37">
        <f>E_g!Z10/(rat_weight!Z10/1000)*0.1578</f>
        <v>-3.8962962962960743E-2</v>
      </c>
      <c r="AA10" s="37">
        <f>E_g!AA10/(rat_weight!AA10/1000)*0.1578</f>
        <v>0.13637037037037922</v>
      </c>
      <c r="AB10" s="37">
        <f>E_g!AB10/(rat_weight!AB10/1000)*0.1578</f>
        <v>0.1558518518518319</v>
      </c>
      <c r="AC10" s="37">
        <f>E_g!AC10/(rat_weight!AC10/1000)*0.1578</f>
        <v>0.13212918660286865</v>
      </c>
      <c r="AD10" s="37">
        <f>E_g!AD10/(rat_weight!AD10/1000)*0.1578</f>
        <v>1.8875598086107236E-2</v>
      </c>
      <c r="AE10" s="37">
        <f>E_g!AE10/(rat_weight!AE10/1000)*0.1578</f>
        <v>0.62289473684209662</v>
      </c>
      <c r="AF10" s="37">
        <f>E_g!AF10/(rat_weight!AF10/1000)*0.1578</f>
        <v>0.15136690647482229</v>
      </c>
      <c r="AG10" s="37">
        <f>E_g!AG10/(rat_weight!AG10/1000)*0.1578</f>
        <v>0.47302158273380224</v>
      </c>
      <c r="AH10" s="37">
        <f>E_g!AH10/(rat_weight!AH10/1000)*0.1578</f>
        <v>-0.13244604316545472</v>
      </c>
      <c r="AI10" s="37">
        <f>E_g!AI10/(rat_weight!AI10/1000)*0.1578</f>
        <v>0.66498861047835778</v>
      </c>
      <c r="AJ10" s="37">
        <f>E_g!AJ10/(rat_weight!AJ10/1000)*0.1578</f>
        <v>8.9863325740318897E-2</v>
      </c>
      <c r="AK10" s="37">
        <f>E_g!AK10/(rat_weight!AK10/1000)*0.1578</f>
        <v>0.28756264236901435</v>
      </c>
    </row>
    <row r="11" spans="1:43">
      <c r="A11" s="30">
        <v>10</v>
      </c>
      <c r="B11" s="37">
        <f>E_g!B11/(rat_weight!B11/1000)*0.1578</f>
        <v>-0.15049046321526863</v>
      </c>
      <c r="C11" s="37">
        <f>E_g!C11/(rat_weight!C11/1000)*0.1578</f>
        <v>-0.18465957446806983</v>
      </c>
      <c r="D11" s="37">
        <f>E_g!D11/(rat_weight!D11/1000)*0.1578</f>
        <v>0.25180851063828835</v>
      </c>
      <c r="E11" s="37">
        <f>E_g!E11/(rat_weight!E11/1000)*0.1578</f>
        <v>1.2379707112970619</v>
      </c>
      <c r="F11" s="37">
        <f>E_g!F11/(rat_weight!F11/1000)*0.1578</f>
        <v>9.4619108610079163E-15</v>
      </c>
      <c r="G11" s="37">
        <f>E_g!G11/(rat_weight!G11/1000)*0.1578</f>
        <v>8.2878151260513622E-2</v>
      </c>
      <c r="H11" s="37">
        <f>E_g!H11/(rat_weight!H11/1000)*0.1578</f>
        <v>1.6335403726702506E-2</v>
      </c>
      <c r="I11" s="37">
        <f>E_g!I11/(rat_weight!I11/1000)*0.1578</f>
        <v>0.20721212121212304</v>
      </c>
      <c r="J11" s="37">
        <f>E_g!J11/(rat_weight!J11/1000)*0.1578</f>
        <v>8.0510204081614342E-2</v>
      </c>
      <c r="K11" s="37">
        <f>E_g!K11/(rat_weight!K11/1000)*0.1578</f>
        <v>8.9519875211931184E-15</v>
      </c>
      <c r="L11" s="37">
        <f>E_g!L11/(rat_weight!L11/1000)*0.1578</f>
        <v>0.14061386138614393</v>
      </c>
      <c r="M11" s="37">
        <f>E_g!M11/(rat_weight!M11/1000)*0.1578</f>
        <v>1.553149606298683E-2</v>
      </c>
      <c r="N11" s="37">
        <f>E_g!N11/(rat_weight!N11/1000)*0.1578</f>
        <v>-3.0820312499998247E-2</v>
      </c>
      <c r="O11" s="37">
        <f>E_g!O11/(rat_weight!O11/1000)*0.1578</f>
        <v>-6.1640624999987736E-2</v>
      </c>
      <c r="P11" s="37">
        <f>E_g!P11/(rat_weight!P11/1000)*0.1578</f>
        <v>6.1640625000005257E-2</v>
      </c>
      <c r="Q11" s="37">
        <f>E_g!Q11/(rat_weight!Q11/1000)*0.1578</f>
        <v>-8.4781583140222148E-15</v>
      </c>
      <c r="R11" s="37">
        <f>E_g!R11/(rat_weight!R11/1000)*0.1578</f>
        <v>8.4781583140222148E-15</v>
      </c>
      <c r="S11" s="37">
        <f>E_g!S11/(rat_weight!S11/1000)*0.1578</f>
        <v>-7.4574669187162504E-2</v>
      </c>
      <c r="T11" s="37" t="e">
        <f>E_g!T11/(rat_weight!T11/1000)*0.1578</f>
        <v>#VALUE!</v>
      </c>
      <c r="U11" s="37">
        <f>E_g!U11/(rat_weight!U11/1000)*0.1578</f>
        <v>8.8156424581008919E-2</v>
      </c>
      <c r="V11" s="37">
        <f>E_g!V11/(rat_weight!V11/1000)*0.1578</f>
        <v>1.6703708559097772E-14</v>
      </c>
      <c r="W11" s="37">
        <f>E_g!W11/(rat_weight!W11/1000)*0.1578</f>
        <v>-2.9168207024027917E-2</v>
      </c>
      <c r="X11" s="37">
        <f>E_g!X11/(rat_weight!X11/1000)*0.1578</f>
        <v>2.9168207024019625E-2</v>
      </c>
      <c r="Y11" s="37">
        <f>E_g!Y11/(rat_weight!Y11/1000)*0.1578</f>
        <v>1.4584103512026393E-2</v>
      </c>
      <c r="Z11" s="37">
        <f>E_g!Z11/(rat_weight!Z11/1000)*0.1578</f>
        <v>0.31733089579524515</v>
      </c>
      <c r="AA11" s="37">
        <f>E_g!AA11/(rat_weight!AA11/1000)*0.1578</f>
        <v>0.15866544789762665</v>
      </c>
      <c r="AB11" s="37">
        <f>E_g!AB11/(rat_weight!AB11/1000)*0.1578</f>
        <v>0.20193784277878193</v>
      </c>
      <c r="AC11" s="37">
        <f>E_g!AC11/(rat_weight!AC11/1000)*0.1578</f>
        <v>0.38453068592057593</v>
      </c>
      <c r="AD11" s="37">
        <f>E_g!AD11/(rat_weight!AD11/1000)*0.1578</f>
        <v>-4.2725631768962775E-2</v>
      </c>
      <c r="AE11" s="37">
        <f>E_g!AE11/(rat_weight!AE11/1000)*0.1578</f>
        <v>7.1209386281588447E-2</v>
      </c>
      <c r="AF11" s="37">
        <f>E_g!AF11/(rat_weight!AF11/1000)*0.1578</f>
        <v>8.5143884892081495E-2</v>
      </c>
      <c r="AG11" s="37">
        <f>E_g!AG11/(rat_weight!AG11/1000)*0.1578</f>
        <v>9.9334532374099102E-2</v>
      </c>
      <c r="AH11" s="37">
        <f>E_g!AH11/(rat_weight!AH11/1000)*0.1578</f>
        <v>-4.2571942446036709E-2</v>
      </c>
      <c r="AI11" s="37">
        <f>E_g!AI11/(rat_weight!AI11/1000)*0.1578</f>
        <v>4.1381118881120449E-2</v>
      </c>
      <c r="AJ11" s="37">
        <f>E_g!AJ11/(rat_weight!AJ11/1000)*0.1578</f>
        <v>-1.3793706293709431E-2</v>
      </c>
      <c r="AK11" s="37">
        <f>E_g!AK11/(rat_weight!AK11/1000)*0.1578</f>
        <v>5.5174825174814202E-2</v>
      </c>
    </row>
    <row r="12" spans="1:43">
      <c r="A12" s="30">
        <v>11</v>
      </c>
      <c r="B12" s="37">
        <f>E_g!B12/(rat_weight!B12/1000)*0.1578</f>
        <v>3.8956874999999886</v>
      </c>
      <c r="C12" s="37">
        <f>E_g!C12/(rat_weight!C12/1000)*0.1578</f>
        <v>6.4775925925926252</v>
      </c>
      <c r="D12" s="37">
        <f>E_g!D12/(rat_weight!D12/1000)*0.1578</f>
        <v>8.6740993788819818</v>
      </c>
      <c r="E12" s="37">
        <f>E_g!E12/(rat_weight!E12/1000)*0.1578</f>
        <v>8.655090909090946</v>
      </c>
      <c r="F12" s="37">
        <f>E_g!F12/(rat_weight!F12/1000)*0.1578</f>
        <v>-0.59547169811320189</v>
      </c>
      <c r="G12" s="37">
        <f>E_g!G12/(rat_weight!G12/1000)*0.1578</f>
        <v>-0.7044642857142589</v>
      </c>
      <c r="H12" s="37">
        <f>E_g!H12/(rat_weight!H12/1000)*0.1578</f>
        <v>-0.70029585798819216</v>
      </c>
      <c r="I12" s="37">
        <f>E_g!I12/(rat_weight!I12/1000)*0.1578</f>
        <v>8.3681818181817906</v>
      </c>
      <c r="J12" s="37">
        <f>E_g!J12/(rat_weight!J12/1000)*0.1578</f>
        <v>-0.53574074074075184</v>
      </c>
      <c r="K12" s="37">
        <f>E_g!K12/(rat_weight!K12/1000)*0.1578</f>
        <v>-0.58085889570551597</v>
      </c>
      <c r="L12" s="37">
        <f>E_g!L12/(rat_weight!L12/1000)*0.1578</f>
        <v>-0.62163636363631469</v>
      </c>
      <c r="M12" s="37">
        <f>E_g!M12/(rat_weight!M12/1000)*0.1578</f>
        <v>9.2289090909090969</v>
      </c>
      <c r="N12" s="37">
        <f>E_g!N12/(rat_weight!N12/1000)*0.1578</f>
        <v>8.310177514792958</v>
      </c>
      <c r="O12" s="37">
        <f>E_g!O12/(rat_weight!O12/1000)*0.1578</f>
        <v>9.7107692307692357</v>
      </c>
      <c r="P12" s="37">
        <f>E_g!P12/(rat_weight!P12/1000)*0.1578</f>
        <v>10.364378698224845</v>
      </c>
      <c r="Q12" s="37">
        <f>E_g!Q12/(rat_weight!Q12/1000)*0.1578</f>
        <v>9.2989285714285757</v>
      </c>
      <c r="R12" s="37">
        <f>E_g!R12/(rat_weight!R12/1000)*0.1578</f>
        <v>9.5807142857143006</v>
      </c>
      <c r="S12" s="37">
        <f>E_g!S12/(rat_weight!S12/1000)*0.1578</f>
        <v>8.5005357142856699</v>
      </c>
      <c r="T12" s="37" t="e">
        <f>E_g!T12/(rat_weight!T12/1000)*0.1578</f>
        <v>#VALUE!</v>
      </c>
      <c r="U12" s="37">
        <f>E_g!U12/(rat_weight!U12/1000)*0.1578</f>
        <v>9.597192982456118</v>
      </c>
      <c r="V12" s="37">
        <f>E_g!V12/(rat_weight!V12/1000)*0.1578</f>
        <v>8.674385964912311</v>
      </c>
      <c r="W12" s="37">
        <f>E_g!W12/(rat_weight!W12/1000)*0.1578</f>
        <v>6.9210526315789727</v>
      </c>
      <c r="X12" s="37">
        <f>E_g!X12/(rat_weight!X12/1000)*0.1578</f>
        <v>8.9512280701754268</v>
      </c>
      <c r="Y12" s="37">
        <f>E_g!Y12/(rat_weight!Y12/1000)*0.1578</f>
        <v>8.9050877192983027</v>
      </c>
      <c r="Z12" s="37">
        <f>E_g!Z12/(rat_weight!Z12/1000)*0.1578</f>
        <v>9.0171428571428311</v>
      </c>
      <c r="AA12" s="37">
        <f>E_g!AA12/(rat_weight!AA12/1000)*0.1578</f>
        <v>6.3570857142857253</v>
      </c>
      <c r="AB12" s="37">
        <f>E_g!AB12/(rat_weight!AB12/1000)*0.1578</f>
        <v>7.9350857142857505</v>
      </c>
      <c r="AC12" s="37">
        <f>E_g!AC12/(rat_weight!AC12/1000)*0.1578</f>
        <v>6.7941666666666913</v>
      </c>
      <c r="AD12" s="37">
        <f>E_g!AD12/(rat_weight!AD12/1000)*0.1578</f>
        <v>7.2324999999999493</v>
      </c>
      <c r="AE12" s="37">
        <f>E_g!AE12/(rat_weight!AE12/1000)*0.1578</f>
        <v>9.5994999999999902</v>
      </c>
      <c r="AF12" s="37">
        <f>E_g!AF12/(rat_weight!AF12/1000)*0.1578</f>
        <v>9.1974857142857296</v>
      </c>
      <c r="AG12" s="37">
        <f>E_g!AG12/(rat_weight!AG12/1000)*0.1578</f>
        <v>8.4310285714285662</v>
      </c>
      <c r="AH12" s="37">
        <f>E_g!AH12/(rat_weight!AH12/1000)*0.1578</f>
        <v>7.0784571428571121</v>
      </c>
      <c r="AI12" s="37">
        <f>E_g!AI12/(rat_weight!AI12/1000)*0.1578</f>
        <v>8.6923728813559062</v>
      </c>
      <c r="AJ12" s="37">
        <f>E_g!AJ12/(rat_weight!AJ12/1000)*0.1578</f>
        <v>8.5140677966101297</v>
      </c>
      <c r="AK12" s="37">
        <f>E_g!AK12/(rat_weight!AK12/1000)*0.1578</f>
        <v>7.3996610169491381</v>
      </c>
    </row>
    <row r="13" spans="1:43">
      <c r="A13" s="30">
        <v>12</v>
      </c>
      <c r="B13" s="37">
        <f>E_g!B13/(rat_weight!B13/1000)*0.1578</f>
        <v>6.036832740213522</v>
      </c>
      <c r="C13" s="37">
        <f>E_g!C13/(rat_weight!C13/1000)*0.1578</f>
        <v>6.1735789473684406</v>
      </c>
      <c r="D13" s="37">
        <f>E_g!D13/(rat_weight!D13/1000)*0.1578</f>
        <v>5.8151211072664397</v>
      </c>
      <c r="E13" s="37">
        <f>E_g!E13/(rat_weight!E13/1000)*0.1578</f>
        <v>7.7357980456025972</v>
      </c>
      <c r="F13" s="37">
        <f>E_g!F13/(rat_weight!F13/1000)*0.1578</f>
        <v>5.3120792079208012</v>
      </c>
      <c r="G13" s="37">
        <f>E_g!G13/(rat_weight!G13/1000)*0.1578</f>
        <v>6.6781372549019702</v>
      </c>
      <c r="H13" s="37">
        <f>E_g!H13/(rat_weight!H13/1000)*0.1578</f>
        <v>7.400098039215683</v>
      </c>
      <c r="I13" s="37">
        <f>E_g!I13/(rat_weight!I13/1000)*0.1578</f>
        <v>5.1298019801980459</v>
      </c>
      <c r="J13" s="37">
        <f>E_g!J13/(rat_weight!J13/1000)*0.1578</f>
        <v>7.4620677966101638</v>
      </c>
      <c r="K13" s="37">
        <f>E_g!K13/(rat_weight!K13/1000)*0.1578</f>
        <v>6.5661744966442992</v>
      </c>
      <c r="L13" s="37">
        <f>E_g!L13/(rat_weight!L13/1000)*0.1578</f>
        <v>6.3278859060402768</v>
      </c>
      <c r="M13" s="37">
        <f>E_g!M13/(rat_weight!M13/1000)*0.1578</f>
        <v>7.3586868686868661</v>
      </c>
      <c r="N13" s="37">
        <f>E_g!N13/(rat_weight!N13/1000)*0.1578</f>
        <v>7.1822591362126342</v>
      </c>
      <c r="O13" s="37">
        <f>E_g!O13/(rat_weight!O13/1000)*0.1578</f>
        <v>5.9764784053156177</v>
      </c>
      <c r="P13" s="37">
        <f>E_g!P13/(rat_weight!P13/1000)*0.1578</f>
        <v>7.44438538205981</v>
      </c>
      <c r="Q13" s="37">
        <f>E_g!Q13/(rat_weight!Q13/1000)*0.1578</f>
        <v>7.660194174757267</v>
      </c>
      <c r="R13" s="37">
        <f>E_g!R13/(rat_weight!R13/1000)*0.1578</f>
        <v>5.9749514563107171</v>
      </c>
      <c r="S13" s="37">
        <f>E_g!S13/(rat_weight!S13/1000)*0.1578</f>
        <v>7.3793203883495382</v>
      </c>
      <c r="T13" s="37" t="e">
        <f>E_g!T13/(rat_weight!T13/1000)*0.1578</f>
        <v>#VALUE!</v>
      </c>
      <c r="U13" s="37">
        <f>E_g!U13/(rat_weight!U13/1000)*0.1578</f>
        <v>7.5404430379746943</v>
      </c>
      <c r="V13" s="37">
        <f>E_g!V13/(rat_weight!V13/1000)*0.1578</f>
        <v>7.2408227848101543</v>
      </c>
      <c r="W13" s="37">
        <f>E_g!W13/(rat_weight!W13/1000)*0.1578</f>
        <v>6.4712933753943354</v>
      </c>
      <c r="X13" s="37">
        <f>E_g!X13/(rat_weight!X13/1000)*0.1578</f>
        <v>6.6704100946372122</v>
      </c>
      <c r="Y13" s="37">
        <f>E_g!Y13/(rat_weight!Y13/1000)*0.1578</f>
        <v>7.5913249211356328</v>
      </c>
      <c r="Z13" s="37">
        <f>E_g!Z13/(rat_weight!Z13/1000)*0.1578</f>
        <v>5.9735015772870517</v>
      </c>
      <c r="AA13" s="37">
        <f>E_g!AA13/(rat_weight!AA13/1000)*0.1578</f>
        <v>7.7406624605678287</v>
      </c>
      <c r="AB13" s="37">
        <f>E_g!AB13/(rat_weight!AB13/1000)*0.1578</f>
        <v>5.8241640378548976</v>
      </c>
      <c r="AC13" s="37">
        <f>E_g!AC13/(rat_weight!AC13/1000)*0.1578</f>
        <v>6.5135514018691731</v>
      </c>
      <c r="AD13" s="37">
        <f>E_g!AD13/(rat_weight!AD13/1000)*0.1578</f>
        <v>5.6286915887850402</v>
      </c>
      <c r="AE13" s="37">
        <f>E_g!AE13/(rat_weight!AE13/1000)*0.1578</f>
        <v>7.5950467289719574</v>
      </c>
      <c r="AF13" s="37">
        <f>E_g!AF13/(rat_weight!AF13/1000)*0.1578</f>
        <v>6.5092500000000078</v>
      </c>
      <c r="AG13" s="37">
        <f>E_g!AG13/(rat_weight!AG13/1000)*0.1578</f>
        <v>7.2242812500000024</v>
      </c>
      <c r="AH13" s="37">
        <f>E_g!AH13/(rat_weight!AH13/1000)*0.1578</f>
        <v>5.991468750000017</v>
      </c>
      <c r="AI13" s="37">
        <f>E_g!AI13/(rat_weight!AI13/1000)*0.1578</f>
        <v>5.2517812500000023</v>
      </c>
      <c r="AJ13" s="37">
        <f>E_g!AJ13/(rat_weight!AJ13/1000)*0.1578</f>
        <v>5.5476562500000002</v>
      </c>
      <c r="AK13" s="37">
        <f>E_g!AK13/(rat_weight!AK13/1000)*0.1578</f>
        <v>6.3119999999999905</v>
      </c>
    </row>
    <row r="14" spans="1:43">
      <c r="A14" s="30">
        <v>13</v>
      </c>
      <c r="B14" s="37">
        <f>E_g!B14/(rat_weight!B14/1000)*0.1578</f>
        <v>5.571075268817216</v>
      </c>
      <c r="C14" s="37">
        <f>E_g!C14/(rat_weight!C14/1000)*0.1578</f>
        <v>8.2067518248175499</v>
      </c>
      <c r="D14" s="37">
        <f>E_g!D14/(rat_weight!D14/1000)*0.1578</f>
        <v>9.8258364312267492</v>
      </c>
      <c r="E14" s="37">
        <f>E_g!E14/(rat_weight!E14/1000)*0.1578</f>
        <v>8.6508214285714242</v>
      </c>
      <c r="F14" s="37">
        <f>E_g!F14/(rat_weight!F14/1000)*0.1578</f>
        <v>7.1989051094890666</v>
      </c>
      <c r="G14" s="37">
        <f>E_g!G14/(rat_weight!G14/1000)*0.1578</f>
        <v>7.8614130434782759</v>
      </c>
      <c r="H14" s="37">
        <f>E_g!H14/(rat_weight!H14/1000)*0.1578</f>
        <v>8.062145454545476</v>
      </c>
      <c r="I14" s="37">
        <f>E_g!I14/(rat_weight!I14/1000)*0.1578</f>
        <v>6.5941970802919796</v>
      </c>
      <c r="J14" s="37">
        <f>E_g!J14/(rat_weight!J14/1000)*0.1578</f>
        <v>5.5511785714285518</v>
      </c>
      <c r="K14" s="37">
        <f>E_g!K14/(rat_weight!K14/1000)*0.1578</f>
        <v>7.692043010752684</v>
      </c>
      <c r="L14" s="37">
        <f>E_g!L14/(rat_weight!L14/1000)*0.1578</f>
        <v>8.3392526690391406</v>
      </c>
      <c r="M14" s="37">
        <f>E_g!M14/(rat_weight!M14/1000)*0.1578</f>
        <v>7.3284341637010568</v>
      </c>
      <c r="N14" s="37">
        <f>E_g!N14/(rat_weight!N14/1000)*0.1578</f>
        <v>8.1122535211267586</v>
      </c>
      <c r="O14" s="37">
        <f>E_g!O14/(rat_weight!O14/1000)*0.1578</f>
        <v>6.0564084507042288</v>
      </c>
      <c r="P14" s="37">
        <f>E_g!P14/(rat_weight!P14/1000)*0.1578</f>
        <v>8.2233802816901314</v>
      </c>
      <c r="Q14" s="37">
        <f>E_g!Q14/(rat_weight!Q14/1000)*0.1578</f>
        <v>8.7062068965517394</v>
      </c>
      <c r="R14" s="37">
        <f>E_g!R14/(rat_weight!R14/1000)*0.1578</f>
        <v>8.4885517241379276</v>
      </c>
      <c r="S14" s="37">
        <f>E_g!S14/(rat_weight!S14/1000)*0.1578</f>
        <v>7.4274827586207088</v>
      </c>
      <c r="T14" s="37" t="e">
        <f>E_g!T14/(rat_weight!T14/1000)*0.1578</f>
        <v>#VALUE!</v>
      </c>
      <c r="U14" s="37">
        <f>E_g!U14/(rat_weight!U14/1000)*0.1578</f>
        <v>9.2633447098976056</v>
      </c>
      <c r="V14" s="37">
        <f>E_g!V14/(rat_weight!V14/1000)*0.1578</f>
        <v>6.5166552901024319</v>
      </c>
      <c r="W14" s="37">
        <f>E_g!W14/(rat_weight!W14/1000)*0.1578</f>
        <v>7.438383838383853</v>
      </c>
      <c r="X14" s="37">
        <f>E_g!X14/(rat_weight!X14/1000)*0.1578</f>
        <v>8.1822222222222099</v>
      </c>
      <c r="Y14" s="37">
        <f>E_g!Y14/(rat_weight!Y14/1000)*0.1578</f>
        <v>8.5275757575757485</v>
      </c>
      <c r="Z14" s="37">
        <f>E_g!Z14/(rat_weight!Z14/1000)*0.1578</f>
        <v>8.1243564356435911</v>
      </c>
      <c r="AA14" s="37">
        <f>E_g!AA14/(rat_weight!AA14/1000)*0.1578</f>
        <v>8.4628712871287419</v>
      </c>
      <c r="AB14" s="37">
        <f>E_g!AB14/(rat_weight!AB14/1000)*0.1578</f>
        <v>8.280594059405944</v>
      </c>
      <c r="AC14" s="37">
        <f>E_g!AC14/(rat_weight!AC14/1000)*0.1578</f>
        <v>7.0854276315789511</v>
      </c>
      <c r="AD14" s="37">
        <f>E_g!AD14/(rat_weight!AD14/1000)*0.1578</f>
        <v>7.2411513157894678</v>
      </c>
      <c r="AE14" s="37">
        <f>E_g!AE14/(rat_weight!AE14/1000)*0.1578</f>
        <v>8.5388486842105209</v>
      </c>
      <c r="AF14" s="37">
        <f>E_g!AF14/(rat_weight!AF14/1000)*0.1578</f>
        <v>8.4332459016393351</v>
      </c>
      <c r="AG14" s="37">
        <f>E_g!AG14/(rat_weight!AG14/1000)*0.1578</f>
        <v>8.4073770491803135</v>
      </c>
      <c r="AH14" s="37">
        <f>E_g!AH14/(rat_weight!AH14/1000)*0.1578</f>
        <v>10.218196721311477</v>
      </c>
      <c r="AI14" s="37">
        <f>E_g!AI14/(rat_weight!AI14/1000)*0.1578</f>
        <v>7.5301954397394173</v>
      </c>
      <c r="AJ14" s="37">
        <f>E_g!AJ14/(rat_weight!AJ14/1000)*0.1578</f>
        <v>8.3526058631921831</v>
      </c>
      <c r="AK14" s="37">
        <f>E_g!AK14/(rat_weight!AK14/1000)*0.1578</f>
        <v>8.3783061889250732</v>
      </c>
    </row>
    <row r="15" spans="1:43">
      <c r="A15" s="30">
        <v>14</v>
      </c>
      <c r="B15" s="37">
        <f>E_g!B15/(rat_weight!B15/1000)*0.1578</f>
        <v>6.0799411764705988</v>
      </c>
      <c r="C15" s="37">
        <f>E_g!C15/(rat_weight!C15/1000)*0.1578</f>
        <v>7.9801714285714489</v>
      </c>
      <c r="D15" s="37">
        <f>E_g!D15/(rat_weight!D15/1000)*0.1578</f>
        <v>7.19382352941179</v>
      </c>
      <c r="E15" s="37">
        <f>E_g!E15/(rat_weight!E15/1000)*0.1578</f>
        <v>8.4794827586206853</v>
      </c>
      <c r="F15" s="37">
        <f>E_g!F15/(rat_weight!F15/1000)*0.1578</f>
        <v>10.194943820224745</v>
      </c>
      <c r="G15" s="37">
        <f>E_g!G15/(rat_weight!G15/1000)*0.1578</f>
        <v>11.151787709497212</v>
      </c>
      <c r="H15" s="37">
        <f>E_g!H15/(rat_weight!H15/1000)*0.1578</f>
        <v>9.2547567567567519</v>
      </c>
      <c r="I15" s="37">
        <f>E_g!I15/(rat_weight!I15/1000)*0.1578</f>
        <v>10.014230769230753</v>
      </c>
      <c r="J15" s="37">
        <f>E_g!J15/(rat_weight!J15/1000)*0.1578</f>
        <v>9.8196195652173817</v>
      </c>
      <c r="K15" s="37">
        <f>E_g!K15/(rat_weight!K15/1000)*0.1578</f>
        <v>9.7238918918918973</v>
      </c>
      <c r="L15" s="37">
        <f>E_g!L15/(rat_weight!L15/1000)*0.1578</f>
        <v>6.7086096256684637</v>
      </c>
      <c r="M15" s="37">
        <f>E_g!M15/(rat_weight!M15/1000)*0.1578</f>
        <v>9.4765760869565554</v>
      </c>
      <c r="N15" s="37">
        <f>E_g!N15/(rat_weight!N15/1000)*0.1578</f>
        <v>9.4680000000000035</v>
      </c>
      <c r="O15" s="37">
        <f>E_g!O15/(rat_weight!O15/1000)*0.1578</f>
        <v>10.298526315789479</v>
      </c>
      <c r="P15" s="37">
        <f>E_g!P15/(rat_weight!P15/1000)*0.1578</f>
        <v>9.4680000000000035</v>
      </c>
      <c r="Q15" s="37">
        <f>E_g!Q15/(rat_weight!Q15/1000)*0.1578</f>
        <v>8.6831746031746064</v>
      </c>
      <c r="R15" s="37">
        <f>E_g!R15/(rat_weight!R15/1000)*0.1578</f>
        <v>8.0987301587302198</v>
      </c>
      <c r="S15" s="37">
        <f>E_g!S15/(rat_weight!S15/1000)*0.1578</f>
        <v>8.8919047619047902</v>
      </c>
      <c r="T15" s="37" t="e">
        <f>E_g!T15/(rat_weight!T15/1000)*0.1578</f>
        <v>#VALUE!</v>
      </c>
      <c r="U15" s="37">
        <f>E_g!U15/(rat_weight!U15/1000)*0.1578</f>
        <v>7.7203225806451812</v>
      </c>
      <c r="V15" s="37">
        <f>E_g!V15/(rat_weight!V15/1000)*0.1578</f>
        <v>11.029032258064516</v>
      </c>
      <c r="W15" s="37">
        <f>E_g!W15/(rat_weight!W15/1000)*0.1578</f>
        <v>8.4713684210526452</v>
      </c>
      <c r="X15" s="37">
        <f>E_g!X15/(rat_weight!X15/1000)*0.1578</f>
        <v>6.3119999999999719</v>
      </c>
      <c r="Y15" s="37">
        <f>E_g!Y15/(rat_weight!Y15/1000)*0.1578</f>
        <v>8.8451052631578992</v>
      </c>
      <c r="Z15" s="37">
        <f>E_g!Z15/(rat_weight!Z15/1000)*0.1578</f>
        <v>9.2390673575129867</v>
      </c>
      <c r="AA15" s="37">
        <f>E_g!AA15/(rat_weight!AA15/1000)*0.1578</f>
        <v>9.6069948186528968</v>
      </c>
      <c r="AB15" s="37">
        <f>E_g!AB15/(rat_weight!AB15/1000)*0.1578</f>
        <v>9.8931606217616519</v>
      </c>
      <c r="AC15" s="37">
        <f>E_g!AC15/(rat_weight!AC15/1000)*0.1578</f>
        <v>10.067968750000022</v>
      </c>
      <c r="AD15" s="37">
        <f>E_g!AD15/(rat_weight!AD15/1000)*0.1578</f>
        <v>10.150156249999972</v>
      </c>
      <c r="AE15" s="37">
        <f>E_g!AE15/(rat_weight!AE15/1000)*0.1578</f>
        <v>9.3282812500000176</v>
      </c>
      <c r="AF15" s="37">
        <f>E_g!AF15/(rat_weight!AF15/1000)*0.1578</f>
        <v>9.3870769230769167</v>
      </c>
      <c r="AG15" s="37">
        <f>E_g!AG15/(rat_weight!AG15/1000)*0.1578</f>
        <v>10.803230769230764</v>
      </c>
      <c r="AH15" s="37">
        <f>E_g!AH15/(rat_weight!AH15/1000)*0.1578</f>
        <v>9.3466153846153937</v>
      </c>
      <c r="AI15" s="37">
        <f>E_g!AI15/(rat_weight!AI15/1000)*0.1578</f>
        <v>11.356818181818159</v>
      </c>
      <c r="AJ15" s="37">
        <f>E_g!AJ15/(rat_weight!AJ15/1000)*0.1578</f>
        <v>9.3643939393939384</v>
      </c>
      <c r="AK15" s="37">
        <f>E_g!AK15/(rat_weight!AK15/1000)*0.1578</f>
        <v>11.396666666666652</v>
      </c>
    </row>
    <row r="16" spans="1:43">
      <c r="A16" s="30">
        <v>15</v>
      </c>
      <c r="B16" s="37">
        <f>E_g!B16/(rat_weight!B16/1000)*0.1578</f>
        <v>0.27916201117318101</v>
      </c>
      <c r="C16" s="37">
        <f>E_g!C16/(rat_weight!C16/1000)*0.1578</f>
        <v>0.86848880597016254</v>
      </c>
      <c r="D16" s="37">
        <f>E_g!D16/(rat_weight!D16/1000)*0.1578</f>
        <v>4.2958257713250264E-2</v>
      </c>
      <c r="E16" s="37">
        <f>E_g!E16/(rat_weight!E16/1000)*0.1578</f>
        <v>0.21715596330276052</v>
      </c>
      <c r="F16" s="37">
        <f>E_g!F16/(rat_weight!F16/1000)*0.1578</f>
        <v>-8.2748076533537866E-15</v>
      </c>
      <c r="G16" s="37">
        <f>E_g!G16/(rat_weight!G16/1000)*0.1578</f>
        <v>7.1338155515378809E-2</v>
      </c>
      <c r="H16" s="37">
        <f>E_g!H16/(rat_weight!H16/1000)*0.1578</f>
        <v>1.4216216216211367E-2</v>
      </c>
      <c r="I16" s="37">
        <f>E_g!I16/(rat_weight!I16/1000)*0.1578</f>
        <v>0.23994633273702878</v>
      </c>
      <c r="J16" s="37">
        <f>E_g!J16/(rat_weight!J16/1000)*0.1578</f>
        <v>0.18316071428570785</v>
      </c>
      <c r="K16" s="37">
        <f>E_g!K16/(rat_weight!K16/1000)*0.1578</f>
        <v>0.27684210526316577</v>
      </c>
      <c r="L16" s="37">
        <f>E_g!L16/(rat_weight!L16/1000)*0.1578</f>
        <v>0.23449300699302111</v>
      </c>
      <c r="M16" s="37">
        <f>E_g!M16/(rat_weight!M16/1000)*0.1578</f>
        <v>7.0825852782756757E-2</v>
      </c>
      <c r="N16" s="37">
        <f>E_g!N16/(rat_weight!N16/1000)*0.1578</f>
        <v>0.24112054329371971</v>
      </c>
      <c r="O16" s="37">
        <f>E_g!O16/(rat_weight!O16/1000)*0.1578</f>
        <v>0.13395585738540661</v>
      </c>
      <c r="P16" s="37">
        <f>E_g!P16/(rat_weight!P16/1000)*0.1578</f>
        <v>5.3582342954164162E-2</v>
      </c>
      <c r="Q16" s="37">
        <f>E_g!Q16/(rat_weight!Q16/1000)*0.1578</f>
        <v>0.23670000000000149</v>
      </c>
      <c r="R16" s="37">
        <f>E_g!R16/(rat_weight!R16/1000)*0.1578</f>
        <v>0.21040000000002543</v>
      </c>
      <c r="S16" s="37">
        <f>E_g!S16/(rat_weight!S16/1000)*0.1578</f>
        <v>6.5749999999985043E-2</v>
      </c>
      <c r="T16" s="37" t="e">
        <f>E_g!T16/(rat_weight!T16/1000)*0.1578</f>
        <v>#VALUE!</v>
      </c>
      <c r="U16" s="37">
        <f>E_g!U16/(rat_weight!U16/1000)*0.1578</f>
        <v>0.13041322314049586</v>
      </c>
      <c r="V16" s="37">
        <f>E_g!V16/(rat_weight!V16/1000)*0.1578</f>
        <v>0.26082644628099172</v>
      </c>
      <c r="W16" s="37">
        <f>E_g!W16/(rat_weight!W16/1000)*0.1578</f>
        <v>0.53448387096774042</v>
      </c>
      <c r="X16" s="37">
        <f>E_g!X16/(rat_weight!X16/1000)*0.1578</f>
        <v>0.15270967741934616</v>
      </c>
      <c r="Y16" s="37">
        <f>E_g!Y16/(rat_weight!Y16/1000)*0.1578</f>
        <v>0.31814516129032977</v>
      </c>
      <c r="Z16" s="37">
        <f>E_g!Z16/(rat_weight!Z16/1000)*0.1578</f>
        <v>0.44174183514774074</v>
      </c>
      <c r="AA16" s="37">
        <f>E_g!AA16/(rat_weight!AA16/1000)*0.1578</f>
        <v>0.18405909797824099</v>
      </c>
      <c r="AB16" s="37">
        <f>E_g!AB16/(rat_weight!AB16/1000)*0.1578</f>
        <v>0.17178849144633548</v>
      </c>
      <c r="AC16" s="37">
        <f>E_g!AC16/(rat_weight!AC16/1000)*0.1578</f>
        <v>0.68446372239748343</v>
      </c>
      <c r="AD16" s="37">
        <f>E_g!AD16/(rat_weight!AD16/1000)*0.1578</f>
        <v>0.41067823343849424</v>
      </c>
      <c r="AE16" s="37">
        <f>E_g!AE16/(rat_weight!AE16/1000)*0.1578</f>
        <v>0.56001577287066251</v>
      </c>
      <c r="AF16" s="37">
        <f>E_g!AF16/(rat_weight!AF16/1000)*0.1578</f>
        <v>0.22542857142857284</v>
      </c>
      <c r="AG16" s="37">
        <f>E_g!AG16/(rat_weight!AG16/1000)*0.1578</f>
        <v>0.48842857142857571</v>
      </c>
      <c r="AH16" s="37">
        <f>E_g!AH16/(rat_weight!AH16/1000)*0.1578</f>
        <v>-3.7571428571437117E-2</v>
      </c>
      <c r="AI16" s="37">
        <f>E_g!AI16/(rat_weight!AI16/1000)*0.1578</f>
        <v>0.55217729393467418</v>
      </c>
      <c r="AJ16" s="37">
        <f>E_g!AJ16/(rat_weight!AJ16/1000)*0.1578</f>
        <v>1.2270606531870643E-2</v>
      </c>
      <c r="AK16" s="37">
        <f>E_g!AK16/(rat_weight!AK16/1000)*0.1578</f>
        <v>0.24541213063764306</v>
      </c>
    </row>
    <row r="17" spans="1:37">
      <c r="A17" s="30">
        <v>16</v>
      </c>
      <c r="B17" s="37">
        <f>E_g!B17/(rat_weight!B17/1000)*0.1578</f>
        <v>5.9174999999991026E-2</v>
      </c>
      <c r="C17" s="37">
        <f>E_g!C17/(rat_weight!C17/1000)*0.1578</f>
        <v>1.7783160621761749</v>
      </c>
      <c r="D17" s="37">
        <f>E_g!D17/(rat_weight!D17/1000)*0.1578</f>
        <v>6.14805194805218E-2</v>
      </c>
      <c r="E17" s="37">
        <f>E_g!E17/(rat_weight!E17/1000)*0.1578</f>
        <v>0.22426356589146593</v>
      </c>
      <c r="F17" s="37">
        <f>E_g!F17/(rat_weight!F17/1000)*0.1578</f>
        <v>-0.23969620253164325</v>
      </c>
      <c r="G17" s="37">
        <f>E_g!G17/(rat_weight!G17/1000)*0.1578</f>
        <v>-2.0984042553184333E-2</v>
      </c>
      <c r="H17" s="37">
        <f>E_g!H17/(rat_weight!H17/1000)*0.1578</f>
        <v>0.87893782383419916</v>
      </c>
      <c r="I17" s="37">
        <f>E_g!I17/(rat_weight!I17/1000)*0.1578</f>
        <v>3.6028316326530447</v>
      </c>
      <c r="J17" s="37">
        <f>E_g!J17/(rat_weight!J17/1000)*0.1578</f>
        <v>-0.21806532663317033</v>
      </c>
      <c r="K17" s="37">
        <f>E_g!K17/(rat_weight!K17/1000)*0.1578</f>
        <v>1.0750364963503802</v>
      </c>
      <c r="L17" s="37">
        <f>E_g!L17/(rat_weight!L17/1000)*0.1578</f>
        <v>5.7312348668304758E-2</v>
      </c>
      <c r="M17" s="37">
        <f>E_g!M17/(rat_weight!M17/1000)*0.1578</f>
        <v>5.7731707317075359E-2</v>
      </c>
      <c r="N17" s="37">
        <f>E_g!N17/(rat_weight!N17/1000)*0.1578</f>
        <v>0.44555294117647692</v>
      </c>
      <c r="O17" s="37">
        <f>E_g!O17/(rat_weight!O17/1000)*0.1578</f>
        <v>0.40842352941176263</v>
      </c>
      <c r="P17" s="37">
        <f>E_g!P17/(rat_weight!P17/1000)*0.1578</f>
        <v>0.29703529411764074</v>
      </c>
      <c r="Q17" s="37">
        <f>E_g!Q17/(rat_weight!Q17/1000)*0.1578</f>
        <v>0.86663615560640939</v>
      </c>
      <c r="R17" s="37">
        <f>E_g!R17/(rat_weight!R17/1000)*0.1578</f>
        <v>0.57775743707095661</v>
      </c>
      <c r="S17" s="37">
        <f>E_g!S17/(rat_weight!S17/1000)*0.1578</f>
        <v>1.4985583524027379</v>
      </c>
      <c r="T17" s="37" t="e">
        <f>E_g!T17/(rat_weight!T17/1000)*0.1578</f>
        <v>#VALUE!</v>
      </c>
      <c r="U17" s="37">
        <f>E_g!U17/(rat_weight!U17/1000)*0.1578</f>
        <v>1.7378854625550659</v>
      </c>
      <c r="V17" s="37">
        <f>E_g!V17/(rat_weight!V17/1000)*0.1578</f>
        <v>0.5908810572687383</v>
      </c>
      <c r="W17" s="37">
        <f>E_g!W17/(rat_weight!W17/1000)*0.1578</f>
        <v>1.1122466960352482</v>
      </c>
      <c r="X17" s="37">
        <f>E_g!X17/(rat_weight!X17/1000)*0.1578</f>
        <v>1.5988546255506488</v>
      </c>
      <c r="Y17" s="37">
        <f>E_g!Y17/(rat_weight!Y17/1000)*0.1578</f>
        <v>1.511960352422925</v>
      </c>
      <c r="Z17" s="37">
        <f>E_g!Z17/(rat_weight!Z17/1000)*0.1578</f>
        <v>1.7458723404255376</v>
      </c>
      <c r="AA17" s="37">
        <f>E_g!AA17/(rat_weight!AA17/1000)*0.1578</f>
        <v>1.997680851063826</v>
      </c>
      <c r="AB17" s="37">
        <f>E_g!AB17/(rat_weight!AB17/1000)*0.1578</f>
        <v>1.6787234042553285</v>
      </c>
      <c r="AC17" s="37">
        <f>E_g!AC17/(rat_weight!AC17/1000)*0.1578</f>
        <v>2.2804430379746816</v>
      </c>
      <c r="AD17" s="37">
        <f>E_g!AD17/(rat_weight!AD17/1000)*0.1578</f>
        <v>1.947531645569609</v>
      </c>
      <c r="AE17" s="37">
        <f>E_g!AE17/(rat_weight!AE17/1000)*0.1578</f>
        <v>2.0806962025316267</v>
      </c>
      <c r="AF17" s="37">
        <f>E_g!AF17/(rat_weight!AF17/1000)*0.1578</f>
        <v>2.6894045174537933</v>
      </c>
      <c r="AG17" s="37">
        <f>E_g!AG17/(rat_weight!AG17/1000)*0.1578</f>
        <v>2.6408008213552381</v>
      </c>
      <c r="AH17" s="37">
        <f>E_g!AH17/(rat_weight!AH17/1000)*0.1578</f>
        <v>2.7380082135523578</v>
      </c>
      <c r="AI17" s="37">
        <f>E_g!AI17/(rat_weight!AI17/1000)*0.1578</f>
        <v>3.2994545454545436</v>
      </c>
      <c r="AJ17" s="37">
        <f>E_g!AJ17/(rat_weight!AJ17/1000)*0.1578</f>
        <v>1.9924242424242424</v>
      </c>
      <c r="AK17" s="37">
        <f>E_g!AK17/(rat_weight!AK17/1000)*0.1578</f>
        <v>2.1677575757575704</v>
      </c>
    </row>
    <row r="18" spans="1:37">
      <c r="A18" s="30">
        <v>17</v>
      </c>
      <c r="B18" s="37">
        <f>E_g!B18/(rat_weight!B18/1000)*0.1578</f>
        <v>4.6761853448275854</v>
      </c>
      <c r="C18" s="37">
        <f>E_g!C18/(rat_weight!C18/1000)*0.1578</f>
        <v>3.9788626609442059</v>
      </c>
      <c r="D18" s="37">
        <f>E_g!D18/(rat_weight!D18/1000)*0.1578</f>
        <v>4.2589032258064456</v>
      </c>
      <c r="E18" s="37">
        <f>E_g!E18/(rat_weight!E18/1000)*0.1578</f>
        <v>2.849624217119</v>
      </c>
      <c r="F18" s="37">
        <f>E_g!F18/(rat_weight!F18/1000)*0.1578</f>
        <v>3.5030290456431588</v>
      </c>
      <c r="G18" s="37">
        <f>E_g!G18/(rat_weight!G18/1000)*0.1578</f>
        <v>3.5193983402489719</v>
      </c>
      <c r="H18" s="37">
        <f>E_g!H18/(rat_weight!H18/1000)*0.1578</f>
        <v>3.7044512195121895</v>
      </c>
      <c r="I18" s="37">
        <f>E_g!I18/(rat_weight!I18/1000)*0.1578</f>
        <v>3.6109475806451594</v>
      </c>
      <c r="J18" s="37">
        <f>E_g!J18/(rat_weight!J18/1000)*0.1578</f>
        <v>3.6575101214574861</v>
      </c>
      <c r="K18" s="37">
        <f>E_g!K18/(rat_weight!K18/1000)*0.1578</f>
        <v>3.2809900990098919</v>
      </c>
      <c r="L18" s="37">
        <f>E_g!L18/(rat_weight!L18/1000)*0.1578</f>
        <v>3.6259763313609659</v>
      </c>
      <c r="M18" s="37">
        <f>E_g!M18/(rat_weight!M18/1000)*0.1578</f>
        <v>4.2173372781065028</v>
      </c>
      <c r="N18" s="37">
        <f>E_g!N18/(rat_weight!N18/1000)*0.1578</f>
        <v>4.4257253384913042</v>
      </c>
      <c r="O18" s="37">
        <f>E_g!O18/(rat_weight!O18/1000)*0.1578</f>
        <v>3.510058027079312</v>
      </c>
      <c r="P18" s="37">
        <f>E_g!P18/(rat_weight!P18/1000)*0.1578</f>
        <v>4.7309477756286178</v>
      </c>
      <c r="Q18" s="37">
        <f>E_g!Q18/(rat_weight!Q18/1000)*0.1578</f>
        <v>4.7700000000000014</v>
      </c>
      <c r="R18" s="37">
        <f>E_g!R18/(rat_weight!R18/1000)*0.1578</f>
        <v>3.3900000000000121</v>
      </c>
      <c r="S18" s="37">
        <f>E_g!S18/(rat_weight!S18/1000)*0.1578</f>
        <v>5.3849999999999794</v>
      </c>
      <c r="T18" s="37" t="e">
        <f>E_g!T18/(rat_weight!T18/1000)*0.1578</f>
        <v>#VALUE!</v>
      </c>
      <c r="U18" s="37">
        <f>E_g!U18/(rat_weight!U18/1000)*0.1578</f>
        <v>5.2501127819548836</v>
      </c>
      <c r="V18" s="37">
        <f>E_g!V18/(rat_weight!V18/1000)*0.1578</f>
        <v>4.4195864661654234</v>
      </c>
      <c r="W18" s="37">
        <f>E_g!W18/(rat_weight!W18/1000)*0.1578</f>
        <v>4.900258780036963</v>
      </c>
      <c r="X18" s="37">
        <f>E_g!X18/(rat_weight!X18/1000)*0.1578</f>
        <v>4.2293900184842874</v>
      </c>
      <c r="Y18" s="37">
        <f>E_g!Y18/(rat_weight!Y18/1000)*0.1578</f>
        <v>5.8773937153419604</v>
      </c>
      <c r="Z18" s="37">
        <f>E_g!Z18/(rat_weight!Z18/1000)*0.1578</f>
        <v>5.9975645756457538</v>
      </c>
      <c r="AA18" s="37">
        <f>E_g!AA18/(rat_weight!AA18/1000)*0.1578</f>
        <v>5.2551476014760183</v>
      </c>
      <c r="AB18" s="37">
        <f>E_g!AB18/(rat_weight!AB18/1000)*0.1578</f>
        <v>5.1241328413284108</v>
      </c>
      <c r="AC18" s="37">
        <f>E_g!AC18/(rat_weight!AC18/1000)*0.1578</f>
        <v>6.3726923076923194</v>
      </c>
      <c r="AD18" s="37">
        <f>E_g!AD18/(rat_weight!AD18/1000)*0.1578</f>
        <v>5.3900549450549375</v>
      </c>
      <c r="AE18" s="37">
        <f>E_g!AE18/(rat_weight!AE18/1000)*0.1578</f>
        <v>4.8120329670329598</v>
      </c>
      <c r="AF18" s="37">
        <f>E_g!AF18/(rat_weight!AF18/1000)*0.1578</f>
        <v>5.4523217550274232</v>
      </c>
      <c r="AG18" s="37">
        <f>E_g!AG18/(rat_weight!AG18/1000)*0.1578</f>
        <v>5.8129250457038406</v>
      </c>
      <c r="AH18" s="37">
        <f>E_g!AH18/(rat_weight!AH18/1000)*0.1578</f>
        <v>6.4187385740402183</v>
      </c>
      <c r="AI18" s="37">
        <f>E_g!AI18/(rat_weight!AI18/1000)*0.1578</f>
        <v>5.2648080438756937</v>
      </c>
      <c r="AJ18" s="37">
        <f>E_g!AJ18/(rat_weight!AJ18/1000)*0.1578</f>
        <v>5.7840767824497119</v>
      </c>
      <c r="AK18" s="37">
        <f>E_g!AK18/(rat_weight!AK18/1000)*0.1578</f>
        <v>6.0869835466179145</v>
      </c>
    </row>
    <row r="19" spans="1:37">
      <c r="A19" s="30">
        <v>18</v>
      </c>
      <c r="B19" s="37">
        <f>E_g!B19/(rat_weight!B19/1000)*0.1578</f>
        <v>7.1811328125000209</v>
      </c>
      <c r="C19" s="37">
        <f>E_g!C19/(rat_weight!C19/1000)*0.1578</f>
        <v>1.6375471698113544</v>
      </c>
      <c r="D19" s="37">
        <f>E_g!D19/(rat_weight!D19/1000)*0.1578</f>
        <v>1.889999999999969</v>
      </c>
      <c r="E19" s="37">
        <f>E_g!E19/(rat_weight!E19/1000)*0.1578</f>
        <v>4.6323863636363463</v>
      </c>
      <c r="F19" s="37">
        <f>E_g!F19/(rat_weight!F19/1000)*0.1578</f>
        <v>-0.35197026022304495</v>
      </c>
      <c r="G19" s="37">
        <f>E_g!G19/(rat_weight!G19/1000)*0.1578</f>
        <v>5.0968248175182769</v>
      </c>
      <c r="H19" s="37">
        <f>E_g!H19/(rat_weight!H19/1000)*0.1578</f>
        <v>9.5434191176470673</v>
      </c>
      <c r="I19" s="37">
        <f>E_g!I19/(rat_weight!I19/1000)*0.1578</f>
        <v>7.3584042553191527</v>
      </c>
      <c r="J19" s="37">
        <f>E_g!J19/(rat_weight!J19/1000)*0.1578</f>
        <v>7.7178545454545384</v>
      </c>
      <c r="K19" s="37">
        <f>E_g!K19/(rat_weight!K19/1000)*0.1578</f>
        <v>8.4311913357400616</v>
      </c>
      <c r="L19" s="37">
        <f>E_g!L19/(rat_weight!L19/1000)*0.1578</f>
        <v>8.1178700361010989</v>
      </c>
      <c r="M19" s="37">
        <f>E_g!M19/(rat_weight!M19/1000)*0.1578</f>
        <v>6.612841726618707</v>
      </c>
      <c r="N19" s="37">
        <f>E_g!N19/(rat_weight!N19/1000)*0.1578</f>
        <v>6.9142049469964704</v>
      </c>
      <c r="O19" s="37">
        <f>E_g!O19/(rat_weight!O19/1000)*0.1578</f>
        <v>7.4160424028268777</v>
      </c>
      <c r="P19" s="37">
        <f>E_g!P19/(rat_weight!P19/1000)*0.1578</f>
        <v>8.6985159010600679</v>
      </c>
      <c r="Q19" s="37">
        <f>E_g!Q19/(rat_weight!Q19/1000)*0.1578</f>
        <v>7.1425263157894765</v>
      </c>
      <c r="R19" s="37">
        <f>E_g!R19/(rat_weight!R19/1000)*0.1578</f>
        <v>6.5334736842105805</v>
      </c>
      <c r="S19" s="37">
        <f>E_g!S19/(rat_weight!S19/1000)*0.1578</f>
        <v>5.8967368421052822</v>
      </c>
      <c r="T19" s="37" t="e">
        <f>E_g!T19/(rat_weight!T19/1000)*0.1578</f>
        <v>#VALUE!</v>
      </c>
      <c r="U19" s="37">
        <f>E_g!U19/(rat_weight!U19/1000)*0.1578</f>
        <v>7.3968749999999996</v>
      </c>
      <c r="V19" s="37">
        <f>E_g!V19/(rat_weight!V19/1000)*0.1578</f>
        <v>7.5612500000000065</v>
      </c>
      <c r="W19" s="37">
        <f>E_g!W19/(rat_weight!W19/1000)*0.1578</f>
        <v>7.0253424657534405</v>
      </c>
      <c r="X19" s="37">
        <f>E_g!X19/(rat_weight!X19/1000)*0.1578</f>
        <v>8.7006164383561462</v>
      </c>
      <c r="Y19" s="37">
        <f>E_g!Y19/(rat_weight!Y19/1000)*0.1578</f>
        <v>5.9175000000000102</v>
      </c>
      <c r="Z19" s="37">
        <f>E_g!Z19/(rat_weight!Z19/1000)*0.1578</f>
        <v>5.0816949152542223</v>
      </c>
      <c r="AA19" s="37">
        <f>E_g!AA19/(rat_weight!AA19/1000)*0.1578</f>
        <v>5.4828813559322036</v>
      </c>
      <c r="AB19" s="37">
        <f>E_g!AB19/(rat_weight!AB19/1000)*0.1578</f>
        <v>5.8840677966101547</v>
      </c>
      <c r="AC19" s="37">
        <f>E_g!AC19/(rat_weight!AC19/1000)*0.1578</f>
        <v>8.4705351170568779</v>
      </c>
      <c r="AD19" s="37">
        <f>E_g!AD19/(rat_weight!AD19/1000)*0.1578</f>
        <v>7.3622408026755792</v>
      </c>
      <c r="AE19" s="37">
        <f>E_g!AE19/(rat_weight!AE19/1000)*0.1578</f>
        <v>6.517826086956533</v>
      </c>
      <c r="AF19" s="37">
        <f>E_g!AF19/(rat_weight!AF19/1000)*0.1578</f>
        <v>8.3947474747474651</v>
      </c>
      <c r="AG19" s="37">
        <f>E_g!AG19/(rat_weight!AG19/1000)*0.1578</f>
        <v>9.8558585858586074</v>
      </c>
      <c r="AH19" s="37">
        <f>E_g!AH19/(rat_weight!AH19/1000)*0.1578</f>
        <v>6.6679797979797746</v>
      </c>
      <c r="AI19" s="37">
        <f>E_g!AI19/(rat_weight!AI19/1000)*0.1578</f>
        <v>9.7773089700996714</v>
      </c>
      <c r="AJ19" s="37">
        <f>E_g!AJ19/(rat_weight!AJ19/1000)*0.1578</f>
        <v>9.4103322259136153</v>
      </c>
      <c r="AK19" s="37">
        <f>E_g!AK19/(rat_weight!AK19/1000)*0.1578</f>
        <v>7.6540863787375386</v>
      </c>
    </row>
    <row r="20" spans="1:37">
      <c r="A20" s="30">
        <v>19</v>
      </c>
      <c r="B20" s="37">
        <f>E_g!B20/(rat_weight!B20/1000)*0.1578</f>
        <v>0.49607784431135571</v>
      </c>
      <c r="C20" s="37">
        <f>E_g!C20/(rat_weight!C20/1000)*0.1578</f>
        <v>1.9307854984894313</v>
      </c>
      <c r="D20" s="37">
        <f>E_g!D20/(rat_weight!D20/1000)*0.1578</f>
        <v>0.12101226993866405</v>
      </c>
      <c r="E20" s="37">
        <f>E_g!E20/(rat_weight!E20/1000)*0.1578</f>
        <v>1.4063746223565035</v>
      </c>
      <c r="F20" s="37">
        <f>E_g!F20/(rat_weight!F20/1000)*0.1578</f>
        <v>-0.27765395894427886</v>
      </c>
      <c r="G20" s="37">
        <f>E_g!G20/(rat_weight!G20/1000)*0.1578</f>
        <v>0.68711711711712509</v>
      </c>
      <c r="H20" s="37">
        <f>E_g!H20/(rat_weight!H20/1000)*0.1578</f>
        <v>2.5842608695652203</v>
      </c>
      <c r="I20" s="37">
        <f>E_g!I20/(rat_weight!I20/1000)*0.1578</f>
        <v>1.1337536656891574</v>
      </c>
      <c r="J20" s="37">
        <f>E_g!J20/(rat_weight!J20/1000)*0.1578</f>
        <v>1.831203438395395</v>
      </c>
      <c r="K20" s="37">
        <f>E_g!K20/(rat_weight!K20/1000)*0.1578</f>
        <v>1.7035227272727451</v>
      </c>
      <c r="L20" s="37">
        <f>E_g!L20/(rat_weight!L20/1000)*0.1578</f>
        <v>0.84129682997120492</v>
      </c>
      <c r="M20" s="37">
        <f>E_g!M20/(rat_weight!M20/1000)*0.1578</f>
        <v>0.46805084745761955</v>
      </c>
      <c r="N20" s="37">
        <f>E_g!N20/(rat_weight!N20/1000)*0.1578</f>
        <v>0.93610169491527706</v>
      </c>
      <c r="O20" s="37">
        <f>E_g!O20/(rat_weight!O20/1000)*0.1578</f>
        <v>1.0252542372881532</v>
      </c>
      <c r="P20" s="37">
        <f>E_g!P20/(rat_weight!P20/1000)*0.1578</f>
        <v>1.2927118644067823</v>
      </c>
      <c r="Q20" s="37">
        <f>E_g!Q20/(rat_weight!Q20/1000)*0.1578</f>
        <v>2.4508446866485087</v>
      </c>
      <c r="R20" s="37">
        <f>E_g!R20/(rat_weight!R20/1000)*0.1578</f>
        <v>2.7948228882833663</v>
      </c>
      <c r="S20" s="37">
        <f>E_g!S20/(rat_weight!S20/1000)*0.1578</f>
        <v>2.9453133514986476</v>
      </c>
      <c r="T20" s="37" t="e">
        <f>E_g!T20/(rat_weight!T20/1000)*0.1578</f>
        <v>#VALUE!</v>
      </c>
      <c r="U20" s="37">
        <f>E_g!U20/(rat_weight!U20/1000)*0.1578</f>
        <v>1.5230026809651329</v>
      </c>
      <c r="V20" s="37">
        <f>E_g!V20/(rat_weight!V20/1000)*0.1578</f>
        <v>1.9883646112600728</v>
      </c>
      <c r="W20" s="37">
        <f>E_g!W20/(rat_weight!W20/1000)*0.1578</f>
        <v>1.5395121951219488</v>
      </c>
      <c r="X20" s="37">
        <f>E_g!X20/(rat_weight!X20/1000)*0.1578</f>
        <v>2.1382113821137967</v>
      </c>
      <c r="Y20" s="37">
        <f>E_g!Y20/(rat_weight!Y20/1000)*0.1578</f>
        <v>1.6464227642276399</v>
      </c>
      <c r="Z20" s="37">
        <f>E_g!Z20/(rat_weight!Z20/1000)*0.1578</f>
        <v>1.4910236220472417</v>
      </c>
      <c r="AA20" s="37">
        <f>E_g!AA20/(rat_weight!AA20/1000)*0.1578</f>
        <v>1.1803937007873875</v>
      </c>
      <c r="AB20" s="37">
        <f>E_g!AB20/(rat_weight!AB20/1000)*0.1578</f>
        <v>0.99401574803149828</v>
      </c>
      <c r="AC20" s="37">
        <f>E_g!AC20/(rat_weight!AC20/1000)*0.1578</f>
        <v>2.9229792746114009</v>
      </c>
      <c r="AD20" s="37">
        <f>E_g!AD20/(rat_weight!AD20/1000)*0.1578</f>
        <v>3.0865025906735797</v>
      </c>
      <c r="AE20" s="37">
        <f>E_g!AE20/(rat_weight!AE20/1000)*0.1578</f>
        <v>2.6368134715025859</v>
      </c>
      <c r="AF20" s="37">
        <f>E_g!AF20/(rat_weight!AF20/1000)*0.1578</f>
        <v>3.1975263157894802</v>
      </c>
      <c r="AG20" s="37">
        <f>E_g!AG20/(rat_weight!AG20/1000)*0.1578</f>
        <v>2.9276052631578877</v>
      </c>
      <c r="AH20" s="37">
        <f>E_g!AH20/(rat_weight!AH20/1000)*0.1578</f>
        <v>1.9724999999999999</v>
      </c>
      <c r="AI20" s="37">
        <f>E_g!AI20/(rat_weight!AI20/1000)*0.1578</f>
        <v>1.4503676470588125</v>
      </c>
      <c r="AJ20" s="37">
        <f>E_g!AJ20/(rat_weight!AJ20/1000)*0.1578</f>
        <v>1.0636029411764705</v>
      </c>
      <c r="AK20" s="37">
        <f>E_g!AK20/(rat_weight!AK20/1000)*0.1578</f>
        <v>0.812205882352939</v>
      </c>
    </row>
    <row r="21" spans="1:37">
      <c r="A21" s="30">
        <v>20</v>
      </c>
      <c r="B21" s="37">
        <f>E_g!B21/(rat_weight!B21/1000)*0.1578</f>
        <v>0.19547297297295682</v>
      </c>
      <c r="C21" s="37">
        <f>E_g!C21/(rat_weight!C21/1000)*0.1578</f>
        <v>0.5062168141592881</v>
      </c>
      <c r="D21" s="37">
        <f>E_g!D21/(rat_weight!D21/1000)*0.1578</f>
        <v>5.2483370288250321E-2</v>
      </c>
      <c r="E21" s="37">
        <f>E_g!E21/(rat_weight!E21/1000)*0.1578</f>
        <v>0.15640969162996188</v>
      </c>
      <c r="F21" s="37">
        <f>E_g!F21/(rat_weight!F21/1000)*0.1578</f>
        <v>-6.9210526315775692E-2</v>
      </c>
      <c r="G21" s="37">
        <f>E_g!G21/(rat_weight!G21/1000)*0.1578</f>
        <v>8.3936170212775496E-2</v>
      </c>
      <c r="H21" s="37">
        <f>E_g!H21/(rat_weight!H21/1000)*0.1578</f>
        <v>0.18348837209303653</v>
      </c>
      <c r="I21" s="37">
        <f>E_g!I21/(rat_weight!I21/1000)*0.1578</f>
        <v>0.61458947368420869</v>
      </c>
      <c r="J21" s="37">
        <f>E_g!J21/(rat_weight!J21/1000)*0.1578</f>
        <v>0.14886792452829814</v>
      </c>
      <c r="K21" s="37">
        <f>E_g!K21/(rat_weight!K21/1000)*0.1578</f>
        <v>-3.2670807453414295E-2</v>
      </c>
      <c r="L21" s="37">
        <f>E_g!L21/(rat_weight!L21/1000)*0.1578</f>
        <v>4.8703703703724004E-2</v>
      </c>
      <c r="M21" s="37">
        <f>E_g!M21/(rat_weight!M21/1000)*0.1578</f>
        <v>-1.6134969325147869E-2</v>
      </c>
      <c r="N21" s="37">
        <f>E_g!N21/(rat_weight!N21/1000)*0.1578</f>
        <v>-3.143426294820538E-2</v>
      </c>
      <c r="O21" s="37">
        <f>E_g!O21/(rat_weight!O21/1000)*0.1578</f>
        <v>-6.2868525896401822E-2</v>
      </c>
      <c r="P21" s="37">
        <f>E_g!P21/(rat_weight!P21/1000)*0.1578</f>
        <v>-8.93415487672859E-15</v>
      </c>
      <c r="Q21" s="37">
        <f>E_g!Q21/(rat_weight!Q21/1000)*0.1578</f>
        <v>8.7086325206169949E-15</v>
      </c>
      <c r="R21" s="37">
        <f>E_g!R21/(rat_weight!R21/1000)*0.1578</f>
        <v>3.0640776699027383E-2</v>
      </c>
      <c r="S21" s="37">
        <f>E_g!S21/(rat_weight!S21/1000)*0.1578</f>
        <v>-0.1072427184466089</v>
      </c>
      <c r="T21" s="37" t="e">
        <f>E_g!T21/(rat_weight!T21/1000)*0.1578</f>
        <v>#VALUE!</v>
      </c>
      <c r="U21" s="37">
        <f>E_g!U21/(rat_weight!U21/1000)*0.1578</f>
        <v>2.9943074003801872E-2</v>
      </c>
      <c r="V21" s="37">
        <f>E_g!V21/(rat_weight!V21/1000)*0.1578</f>
        <v>0</v>
      </c>
      <c r="W21" s="37">
        <f>E_g!W21/(rat_weight!W21/1000)*0.1578</f>
        <v>-5.9435028248575744E-2</v>
      </c>
      <c r="X21" s="37">
        <f>E_g!X21/(rat_weight!X21/1000)*0.1578</f>
        <v>8.9152542372867835E-2</v>
      </c>
      <c r="Y21" s="37">
        <f>E_g!Y21/(rat_weight!Y21/1000)*0.1578</f>
        <v>7.4293785310742905E-2</v>
      </c>
      <c r="Z21" s="37">
        <f>E_g!Z21/(rat_weight!Z21/1000)*0.1578</f>
        <v>5.7908256880738876E-2</v>
      </c>
      <c r="AA21" s="37">
        <f>E_g!AA21/(rat_weight!AA21/1000)*0.1578</f>
        <v>0.24611009174312581</v>
      </c>
      <c r="AB21" s="37">
        <f>E_g!AB21/(rat_weight!AB21/1000)*0.1578</f>
        <v>0.11581651376146952</v>
      </c>
      <c r="AC21" s="37">
        <f>E_g!AC21/(rat_weight!AC21/1000)*0.1578</f>
        <v>0.21557377049181142</v>
      </c>
      <c r="AD21" s="37">
        <f>E_g!AD21/(rat_weight!AD21/1000)*0.1578</f>
        <v>7.1857923497267759E-2</v>
      </c>
      <c r="AE21" s="37">
        <f>E_g!AE21/(rat_weight!AE21/1000)*0.1578</f>
        <v>0.10060109289616505</v>
      </c>
      <c r="AF21" s="37">
        <f>E_g!AF21/(rat_weight!AF21/1000)*0.1578</f>
        <v>2.8432432432446975E-2</v>
      </c>
      <c r="AG21" s="37">
        <f>E_g!AG21/(rat_weight!AG21/1000)*0.1578</f>
        <v>9.9513513513511884E-2</v>
      </c>
      <c r="AH21" s="37">
        <f>E_g!AH21/(rat_weight!AH21/1000)*0.1578</f>
        <v>-9.9513513513519974E-2</v>
      </c>
      <c r="AI21" s="37">
        <f>E_g!AI21/(rat_weight!AI21/1000)*0.1578</f>
        <v>9.7752212389378951E-2</v>
      </c>
      <c r="AJ21" s="37">
        <f>E_g!AJ21/(rat_weight!AJ21/1000)*0.1578</f>
        <v>6.9823008849541651E-2</v>
      </c>
      <c r="AK21" s="37">
        <f>E_g!AK21/(rat_weight!AK21/1000)*0.1578</f>
        <v>-5.5858407079650778E-2</v>
      </c>
    </row>
    <row r="22" spans="1:37">
      <c r="A22" s="30">
        <v>21</v>
      </c>
      <c r="B22" s="37" t="e">
        <f>E_g!B22/(rat_weight!B22/1000)*0.1578</f>
        <v>#VALUE!</v>
      </c>
      <c r="C22" s="37">
        <f>E_g!C22/(rat_weight!C22/1000)*0.1578</f>
        <v>5.751144578313264</v>
      </c>
      <c r="D22" s="37">
        <f>E_g!D22/(rat_weight!D22/1000)*0.1578</f>
        <v>7.1683536585365459</v>
      </c>
      <c r="E22" s="37">
        <f>E_g!E22/(rat_weight!E22/1000)*0.1578</f>
        <v>7.4673214285714433</v>
      </c>
      <c r="F22" s="37">
        <f>E_g!F22/(rat_weight!F22/1000)*0.1578</f>
        <v>-0.56694610778442567</v>
      </c>
      <c r="G22" s="37">
        <f>E_g!G22/(rat_weight!G22/1000)*0.1578</f>
        <v>8.8422413793103711</v>
      </c>
      <c r="H22" s="37">
        <f>E_g!H22/(rat_weight!H22/1000)*0.1578</f>
        <v>-0.59289017341040984</v>
      </c>
      <c r="I22" s="37">
        <f>E_g!I22/(rat_weight!I22/1000)*0.1578</f>
        <v>6.5002840909091164</v>
      </c>
      <c r="J22" s="37">
        <f>E_g!J22/(rat_weight!J22/1000)*0.1578</f>
        <v>6.8079428571428675</v>
      </c>
      <c r="K22" s="37">
        <f>E_g!K22/(rat_weight!K22/1000)*0.1578</f>
        <v>8.4219101123595763</v>
      </c>
      <c r="L22" s="37">
        <f>E_g!L22/(rat_weight!L22/1000)*0.1578</f>
        <v>6.0177966101695173</v>
      </c>
      <c r="M22" s="37">
        <f>E_g!M22/(rat_weight!M22/1000)*0.1578</f>
        <v>8.3831249999999962</v>
      </c>
      <c r="N22" s="37">
        <f>E_g!N22/(rat_weight!N22/1000)*0.1578</f>
        <v>7.8003409090909246</v>
      </c>
      <c r="O22" s="37">
        <f>E_g!O22/(rat_weight!O22/1000)*0.1578</f>
        <v>8.2486363636363791</v>
      </c>
      <c r="P22" s="37">
        <f>E_g!P22/(rat_weight!P22/1000)*0.1578</f>
        <v>9.5038636363636311</v>
      </c>
      <c r="Q22" s="37">
        <f>E_g!Q22/(rat_weight!Q22/1000)*0.1578</f>
        <v>10.344666666666651</v>
      </c>
      <c r="R22" s="37">
        <f>E_g!R22/(rat_weight!R22/1000)*0.1578</f>
        <v>8.6790000000000056</v>
      </c>
      <c r="S22" s="37">
        <f>E_g!S22/(rat_weight!S22/1000)*0.1578</f>
        <v>9.4241666666666664</v>
      </c>
      <c r="T22" s="37" t="e">
        <f>E_g!T22/(rat_weight!T22/1000)*0.1578</f>
        <v>#VALUE!</v>
      </c>
      <c r="U22" s="37">
        <f>E_g!U22/(rat_weight!U22/1000)*0.1578</f>
        <v>8.4969230769230872</v>
      </c>
      <c r="V22" s="37">
        <f>E_g!V22/(rat_weight!V22/1000)*0.1578</f>
        <v>9.537362637362687</v>
      </c>
      <c r="W22" s="37">
        <f>E_g!W22/(rat_weight!W22/1000)*0.1578</f>
        <v>8.5105617977528034</v>
      </c>
      <c r="X22" s="37">
        <f>E_g!X22/(rat_weight!X22/1000)*0.1578</f>
        <v>11.879325842696609</v>
      </c>
      <c r="Y22" s="37">
        <f>E_g!Y22/(rat_weight!Y22/1000)*0.1578</f>
        <v>9.2641011235955215</v>
      </c>
      <c r="Z22" s="37">
        <f>E_g!Z22/(rat_weight!Z22/1000)*0.1578</f>
        <v>8.7091803278688467</v>
      </c>
      <c r="AA22" s="37">
        <f>E_g!AA22/(rat_weight!AA22/1000)*0.1578</f>
        <v>9.6145901639344054</v>
      </c>
      <c r="AB22" s="37">
        <f>E_g!AB22/(rat_weight!AB22/1000)*0.1578</f>
        <v>9.3127868852458864</v>
      </c>
      <c r="AC22" s="37">
        <f>E_g!AC22/(rat_weight!AC22/1000)*0.1578</f>
        <v>9.4253513513513845</v>
      </c>
      <c r="AD22" s="37">
        <f>E_g!AD22/(rat_weight!AD22/1000)*0.1578</f>
        <v>9.5106486486486279</v>
      </c>
      <c r="AE22" s="37">
        <f>E_g!AE22/(rat_weight!AE22/1000)*0.1578</f>
        <v>8.4017837837837543</v>
      </c>
      <c r="AF22" s="37">
        <f>E_g!AF22/(rat_weight!AF22/1000)*0.1578</f>
        <v>9.5867741935484219</v>
      </c>
      <c r="AG22" s="37">
        <f>E_g!AG22/(rat_weight!AG22/1000)*0.1578</f>
        <v>10.986612903225772</v>
      </c>
      <c r="AH22" s="37">
        <f>E_g!AH22/(rat_weight!AH22/1000)*0.1578</f>
        <v>10.053387096774212</v>
      </c>
      <c r="AI22" s="37">
        <f>E_g!AI22/(rat_weight!AI22/1000)*0.1578</f>
        <v>9.9595081967212966</v>
      </c>
      <c r="AJ22" s="37">
        <f>E_g!AJ22/(rat_weight!AJ22/1000)*0.1578</f>
        <v>10.994262295081917</v>
      </c>
      <c r="AK22" s="37">
        <f>E_g!AK22/(rat_weight!AK22/1000)*0.1578</f>
        <v>11.209836065573795</v>
      </c>
    </row>
    <row r="23" spans="1:37">
      <c r="A23" s="30">
        <v>22</v>
      </c>
      <c r="B23" s="37">
        <f>E_g!B23/(rat_weight!B23/1000)*0.1578</f>
        <v>5.3847810218977905</v>
      </c>
      <c r="C23" s="37">
        <f>E_g!C23/(rat_weight!C23/1000)*0.1578</f>
        <v>6.990772058823568</v>
      </c>
      <c r="D23" s="37">
        <f>E_g!D23/(rat_weight!D23/1000)*0.1578</f>
        <v>7.6327173913043431</v>
      </c>
      <c r="E23" s="37">
        <f>E_g!E23/(rat_weight!E23/1000)*0.1578</f>
        <v>7.4940860215053595</v>
      </c>
      <c r="F23" s="37">
        <f>E_g!F23/(rat_weight!F23/1000)*0.1578</f>
        <v>9.5928776978417289</v>
      </c>
      <c r="G23" s="37">
        <f>E_g!G23/(rat_weight!G23/1000)*0.1578</f>
        <v>8.1146263345195813</v>
      </c>
      <c r="H23" s="37">
        <f>E_g!H23/(rat_weight!H23/1000)*0.1578</f>
        <v>6.973204225352104</v>
      </c>
      <c r="I23" s="37">
        <f>E_g!I23/(rat_weight!I23/1000)*0.1578</f>
        <v>6.2172084805653745</v>
      </c>
      <c r="J23" s="37">
        <f>E_g!J23/(rat_weight!J23/1000)*0.1578</f>
        <v>7.7768817204301071</v>
      </c>
      <c r="K23" s="37">
        <f>E_g!K23/(rat_weight!K23/1000)*0.1578</f>
        <v>6.5796466431095633</v>
      </c>
      <c r="L23" s="37">
        <f>E_g!L23/(rat_weight!L23/1000)*0.1578</f>
        <v>7.4177112676056316</v>
      </c>
      <c r="M23" s="37">
        <f>E_g!M23/(rat_weight!M23/1000)*0.1578</f>
        <v>7.306584507042257</v>
      </c>
      <c r="N23" s="37">
        <f>E_g!N23/(rat_weight!N23/1000)*0.1578</f>
        <v>7.6693006993007034</v>
      </c>
      <c r="O23" s="37">
        <f>E_g!O23/(rat_weight!O23/1000)*0.1578</f>
        <v>6.1795804195804296</v>
      </c>
      <c r="P23" s="37">
        <f>E_g!P23/(rat_weight!P23/1000)*0.1578</f>
        <v>7.0072027972028073</v>
      </c>
      <c r="Q23" s="37">
        <f>E_g!Q23/(rat_weight!Q23/1000)*0.1578</f>
        <v>6.0608304498269865</v>
      </c>
      <c r="R23" s="37">
        <f>E_g!R23/(rat_weight!R23/1000)*0.1578</f>
        <v>6.8798615916955299</v>
      </c>
      <c r="S23" s="37">
        <f>E_g!S23/(rat_weight!S23/1000)*0.1578</f>
        <v>7.7807958477508343</v>
      </c>
      <c r="T23" s="37" t="e">
        <f>E_g!T23/(rat_weight!T23/1000)*0.1578</f>
        <v>#VALUE!</v>
      </c>
      <c r="U23" s="37">
        <f>E_g!U23/(rat_weight!U23/1000)*0.1578</f>
        <v>7.0552218430033946</v>
      </c>
      <c r="V23" s="37">
        <f>E_g!V23/(rat_weight!V23/1000)*0.1578</f>
        <v>6.6782252559727153</v>
      </c>
      <c r="W23" s="37">
        <f>E_g!W23/(rat_weight!W23/1000)*0.1578</f>
        <v>8.8197979797979773</v>
      </c>
      <c r="X23" s="37">
        <f>E_g!X23/(rat_weight!X23/1000)*0.1578</f>
        <v>6.6945454545454357</v>
      </c>
      <c r="Y23" s="37">
        <f>E_g!Y23/(rat_weight!Y23/1000)*0.1578</f>
        <v>8.3681818181818333</v>
      </c>
      <c r="Z23" s="37">
        <f>E_g!Z23/(rat_weight!Z23/1000)*0.1578</f>
        <v>6.2067999999999914</v>
      </c>
      <c r="AA23" s="37">
        <f>E_g!AA23/(rat_weight!AA23/1000)*0.1578</f>
        <v>6.9695000000000293</v>
      </c>
      <c r="AB23" s="37">
        <f>E_g!AB23/(rat_weight!AB23/1000)*0.1578</f>
        <v>7.1535999999999964</v>
      </c>
      <c r="AC23" s="37">
        <f>E_g!AC23/(rat_weight!AC23/1000)*0.1578</f>
        <v>6.9695000000000151</v>
      </c>
      <c r="AD23" s="37">
        <f>E_g!AD23/(rat_weight!AD23/1000)*0.1578</f>
        <v>6.8643000000000063</v>
      </c>
      <c r="AE23" s="37">
        <f>E_g!AE23/(rat_weight!AE23/1000)*0.1578</f>
        <v>8.1792999999999765</v>
      </c>
      <c r="AF23" s="37">
        <f>E_g!AF23/(rat_weight!AF23/1000)*0.1578</f>
        <v>7.315231788079485</v>
      </c>
      <c r="AG23" s="37">
        <f>E_g!AG23/(rat_weight!AG23/1000)*0.1578</f>
        <v>8.2818874172185399</v>
      </c>
      <c r="AH23" s="37">
        <f>E_g!AH23/(rat_weight!AH23/1000)*0.1578</f>
        <v>7.6548675496688627</v>
      </c>
      <c r="AI23" s="37">
        <f>E_g!AI23/(rat_weight!AI23/1000)*0.1578</f>
        <v>6.8105863192182561</v>
      </c>
      <c r="AJ23" s="37">
        <f>E_g!AJ23/(rat_weight!AJ23/1000)*0.1578</f>
        <v>7.8899999999999819</v>
      </c>
      <c r="AK23" s="37">
        <f>E_g!AK23/(rat_weight!AK23/1000)*0.1578</f>
        <v>8.0185016286644917</v>
      </c>
    </row>
    <row r="24" spans="1:37">
      <c r="A24" s="30">
        <v>23</v>
      </c>
      <c r="B24" s="37">
        <f>E_g!B24/(rat_weight!B24/1000)*0.1578</f>
        <v>2.2765612648221203</v>
      </c>
      <c r="C24" s="37">
        <f>E_g!C24/(rat_weight!C24/1000)*0.1578</f>
        <v>3.284941634241259</v>
      </c>
      <c r="D24" s="37">
        <f>E_g!D24/(rat_weight!D24/1000)*0.1578</f>
        <v>3.9753461538461781</v>
      </c>
      <c r="E24" s="37">
        <f>E_g!E24/(rat_weight!E24/1000)*0.1578</f>
        <v>6.0157471264367572</v>
      </c>
      <c r="F24" s="37">
        <f>E_g!F24/(rat_weight!F24/1000)*0.1578</f>
        <v>-0.42484615384616414</v>
      </c>
      <c r="G24" s="37">
        <f>E_g!G24/(rat_weight!G24/1000)*0.1578</f>
        <v>7.4924418604651333</v>
      </c>
      <c r="H24" s="37">
        <f>E_g!H24/(rat_weight!H24/1000)*0.1578</f>
        <v>6.8518421052631471</v>
      </c>
      <c r="I24" s="37">
        <f>E_g!I24/(rat_weight!I24/1000)*0.1578</f>
        <v>3.0210780669145012</v>
      </c>
      <c r="J24" s="37">
        <f>E_g!J24/(rat_weight!J24/1000)*0.1578</f>
        <v>5.1915613382899428</v>
      </c>
      <c r="K24" s="37">
        <f>E_g!K24/(rat_weight!K24/1000)*0.1578</f>
        <v>5.961333333333342</v>
      </c>
      <c r="L24" s="37">
        <f>E_g!L24/(rat_weight!L24/1000)*0.1578</f>
        <v>5.0342910447761424</v>
      </c>
      <c r="M24" s="37">
        <f>E_g!M24/(rat_weight!M24/1000)*0.1578</f>
        <v>5.7355350553505504</v>
      </c>
      <c r="N24" s="37">
        <f>E_g!N24/(rat_weight!N24/1000)*0.1578</f>
        <v>6.2094584837545153</v>
      </c>
      <c r="O24" s="37">
        <f>E_g!O24/(rat_weight!O24/1000)*0.1578</f>
        <v>7.2918411552346463</v>
      </c>
      <c r="P24" s="37">
        <f>E_g!P24/(rat_weight!P24/1000)*0.1578</f>
        <v>6.3233935018050493</v>
      </c>
      <c r="Q24" s="37">
        <f>E_g!Q24/(rat_weight!Q24/1000)*0.1578</f>
        <v>8.0051824817518273</v>
      </c>
      <c r="R24" s="37">
        <f>E_g!R24/(rat_weight!R24/1000)*0.1578</f>
        <v>5.586350364963546</v>
      </c>
      <c r="S24" s="37">
        <f>E_g!S24/(rat_weight!S24/1000)*0.1578</f>
        <v>6.5366058394160707</v>
      </c>
      <c r="T24" s="37" t="e">
        <f>E_g!T24/(rat_weight!T24/1000)*0.1578</f>
        <v>#VALUE!</v>
      </c>
      <c r="U24" s="37">
        <f>E_g!U24/(rat_weight!U24/1000)*0.1578</f>
        <v>7.1358088235294179</v>
      </c>
      <c r="V24" s="37">
        <f>E_g!V24/(rat_weight!V24/1000)*0.1578</f>
        <v>6.6716911764705875</v>
      </c>
      <c r="W24" s="37">
        <f>E_g!W24/(rat_weight!W24/1000)*0.1578</f>
        <v>7.1467391304347974</v>
      </c>
      <c r="X24" s="37">
        <f>E_g!X24/(rat_weight!X24/1000)*0.1578</f>
        <v>6.174782608695625</v>
      </c>
      <c r="Y24" s="37">
        <f>E_g!Y24/(rat_weight!Y24/1000)*0.1578</f>
        <v>6.7179347826087117</v>
      </c>
      <c r="Z24" s="37">
        <f>E_g!Z24/(rat_weight!Z24/1000)*0.1578</f>
        <v>9.7712455516014263</v>
      </c>
      <c r="AA24" s="37">
        <f>E_g!AA24/(rat_weight!AA24/1000)*0.1578</f>
        <v>5.6437366548042762</v>
      </c>
      <c r="AB24" s="37">
        <f>E_g!AB24/(rat_weight!AB24/1000)*0.1578</f>
        <v>8.6481138790035281</v>
      </c>
      <c r="AC24" s="37">
        <f>E_g!AC24/(rat_weight!AC24/1000)*0.1578</f>
        <v>9.4288297872340721</v>
      </c>
      <c r="AD24" s="37">
        <f>E_g!AD24/(rat_weight!AD24/1000)*0.1578</f>
        <v>7.5262765957446742</v>
      </c>
      <c r="AE24" s="37">
        <f>E_g!AE24/(rat_weight!AE24/1000)*0.1578</f>
        <v>8.141808510638306</v>
      </c>
      <c r="AF24" s="37">
        <f>E_g!AF24/(rat_weight!AF24/1000)*0.1578</f>
        <v>8.3023693379790906</v>
      </c>
      <c r="AG24" s="37">
        <f>E_g!AG24/(rat_weight!AG24/1000)*0.1578</f>
        <v>7.175226480836228</v>
      </c>
      <c r="AH24" s="37">
        <f>E_g!AH24/(rat_weight!AH24/1000)*0.1578</f>
        <v>7.2302090592334372</v>
      </c>
      <c r="AI24" s="37">
        <f>E_g!AI24/(rat_weight!AI24/1000)*0.1578</f>
        <v>7.106404109589044</v>
      </c>
      <c r="AJ24" s="37">
        <f>E_g!AJ24/(rat_weight!AJ24/1000)*0.1578</f>
        <v>6.0796232876712324</v>
      </c>
      <c r="AK24" s="37">
        <f>E_g!AK24/(rat_weight!AK24/1000)*0.1578</f>
        <v>6.5930136986301466</v>
      </c>
    </row>
    <row r="25" spans="1:37">
      <c r="A25" s="30">
        <v>24</v>
      </c>
      <c r="B25" s="37">
        <f>E_g!B25/(rat_weight!B25/1000)*0.1578</f>
        <v>4.8944190871369262</v>
      </c>
      <c r="C25" s="37">
        <f>E_g!C25/(rat_weight!C25/1000)*0.1578</f>
        <v>5.543890020366617</v>
      </c>
      <c r="D25" s="37">
        <f>E_g!D25/(rat_weight!D25/1000)*0.1578</f>
        <v>5.1138888888888987</v>
      </c>
      <c r="E25" s="37">
        <f>E_g!E25/(rat_weight!E25/1000)*0.1578</f>
        <v>6.3994866529774033</v>
      </c>
      <c r="F25" s="37">
        <f>E_g!F25/(rat_weight!F25/1000)*0.1578</f>
        <v>4.1818633540372803</v>
      </c>
      <c r="G25" s="37">
        <f>E_g!G25/(rat_weight!G25/1000)*0.1578</f>
        <v>4.9332586558044973</v>
      </c>
      <c r="H25" s="37">
        <f>E_g!H25/(rat_weight!H25/1000)*0.1578</f>
        <v>6.8379999999999868</v>
      </c>
      <c r="I25" s="37">
        <f>E_g!I25/(rat_weight!I25/1000)*0.1578</f>
        <v>6.0484708249496926</v>
      </c>
      <c r="J25" s="37">
        <f>E_g!J25/(rat_weight!J25/1000)*0.1578</f>
        <v>6.2082669322709165</v>
      </c>
      <c r="K25" s="37">
        <f>E_g!K25/(rat_weight!K25/1000)*0.1578</f>
        <v>7.6556435643564438</v>
      </c>
      <c r="L25" s="37">
        <f>E_g!L25/(rat_weight!L25/1000)*0.1578</f>
        <v>5.6068700787401697</v>
      </c>
      <c r="M25" s="37">
        <f>E_g!M25/(rat_weight!M25/1000)*0.1578</f>
        <v>6.7165362035224954</v>
      </c>
      <c r="N25" s="37">
        <f>E_g!N25/(rat_weight!N25/1000)*0.1578</f>
        <v>5.966717850287913</v>
      </c>
      <c r="O25" s="37">
        <f>E_g!O25/(rat_weight!O25/1000)*0.1578</f>
        <v>7.6325527831094098</v>
      </c>
      <c r="P25" s="37">
        <f>E_g!P25/(rat_weight!P25/1000)*0.1578</f>
        <v>6.1181573896353214</v>
      </c>
      <c r="Q25" s="37">
        <f>E_g!Q25/(rat_weight!Q25/1000)*0.1578</f>
        <v>5.9101123595505696</v>
      </c>
      <c r="R25" s="37">
        <f>E_g!R25/(rat_weight!R25/1000)*0.1578</f>
        <v>6.6784269662921494</v>
      </c>
      <c r="S25" s="37">
        <f>E_g!S25/(rat_weight!S25/1000)*0.1578</f>
        <v>6.4863483146067535</v>
      </c>
      <c r="T25" s="37" t="e">
        <f>E_g!T25/(rat_weight!T25/1000)*0.1578</f>
        <v>#VALUE!</v>
      </c>
      <c r="U25" s="37">
        <f>E_g!U25/(rat_weight!U25/1000)*0.1578</f>
        <v>5.9613333333333269</v>
      </c>
      <c r="V25" s="37">
        <f>E_g!V25/(rat_weight!V25/1000)*0.1578</f>
        <v>6.8964444444444508</v>
      </c>
      <c r="W25" s="37">
        <f>E_g!W25/(rat_weight!W25/1000)*0.1578</f>
        <v>5.9355963302752368</v>
      </c>
      <c r="X25" s="37">
        <f>E_g!X25/(rat_weight!X25/1000)*0.1578</f>
        <v>5.1248807339449334</v>
      </c>
      <c r="Y25" s="37">
        <f>E_g!Y25/(rat_weight!Y25/1000)*0.1578</f>
        <v>6.5870642201834775</v>
      </c>
      <c r="Z25" s="37">
        <f>E_g!Z25/(rat_weight!Z25/1000)*0.1578</f>
        <v>5.9427422303473474</v>
      </c>
      <c r="AA25" s="37">
        <f>E_g!AA25/(rat_weight!AA25/1000)*0.1578</f>
        <v>7.1687934186471729</v>
      </c>
      <c r="AB25" s="37">
        <f>E_g!AB25/(rat_weight!AB25/1000)*0.1578</f>
        <v>4.8465082266910366</v>
      </c>
      <c r="AC25" s="37">
        <f>E_g!AC25/(rat_weight!AC25/1000)*0.1578</f>
        <v>4.8740760869565323</v>
      </c>
      <c r="AD25" s="37">
        <f>E_g!AD25/(rat_weight!AD25/1000)*0.1578</f>
        <v>6.8465760869565182</v>
      </c>
      <c r="AE25" s="37">
        <f>E_g!AE25/(rat_weight!AE25/1000)*0.1578</f>
        <v>7.4183152173913003</v>
      </c>
      <c r="AF25" s="37">
        <f>E_g!AF25/(rat_weight!AF25/1000)*0.1578</f>
        <v>7.6898913043478272</v>
      </c>
      <c r="AG25" s="37">
        <f>E_g!AG25/(rat_weight!AG25/1000)*0.1578</f>
        <v>7.1324456521739164</v>
      </c>
      <c r="AH25" s="37">
        <f>E_g!AH25/(rat_weight!AH25/1000)*0.1578</f>
        <v>7.2182065217391296</v>
      </c>
      <c r="AI25" s="37">
        <f>E_g!AI25/(rat_weight!AI25/1000)*0.1578</f>
        <v>7.0897686832740128</v>
      </c>
      <c r="AJ25" s="37">
        <f>E_g!AJ25/(rat_weight!AJ25/1000)*0.1578</f>
        <v>6.6124377224199158</v>
      </c>
      <c r="AK25" s="37">
        <f>E_g!AK25/(rat_weight!AK25/1000)*0.1578</f>
        <v>7.272277580071175</v>
      </c>
    </row>
    <row r="26" spans="1:37">
      <c r="A26" s="30">
        <v>25</v>
      </c>
      <c r="B26" s="37">
        <f>E_g!B26/(rat_weight!B26/1000)*0.1578</f>
        <v>2.7212448979591799</v>
      </c>
      <c r="C26" s="37">
        <f>E_g!C26/(rat_weight!C26/1000)*0.1578</f>
        <v>4.1517943548387128</v>
      </c>
      <c r="D26" s="37">
        <f>E_g!D26/(rat_weight!D26/1000)*0.1578</f>
        <v>3.9054709418837659</v>
      </c>
      <c r="E26" s="37">
        <f>E_g!E26/(rat_weight!E26/1000)*0.1578</f>
        <v>5.2653024193548328</v>
      </c>
      <c r="F26" s="37">
        <f>E_g!F26/(rat_weight!F26/1000)*0.1578</f>
        <v>6.6773652694610828</v>
      </c>
      <c r="G26" s="37">
        <f>E_g!G26/(rat_weight!G26/1000)*0.1578</f>
        <v>6.2839328063241124</v>
      </c>
      <c r="H26" s="37">
        <f>E_g!H26/(rat_weight!H26/1000)*0.1578</f>
        <v>7.7361988304093581</v>
      </c>
      <c r="I26" s="37">
        <f>E_g!I26/(rat_weight!I26/1000)*0.1578</f>
        <v>4.9694767441860552</v>
      </c>
      <c r="J26" s="37">
        <f>E_g!J26/(rat_weight!J26/1000)*0.1578</f>
        <v>5.8572709923664084</v>
      </c>
      <c r="K26" s="37">
        <f>E_g!K26/(rat_weight!K26/1000)*0.1578</f>
        <v>5.644384615384614</v>
      </c>
      <c r="L26" s="37">
        <f>E_g!L26/(rat_weight!L26/1000)*0.1578</f>
        <v>5.4450000000000189</v>
      </c>
      <c r="M26" s="37">
        <f>E_g!M26/(rat_weight!M26/1000)*0.1578</f>
        <v>5.764041745730542</v>
      </c>
      <c r="N26" s="37">
        <f>E_g!N26/(rat_weight!N26/1000)*0.1578</f>
        <v>6.1350280373831891</v>
      </c>
      <c r="O26" s="37">
        <f>E_g!O26/(rat_weight!O26/1000)*0.1578</f>
        <v>5.633607476635512</v>
      </c>
      <c r="P26" s="37">
        <f>E_g!P26/(rat_weight!P26/1000)*0.1578</f>
        <v>7.0493831775700944</v>
      </c>
      <c r="Q26" s="37">
        <f>E_g!Q26/(rat_weight!Q26/1000)*0.1578</f>
        <v>6.9037499999999943</v>
      </c>
      <c r="R26" s="37">
        <f>E_g!R26/(rat_weight!R26/1000)*0.1578</f>
        <v>6.5266544117647136</v>
      </c>
      <c r="S26" s="37">
        <f>E_g!S26/(rat_weight!S26/1000)*0.1578</f>
        <v>9.5579227941176583</v>
      </c>
      <c r="T26" s="37" t="e">
        <f>E_g!T26/(rat_weight!T26/1000)*0.1578</f>
        <v>#VALUE!</v>
      </c>
      <c r="U26" s="37">
        <f>E_g!U26/(rat_weight!U26/1000)*0.1578</f>
        <v>6.5654014598540167</v>
      </c>
      <c r="V26" s="37">
        <f>E_g!V26/(rat_weight!V26/1000)*0.1578</f>
        <v>6.2486496350364922</v>
      </c>
      <c r="W26" s="37">
        <f>E_g!W26/(rat_weight!W26/1000)*0.1578</f>
        <v>6.5678918918918896</v>
      </c>
      <c r="X26" s="37">
        <f>E_g!X26/(rat_weight!X26/1000)*0.1578</f>
        <v>7.3924324324324315</v>
      </c>
      <c r="Y26" s="37">
        <f>E_g!Y26/(rat_weight!Y26/1000)*0.1578</f>
        <v>8.3733513513513547</v>
      </c>
      <c r="Z26" s="37">
        <f>E_g!Z26/(rat_weight!Z26/1000)*0.1578</f>
        <v>7.2033037300177511</v>
      </c>
      <c r="AA26" s="37">
        <f>E_g!AA26/(rat_weight!AA26/1000)*0.1578</f>
        <v>6.4325222024866759</v>
      </c>
      <c r="AB26" s="37">
        <f>E_g!AB26/(rat_weight!AB26/1000)*0.1578</f>
        <v>7.4275310834813419</v>
      </c>
      <c r="AC26" s="37">
        <f>E_g!AC26/(rat_weight!AC26/1000)*0.1578</f>
        <v>7.329431616341032</v>
      </c>
      <c r="AD26" s="37">
        <f>E_g!AD26/(rat_weight!AD26/1000)*0.1578</f>
        <v>6.7128063943161607</v>
      </c>
      <c r="AE26" s="37">
        <f>E_g!AE26/(rat_weight!AE26/1000)*0.1578</f>
        <v>8.310426287744237</v>
      </c>
      <c r="AF26" s="37">
        <f>E_g!AF26/(rat_weight!AF26/1000)*0.1578</f>
        <v>7.3473015873015894</v>
      </c>
      <c r="AG26" s="37">
        <f>E_g!AG26/(rat_weight!AG26/1000)*0.1578</f>
        <v>9.6155026455026427</v>
      </c>
      <c r="AH26" s="37">
        <f>E_g!AH26/(rat_weight!AH26/1000)*0.1578</f>
        <v>6.4149735449735328</v>
      </c>
      <c r="AI26" s="37">
        <f>E_g!AI26/(rat_weight!AI26/1000)*0.1578</f>
        <v>6.5865553602812037</v>
      </c>
      <c r="AJ26" s="37">
        <f>E_g!AJ26/(rat_weight!AJ26/1000)*0.1578</f>
        <v>6.4478910369068538</v>
      </c>
      <c r="AK26" s="37">
        <f>E_g!AK26/(rat_weight!AK26/1000)*0.1578</f>
        <v>7.3214762741652049</v>
      </c>
    </row>
    <row r="27" spans="1:37">
      <c r="A27" s="30">
        <v>26</v>
      </c>
      <c r="B27" s="37">
        <f>E_g!B27/(rat_weight!B27/1000)*0.1578</f>
        <v>4.0320220588235225</v>
      </c>
      <c r="C27" s="37">
        <f>E_g!C27/(rat_weight!C27/1000)*0.1578</f>
        <v>5.0367896678966986</v>
      </c>
      <c r="D27" s="37">
        <f>E_g!D27/(rat_weight!D27/1000)*0.1578</f>
        <v>4.1906593406593569</v>
      </c>
      <c r="E27" s="37">
        <f>E_g!E27/(rat_weight!E27/1000)*0.1578</f>
        <v>5.4423722627736995</v>
      </c>
      <c r="F27" s="37">
        <f>E_g!F27/(rat_weight!F27/1000)*0.1578</f>
        <v>-0.35328358208954885</v>
      </c>
      <c r="G27" s="37">
        <f>E_g!G27/(rat_weight!G27/1000)*0.1578</f>
        <v>5.4823897058823627</v>
      </c>
      <c r="H27" s="37">
        <f>E_g!H27/(rat_weight!H27/1000)*0.1578</f>
        <v>6.733956043956014</v>
      </c>
      <c r="I27" s="37">
        <f>E_g!I27/(rat_weight!I27/1000)*0.1578</f>
        <v>7.6051624548736418</v>
      </c>
      <c r="J27" s="37">
        <f>E_g!J27/(rat_weight!J27/1000)*0.1578</f>
        <v>8.486007194244598</v>
      </c>
      <c r="K27" s="37">
        <f>E_g!K27/(rat_weight!K27/1000)*0.1578</f>
        <v>7.5249822064056966</v>
      </c>
      <c r="L27" s="37">
        <f>E_g!L27/(rat_weight!L27/1000)*0.1578</f>
        <v>8.5638790035587338</v>
      </c>
      <c r="M27" s="37">
        <f>E_g!M27/(rat_weight!M27/1000)*0.1578</f>
        <v>9.3955123674911629</v>
      </c>
      <c r="N27" s="37">
        <f>E_g!N27/(rat_weight!N27/1000)*0.1578</f>
        <v>9.689473684210542</v>
      </c>
      <c r="O27" s="37">
        <f>E_g!O27/(rat_weight!O27/1000)*0.1578</f>
        <v>7.0871578947368654</v>
      </c>
      <c r="P27" s="37">
        <f>E_g!P27/(rat_weight!P27/1000)*0.1578</f>
        <v>9.1357894736841949</v>
      </c>
      <c r="Q27" s="37">
        <f>E_g!Q27/(rat_weight!Q27/1000)*0.1578</f>
        <v>8.7006164383561924</v>
      </c>
      <c r="R27" s="37">
        <f>E_g!R27/(rat_weight!R27/1000)*0.1578</f>
        <v>6.9172602739725946</v>
      </c>
      <c r="S27" s="37">
        <f>E_g!S27/(rat_weight!S27/1000)*0.1578</f>
        <v>10.565034246575349</v>
      </c>
      <c r="T27" s="37" t="e">
        <f>E_g!T27/(rat_weight!T27/1000)*0.1578</f>
        <v>#VALUE!</v>
      </c>
      <c r="U27" s="37">
        <f>E_g!U27/(rat_weight!U27/1000)*0.1578</f>
        <v>7.7544329896907289</v>
      </c>
      <c r="V27" s="37">
        <f>E_g!V27/(rat_weight!V27/1000)*0.1578</f>
        <v>9.1101030927835414</v>
      </c>
      <c r="W27" s="37">
        <f>E_g!W27/(rat_weight!W27/1000)*0.1578</f>
        <v>9.1470508474576242</v>
      </c>
      <c r="X27" s="37">
        <f>E_g!X27/(rat_weight!X27/1000)*0.1578</f>
        <v>7.7027796610169377</v>
      </c>
      <c r="Y27" s="37">
        <f>E_g!Y27/(rat_weight!Y27/1000)*0.1578</f>
        <v>9.869186440677975</v>
      </c>
      <c r="Z27" s="37">
        <f>E_g!Z27/(rat_weight!Z27/1000)*0.1578</f>
        <v>9.4785906040268486</v>
      </c>
      <c r="AA27" s="37">
        <f>E_g!AA27/(rat_weight!AA27/1000)*0.1578</f>
        <v>9.6109731543624353</v>
      </c>
      <c r="AB27" s="37">
        <f>E_g!AB27/(rat_weight!AB27/1000)*0.1578</f>
        <v>9.1608724832214676</v>
      </c>
      <c r="AC27" s="37">
        <f>E_g!AC27/(rat_weight!AC27/1000)*0.1578</f>
        <v>9.6226013513513422</v>
      </c>
      <c r="AD27" s="37">
        <f>E_g!AD27/(rat_weight!AD27/1000)*0.1578</f>
        <v>9.7825337837837658</v>
      </c>
      <c r="AE27" s="37">
        <f>E_g!AE27/(rat_weight!AE27/1000)*0.1578</f>
        <v>8.8762499999999882</v>
      </c>
      <c r="AF27" s="37">
        <f>E_g!AF27/(rat_weight!AF27/1000)*0.1578</f>
        <v>9.3530463576158969</v>
      </c>
      <c r="AG27" s="37">
        <f>E_g!AG27/(rat_weight!AG27/1000)*0.1578</f>
        <v>8.4386423841059628</v>
      </c>
      <c r="AH27" s="37">
        <f>E_g!AH27/(rat_weight!AH27/1000)*0.1578</f>
        <v>7.7593708609271639</v>
      </c>
      <c r="AI27" s="37">
        <f>E_g!AI27/(rat_weight!AI27/1000)*0.1578</f>
        <v>7.7871986970684066</v>
      </c>
      <c r="AJ27" s="37">
        <f>E_g!AJ27/(rat_weight!AJ27/1000)*0.1578</f>
        <v>8.0442019543973817</v>
      </c>
      <c r="AK27" s="37">
        <f>E_g!AK27/(rat_weight!AK27/1000)*0.1578</f>
        <v>9.0979153094462628</v>
      </c>
    </row>
    <row r="28" spans="1:37">
      <c r="A28" s="30">
        <v>27</v>
      </c>
      <c r="B28" s="37">
        <f>E_g!B28/(rat_weight!B28/1000)*0.1578</f>
        <v>2.0763157894736843</v>
      </c>
      <c r="C28" s="37">
        <f>E_g!C28/(rat_weight!C28/1000)*0.1578</f>
        <v>3.4126297577854672</v>
      </c>
      <c r="D28" s="37">
        <f>E_g!D28/(rat_weight!D28/1000)*0.1578</f>
        <v>5.0682291666666828</v>
      </c>
      <c r="E28" s="37">
        <f>E_g!E28/(rat_weight!E28/1000)*0.1578</f>
        <v>4.5735254237288352</v>
      </c>
      <c r="F28" s="37">
        <f>E_g!F28/(rat_weight!F28/1000)*0.1578</f>
        <v>1.1889041095890502</v>
      </c>
      <c r="G28" s="37">
        <f>E_g!G28/(rat_weight!G28/1000)*0.1578</f>
        <v>4.9278839590443715</v>
      </c>
      <c r="H28" s="37">
        <f>E_g!H28/(rat_weight!H28/1000)*0.1578</f>
        <v>5.5582474226804282</v>
      </c>
      <c r="I28" s="37">
        <f>E_g!I28/(rat_weight!I28/1000)*0.1578</f>
        <v>4.9988013698629992</v>
      </c>
      <c r="J28" s="37">
        <f>E_g!J28/(rat_weight!J28/1000)*0.1578</f>
        <v>5.837533783783778</v>
      </c>
      <c r="K28" s="37">
        <f>E_g!K28/(rat_weight!K28/1000)*0.1578</f>
        <v>5.2423489932885934</v>
      </c>
      <c r="L28" s="37">
        <f>E_g!L28/(rat_weight!L28/1000)*0.1578</f>
        <v>5.8513087248322355</v>
      </c>
      <c r="M28" s="37">
        <f>E_g!M28/(rat_weight!M28/1000)*0.1578</f>
        <v>5.1984280936454814</v>
      </c>
      <c r="N28" s="37">
        <f>E_g!N28/(rat_weight!N28/1000)*0.1578</f>
        <v>6.2194788273615895</v>
      </c>
      <c r="O28" s="37">
        <f>E_g!O28/(rat_weight!O28/1000)*0.1578</f>
        <v>6.5278827361563607</v>
      </c>
      <c r="P28" s="37">
        <f>E_g!P28/(rat_weight!P28/1000)*0.1578</f>
        <v>6.5792833876221417</v>
      </c>
      <c r="Q28" s="37">
        <f>E_g!Q28/(rat_weight!Q28/1000)*0.1578</f>
        <v>5.9365273311897191</v>
      </c>
      <c r="R28" s="37">
        <f>E_g!R28/(rat_weight!R28/1000)*0.1578</f>
        <v>5.530610932475887</v>
      </c>
      <c r="S28" s="37">
        <f>E_g!S28/(rat_weight!S28/1000)*0.1578</f>
        <v>5.6067202572347039</v>
      </c>
      <c r="T28" s="37" t="e">
        <f>E_g!T28/(rat_weight!T28/1000)*0.1578</f>
        <v>#VALUE!</v>
      </c>
      <c r="U28" s="37">
        <f>E_g!U28/(rat_weight!U28/1000)*0.1578</f>
        <v>6.0213157894736664</v>
      </c>
      <c r="V28" s="37">
        <f>E_g!V28/(rat_weight!V28/1000)*0.1578</f>
        <v>4.9312500000000297</v>
      </c>
      <c r="W28" s="37">
        <f>E_g!W28/(rat_weight!W28/1000)*0.1578</f>
        <v>7.3227450980392241</v>
      </c>
      <c r="X28" s="37">
        <f>E_g!X28/(rat_weight!X28/1000)*0.1578</f>
        <v>6.6007843137254953</v>
      </c>
      <c r="Y28" s="37">
        <f>E_g!Y28/(rat_weight!Y28/1000)*0.1578</f>
        <v>7.4516666666666751</v>
      </c>
      <c r="Z28" s="37">
        <f>E_g!Z28/(rat_weight!Z28/1000)*0.1578</f>
        <v>6.5708517350157809</v>
      </c>
      <c r="AA28" s="37">
        <f>E_g!AA28/(rat_weight!AA28/1000)*0.1578</f>
        <v>6.1477287066245889</v>
      </c>
      <c r="AB28" s="37">
        <f>E_g!AB28/(rat_weight!AB28/1000)*0.1578</f>
        <v>6.6206309148264904</v>
      </c>
      <c r="AC28" s="37">
        <f>E_g!AC28/(rat_weight!AC28/1000)*0.1578</f>
        <v>5.4661128526645681</v>
      </c>
      <c r="AD28" s="37">
        <f>E_g!AD28/(rat_weight!AD28/1000)*0.1578</f>
        <v>6.010250783699048</v>
      </c>
      <c r="AE28" s="37">
        <f>E_g!AE28/(rat_weight!AE28/1000)*0.1578</f>
        <v>6.7027899686520147</v>
      </c>
      <c r="AF28" s="37">
        <f>E_g!AF28/(rat_weight!AF28/1000)*0.1578</f>
        <v>6.9314018691588757</v>
      </c>
      <c r="AG28" s="37">
        <f>E_g!AG28/(rat_weight!AG28/1000)*0.1578</f>
        <v>7.3984112149532626</v>
      </c>
      <c r="AH28" s="37">
        <f>E_g!AH28/(rat_weight!AH28/1000)*0.1578</f>
        <v>7.1526168224299109</v>
      </c>
      <c r="AI28" s="37">
        <f>E_g!AI28/(rat_weight!AI28/1000)*0.1578</f>
        <v>6.5079936305732575</v>
      </c>
      <c r="AJ28" s="37">
        <f>E_g!AJ28/(rat_weight!AJ28/1000)*0.1578</f>
        <v>6.105955414012727</v>
      </c>
      <c r="AK28" s="37">
        <f>E_g!AK28/(rat_weight!AK28/1000)*0.1578</f>
        <v>6.2818471337579478</v>
      </c>
    </row>
    <row r="29" spans="1:37">
      <c r="A29" s="30">
        <v>28</v>
      </c>
      <c r="B29" s="37">
        <f>E_g!B29/(rat_weight!B29/1000)*0.1578</f>
        <v>3.2053124999999998</v>
      </c>
      <c r="C29" s="37">
        <f>E_g!C29/(rat_weight!C29/1000)*0.1578</f>
        <v>2.1204375000000337</v>
      </c>
      <c r="D29" s="37">
        <f>E_g!D29/(rat_weight!D29/1000)*0.1578</f>
        <v>5.0825153374233407</v>
      </c>
      <c r="E29" s="37">
        <f>E_g!E29/(rat_weight!E29/1000)*0.1578</f>
        <v>4.9660588235294059</v>
      </c>
      <c r="F29" s="37">
        <f>E_g!F29/(rat_weight!F29/1000)*0.1578</f>
        <v>-0.57731707317072622</v>
      </c>
      <c r="G29" s="37">
        <f>E_g!G29/(rat_weight!G29/1000)*0.1578</f>
        <v>6.4894082840236837</v>
      </c>
      <c r="H29" s="37">
        <f>E_g!H29/(rat_weight!H29/1000)*0.1578</f>
        <v>7.7966272189349048</v>
      </c>
      <c r="I29" s="37">
        <f>E_g!I29/(rat_weight!I29/1000)*0.1578</f>
        <v>6.044385964912264</v>
      </c>
      <c r="J29" s="37">
        <f>E_g!J29/(rat_weight!J29/1000)*0.1578</f>
        <v>7.3999378881987123</v>
      </c>
      <c r="K29" s="37">
        <f>E_g!K29/(rat_weight!K29/1000)*0.1578</f>
        <v>4.8624418604651529</v>
      </c>
      <c r="L29" s="37">
        <f>E_g!L29/(rat_weight!L29/1000)*0.1578</f>
        <v>8.1276506024096751</v>
      </c>
      <c r="M29" s="37">
        <f>E_g!M29/(rat_weight!M29/1000)*0.1578</f>
        <v>6.8118633540372828</v>
      </c>
      <c r="N29" s="37">
        <f>E_g!N29/(rat_weight!N29/1000)*0.1578</f>
        <v>8.818235294117672</v>
      </c>
      <c r="O29" s="37">
        <f>E_g!O29/(rat_weight!O29/1000)*0.1578</f>
        <v>7.9828235294117587</v>
      </c>
      <c r="P29" s="37">
        <f>E_g!P29/(rat_weight!P29/1000)*0.1578</f>
        <v>6.5904705882352888</v>
      </c>
      <c r="Q29" s="37">
        <f>E_g!Q29/(rat_weight!Q29/1000)*0.1578</f>
        <v>8.1180346820809302</v>
      </c>
      <c r="R29" s="37">
        <f>E_g!R29/(rat_weight!R29/1000)*0.1578</f>
        <v>-0.54728323699421444</v>
      </c>
      <c r="S29" s="37">
        <f>E_g!S29/(rat_weight!S29/1000)*0.1578</f>
        <v>6.977861271676228</v>
      </c>
      <c r="T29" s="37" t="e">
        <f>E_g!T29/(rat_weight!T29/1000)*0.1578</f>
        <v>#VALUE!</v>
      </c>
      <c r="U29" s="37">
        <f>E_g!U29/(rat_weight!U29/1000)*0.1578</f>
        <v>9.2661627906976438</v>
      </c>
      <c r="V29" s="37">
        <f>E_g!V29/(rat_weight!V29/1000)*0.1578</f>
        <v>8.532209302325592</v>
      </c>
      <c r="W29" s="37">
        <f>E_g!W29/(rat_weight!W29/1000)*0.1578</f>
        <v>8.2911864406779507</v>
      </c>
      <c r="X29" s="37">
        <f>E_g!X29/(rat_weight!X29/1000)*0.1578</f>
        <v>6.7755932203389531</v>
      </c>
      <c r="Y29" s="37">
        <f>E_g!Y29/(rat_weight!Y29/1000)*0.1578</f>
        <v>7.3550847457627375</v>
      </c>
      <c r="Z29" s="37">
        <f>E_g!Z29/(rat_weight!Z29/1000)*0.1578</f>
        <v>4.7706976744186207</v>
      </c>
      <c r="AA29" s="37">
        <f>E_g!AA29/(rat_weight!AA29/1000)*0.1578</f>
        <v>9.6790116279069878</v>
      </c>
      <c r="AB29" s="37">
        <f>E_g!AB29/(rat_weight!AB29/1000)*0.1578</f>
        <v>9.4496511627906834</v>
      </c>
      <c r="AC29" s="37">
        <f>E_g!AC29/(rat_weight!AC29/1000)*0.1578</f>
        <v>8.6923728813559578</v>
      </c>
      <c r="AD29" s="37">
        <f>E_g!AD29/(rat_weight!AD29/1000)*0.1578</f>
        <v>9.3164406779660922</v>
      </c>
      <c r="AE29" s="37">
        <f>E_g!AE29/(rat_weight!AE29/1000)*0.1578</f>
        <v>8.0683050847457736</v>
      </c>
      <c r="AF29" s="37">
        <f>E_g!AF29/(rat_weight!AF29/1000)*0.1578</f>
        <v>6.9745856353591407</v>
      </c>
      <c r="AG29" s="37">
        <f>E_g!AG29/(rat_weight!AG29/1000)*0.1578</f>
        <v>6.6694475138121589</v>
      </c>
      <c r="AH29" s="37">
        <f>E_g!AH29/(rat_weight!AH29/1000)*0.1578</f>
        <v>7.2797237569060975</v>
      </c>
      <c r="AI29" s="37">
        <f>E_g!AI29/(rat_weight!AI29/1000)*0.1578</f>
        <v>7.0876271186440318</v>
      </c>
      <c r="AJ29" s="37">
        <f>E_g!AJ29/(rat_weight!AJ29/1000)*0.1578</f>
        <v>6.2852542372881466</v>
      </c>
      <c r="AK29" s="37">
        <f>E_g!AK29/(rat_weight!AK29/1000)*0.1578</f>
        <v>7.3105084745762356</v>
      </c>
    </row>
    <row r="30" spans="1:37">
      <c r="A30" s="30">
        <v>29</v>
      </c>
      <c r="B30" s="37">
        <f>E_g!B30/(rat_weight!B30/1000)*0.1578</f>
        <v>0.24252049180327867</v>
      </c>
      <c r="C30" s="37">
        <f>E_g!C30/(rat_weight!C30/1000)*0.1578</f>
        <v>0.56820987654320987</v>
      </c>
      <c r="D30" s="37">
        <f>E_g!D30/(rat_weight!D30/1000)*0.1578</f>
        <v>0.24351851851850928</v>
      </c>
      <c r="E30" s="37">
        <f>E_g!E30/(rat_weight!E30/1000)*0.1578</f>
        <v>4.7914979757086841E-2</v>
      </c>
      <c r="F30" s="37">
        <f>E_g!F30/(rat_weight!F30/1000)*0.1578</f>
        <v>9.1529505063627593E-15</v>
      </c>
      <c r="G30" s="37">
        <f>E_g!G30/(rat_weight!G30/1000)*0.1578</f>
        <v>0.33005976095616996</v>
      </c>
      <c r="H30" s="37">
        <f>E_g!H30/(rat_weight!H30/1000)*0.1578</f>
        <v>0.41770588235293943</v>
      </c>
      <c r="I30" s="37">
        <f>E_g!I30/(rat_weight!I30/1000)*0.1578</f>
        <v>0.16852427184467239</v>
      </c>
      <c r="J30" s="37">
        <f>E_g!J30/(rat_weight!J30/1000)*0.1578</f>
        <v>0.32110465116279413</v>
      </c>
      <c r="K30" s="37">
        <f>E_g!K30/(rat_weight!K30/1000)*0.1578</f>
        <v>0.30346153846152979</v>
      </c>
      <c r="L30" s="37">
        <f>E_g!L30/(rat_weight!L30/1000)*0.1578</f>
        <v>0.10480075901329805</v>
      </c>
      <c r="M30" s="37">
        <f>E_g!M30/(rat_weight!M30/1000)*0.1578</f>
        <v>-7.4015009380854618E-2</v>
      </c>
      <c r="N30" s="37">
        <f>E_g!N30/(rat_weight!N30/1000)*0.1578</f>
        <v>-2.949532710280206E-2</v>
      </c>
      <c r="O30" s="37">
        <f>E_g!O30/(rat_weight!O30/1000)*0.1578</f>
        <v>-2.9495327102785292E-2</v>
      </c>
      <c r="P30" s="37">
        <f>E_g!P30/(rat_weight!P30/1000)*0.1578</f>
        <v>-8.8485981308422945E-2</v>
      </c>
      <c r="Q30" s="37">
        <f>E_g!Q30/(rat_weight!Q30/1000)*0.1578</f>
        <v>8.2141863518640146E-15</v>
      </c>
      <c r="R30" s="37">
        <f>E_g!R30/(rat_weight!R30/1000)*0.1578</f>
        <v>5.7802197802219152E-2</v>
      </c>
      <c r="S30" s="37">
        <f>E_g!S30/(rat_weight!S30/1000)*0.1578</f>
        <v>-0.10115384615386915</v>
      </c>
      <c r="T30" s="37" t="e">
        <f>E_g!T30/(rat_weight!T30/1000)*0.1578</f>
        <v>#VALUE!</v>
      </c>
      <c r="U30" s="37">
        <f>E_g!U30/(rat_weight!U30/1000)*0.1578</f>
        <v>5.6559139784943008E-2</v>
      </c>
      <c r="V30" s="37">
        <f>E_g!V30/(rat_weight!V30/1000)*0.1578</f>
        <v>-2.8279569892463469E-2</v>
      </c>
      <c r="W30" s="37">
        <f>E_g!W30/(rat_weight!W30/1000)*0.1578</f>
        <v>-2.7684210526314219E-2</v>
      </c>
      <c r="X30" s="37">
        <f>E_g!X30/(rat_weight!X30/1000)*0.1578</f>
        <v>5.5368421052628437E-2</v>
      </c>
      <c r="Y30" s="37">
        <f>E_g!Y30/(rat_weight!Y30/1000)*0.1578</f>
        <v>6.9210526315781618E-2</v>
      </c>
      <c r="Z30" s="37">
        <f>E_g!Z30/(rat_weight!Z30/1000)*0.1578</f>
        <v>0.10920415224913652</v>
      </c>
      <c r="AA30" s="37">
        <f>E_g!AA30/(rat_weight!AA30/1000)*0.1578</f>
        <v>0.17745674740483811</v>
      </c>
      <c r="AB30" s="37">
        <f>E_g!AB30/(rat_weight!AB30/1000)*0.1578</f>
        <v>0.24570934256055518</v>
      </c>
      <c r="AC30" s="37">
        <f>E_g!AC30/(rat_weight!AC30/1000)*0.1578</f>
        <v>0.36666092943201223</v>
      </c>
      <c r="AD30" s="37">
        <f>E_g!AD30/(rat_weight!AD30/1000)*0.1578</f>
        <v>1.3580034423411007E-2</v>
      </c>
      <c r="AE30" s="37">
        <f>E_g!AE30/(rat_weight!AE30/1000)*0.1578</f>
        <v>0.14938037865747475</v>
      </c>
      <c r="AF30" s="37">
        <f>E_g!AF30/(rat_weight!AF30/1000)*0.1578</f>
        <v>0.24318493150685089</v>
      </c>
      <c r="AG30" s="37">
        <f>E_g!AG30/(rat_weight!AG30/1000)*0.1578</f>
        <v>0.17563356164383717</v>
      </c>
      <c r="AH30" s="37">
        <f>E_g!AH30/(rat_weight!AH30/1000)*0.1578</f>
        <v>0.17563356164384483</v>
      </c>
      <c r="AI30" s="37">
        <f>E_g!AI30/(rat_weight!AI30/1000)*0.1578</f>
        <v>0.53795454545455024</v>
      </c>
      <c r="AJ30" s="37">
        <f>E_g!AJ30/(rat_weight!AJ30/1000)*0.1578</f>
        <v>0.17931818181819123</v>
      </c>
      <c r="AK30" s="37">
        <f>E_g!AK30/(rat_weight!AK30/1000)*0.1578</f>
        <v>0.46898601398601875</v>
      </c>
    </row>
    <row r="31" spans="1:37">
      <c r="A31" s="30">
        <v>30</v>
      </c>
      <c r="B31" s="37">
        <f>E_g!B31/(rat_weight!B31/1000)*0.1578</f>
        <v>-0.17816129032259223</v>
      </c>
      <c r="C31" s="37">
        <f>E_g!C31/(rat_weight!C31/1000)*0.1578</f>
        <v>2.2729470198675616</v>
      </c>
      <c r="D31" s="37">
        <f>E_g!D31/(rat_weight!D31/1000)*0.1578</f>
        <v>1.2938585209003128</v>
      </c>
      <c r="E31" s="37">
        <f>E_g!E31/(rat_weight!E31/1000)*0.1578</f>
        <v>0.42580952380952097</v>
      </c>
      <c r="F31" s="37">
        <f>E_g!F31/(rat_weight!F31/1000)*0.1578</f>
        <v>0.40461538461537594</v>
      </c>
      <c r="G31" s="37">
        <f>E_g!G31/(rat_weight!G31/1000)*0.1578</f>
        <v>1.1271428571428714</v>
      </c>
      <c r="H31" s="37">
        <f>E_g!H31/(rat_weight!H31/1000)*0.1578</f>
        <v>2.3901302931596118</v>
      </c>
      <c r="I31" s="37">
        <f>E_g!I31/(rat_weight!I31/1000)*0.1578</f>
        <v>1.1060747663551542</v>
      </c>
      <c r="J31" s="37">
        <f>E_g!J31/(rat_weight!J31/1000)*0.1578</f>
        <v>3.2622115384615329</v>
      </c>
      <c r="K31" s="37">
        <f>E_g!K31/(rat_weight!K31/1000)*0.1578</f>
        <v>3.7386461538461617</v>
      </c>
      <c r="L31" s="37">
        <f>E_g!L31/(rat_weight!L31/1000)*0.1578</f>
        <v>1.7119811320754801</v>
      </c>
      <c r="M31" s="37">
        <f>E_g!M31/(rat_weight!M31/1000)*0.1578</f>
        <v>3.2179758308156958</v>
      </c>
      <c r="N31" s="37">
        <f>E_g!N31/(rat_weight!N31/1000)*0.1578</f>
        <v>3.5528070175438669</v>
      </c>
      <c r="O31" s="37">
        <f>E_g!O31/(rat_weight!O31/1000)*0.1578</f>
        <v>2.5377192982456265</v>
      </c>
      <c r="P31" s="37">
        <f>E_g!P31/(rat_weight!P31/1000)*0.1578</f>
        <v>2.5377192982456007</v>
      </c>
      <c r="Q31" s="37">
        <f>E_g!Q31/(rat_weight!Q31/1000)*0.1578</f>
        <v>2.5526470588235419</v>
      </c>
      <c r="R31" s="37">
        <f>E_g!R31/(rat_weight!R31/1000)*0.1578</f>
        <v>1.1602941176470718</v>
      </c>
      <c r="S31" s="37">
        <f>E_g!S31/(rat_weight!S31/1000)*0.1578</f>
        <v>2.7614999999999945</v>
      </c>
      <c r="T31" s="37" t="e">
        <f>E_g!T31/(rat_weight!T31/1000)*0.1578</f>
        <v>#VALUE!</v>
      </c>
      <c r="U31" s="37">
        <f>E_g!U31/(rat_weight!U31/1000)*0.1578</f>
        <v>2.0431404958677639</v>
      </c>
      <c r="V31" s="37">
        <f>E_g!V31/(rat_weight!V31/1000)*0.1578</f>
        <v>1.4345454545454841</v>
      </c>
      <c r="W31" s="37">
        <f>E_g!W31/(rat_weight!W31/1000)*0.1578</f>
        <v>1.1782399999999928</v>
      </c>
      <c r="X31" s="37">
        <f>E_g!X31/(rat_weight!X31/1000)*0.1578</f>
        <v>1.0940799999999855</v>
      </c>
      <c r="Y31" s="37">
        <f>E_g!Y31/(rat_weight!Y31/1000)*0.1578</f>
        <v>1.8304800000000214</v>
      </c>
      <c r="Z31" s="37">
        <f>E_g!Z31/(rat_weight!Z31/1000)*0.1578</f>
        <v>2.4575409836065645</v>
      </c>
      <c r="AA31" s="37">
        <f>E_g!AA31/(rat_weight!AA31/1000)*0.1578</f>
        <v>2.7377868852459111</v>
      </c>
      <c r="AB31" s="37">
        <f>E_g!AB31/(rat_weight!AB31/1000)*0.1578</f>
        <v>1.2934426229508076</v>
      </c>
      <c r="AC31" s="37">
        <f>E_g!AC31/(rat_weight!AC31/1000)*0.1578</f>
        <v>3.5285833333333505</v>
      </c>
      <c r="AD31" s="37">
        <f>E_g!AD31/(rat_weight!AD31/1000)*0.1578</f>
        <v>2.0820833333333333</v>
      </c>
      <c r="AE31" s="37">
        <f>E_g!AE31/(rat_weight!AE31/1000)*0.1578</f>
        <v>3.6600833333333185</v>
      </c>
      <c r="AF31" s="37">
        <f>E_g!AF31/(rat_weight!AF31/1000)*0.1578</f>
        <v>2.0563172804532552</v>
      </c>
      <c r="AG31" s="37">
        <f>E_g!AG31/(rat_weight!AG31/1000)*0.1578</f>
        <v>2.749206798866858</v>
      </c>
      <c r="AH31" s="37">
        <f>E_g!AH31/(rat_weight!AH31/1000)*0.1578</f>
        <v>2.0339660056657274</v>
      </c>
      <c r="AI31" s="37">
        <f>E_g!AI31/(rat_weight!AI31/1000)*0.1578</f>
        <v>1.8424450549450428</v>
      </c>
      <c r="AJ31" s="37">
        <f>E_g!AJ31/(rat_weight!AJ31/1000)*0.1578</f>
        <v>1.4089285714285467</v>
      </c>
      <c r="AK31" s="37">
        <f>E_g!AK31/(rat_weight!AK31/1000)*0.1578</f>
        <v>1.1271428571428546</v>
      </c>
    </row>
    <row r="32" spans="1:37">
      <c r="A32" s="30">
        <v>31</v>
      </c>
      <c r="B32" s="37">
        <f>E_g!B32/(rat_weight!B32/1000)*0.1578</f>
        <v>1.4652857142857143</v>
      </c>
      <c r="C32" s="37">
        <f>E_g!C32/(rat_weight!C32/1000)*0.1578</f>
        <v>1.6503438395415628</v>
      </c>
      <c r="D32" s="37">
        <f>E_g!D32/(rat_weight!D32/1000)*0.1578</f>
        <v>4.309855491329488</v>
      </c>
      <c r="E32" s="37">
        <f>E_g!E32/(rat_weight!E32/1000)*0.1578</f>
        <v>5.87652818991097</v>
      </c>
      <c r="F32" s="37">
        <f>E_g!F32/(rat_weight!F32/1000)*0.1578</f>
        <v>5.3960344827586235</v>
      </c>
      <c r="G32" s="37">
        <f>E_g!G32/(rat_weight!G32/1000)*0.1578</f>
        <v>4.7340000000000231</v>
      </c>
      <c r="H32" s="37">
        <f>E_g!H32/(rat_weight!H32/1000)*0.1578</f>
        <v>6.457589285714298</v>
      </c>
      <c r="I32" s="37">
        <f>E_g!I32/(rat_weight!I32/1000)*0.1578</f>
        <v>6.0400847457627052</v>
      </c>
      <c r="J32" s="37">
        <f>E_g!J32/(rat_weight!J32/1000)*0.1578</f>
        <v>7.45922413793103</v>
      </c>
      <c r="K32" s="37">
        <f>E_g!K32/(rat_weight!K32/1000)*0.1578</f>
        <v>5.1130726256983472</v>
      </c>
      <c r="L32" s="37">
        <f>E_g!L32/(rat_weight!L32/1000)*0.1578</f>
        <v>6.2103361344537999</v>
      </c>
      <c r="M32" s="37">
        <f>E_g!M32/(rat_weight!M32/1000)*0.1578</f>
        <v>5.3686776859504111</v>
      </c>
      <c r="N32" s="37">
        <f>E_g!N32/(rat_weight!N32/1000)*0.1578</f>
        <v>3.9993388429752139</v>
      </c>
      <c r="O32" s="37">
        <f>E_g!O32/(rat_weight!O32/1000)*0.1578</f>
        <v>4.1297520661156906</v>
      </c>
      <c r="P32" s="37">
        <f>E_g!P32/(rat_weight!P32/1000)*0.1578</f>
        <v>4.6948760330578443</v>
      </c>
      <c r="Q32" s="37">
        <f>E_g!Q32/(rat_weight!Q32/1000)*0.1578</f>
        <v>3.7696666666666645</v>
      </c>
      <c r="R32" s="37">
        <f>E_g!R32/(rat_weight!R32/1000)*0.1578</f>
        <v>4.5586666666666691</v>
      </c>
      <c r="S32" s="37">
        <f>E_g!S32/(rat_weight!S32/1000)*0.1578</f>
        <v>5.5887499999999752</v>
      </c>
      <c r="T32" s="37" t="e">
        <f>E_g!T32/(rat_weight!T32/1000)*0.1578</f>
        <v>#VALUE!</v>
      </c>
      <c r="U32" s="37">
        <f>E_g!U32/(rat_weight!U32/1000)*0.1578</f>
        <v>2.9612853470437059</v>
      </c>
      <c r="V32" s="37">
        <f>E_g!V32/(rat_weight!V32/1000)*0.1578</f>
        <v>2.0688431876606774</v>
      </c>
      <c r="W32" s="37">
        <f>E_g!W32/(rat_weight!W32/1000)*0.1578</f>
        <v>4.0159897172236523</v>
      </c>
      <c r="X32" s="37">
        <f>E_g!X32/(rat_weight!X32/1000)*0.1578</f>
        <v>2.0688431876606543</v>
      </c>
      <c r="Y32" s="37">
        <f>E_g!Y32/(rat_weight!Y32/1000)*0.1578</f>
        <v>2.9815681233933371</v>
      </c>
      <c r="Z32" s="37">
        <f>E_g!Z32/(rat_weight!Z32/1000)*0.1578</f>
        <v>2.9413602015113369</v>
      </c>
      <c r="AA32" s="37">
        <f>E_g!AA32/(rat_weight!AA32/1000)*0.1578</f>
        <v>3.5574559193954611</v>
      </c>
      <c r="AB32" s="37">
        <f>E_g!AB32/(rat_weight!AB32/1000)*0.1578</f>
        <v>2.8618639798488732</v>
      </c>
      <c r="AC32" s="37">
        <f>E_g!AC32/(rat_weight!AC32/1000)*0.1578</f>
        <v>4.4887969924812001</v>
      </c>
      <c r="AD32" s="37">
        <f>E_g!AD32/(rat_weight!AD32/1000)*0.1578</f>
        <v>4.7656390977443426</v>
      </c>
      <c r="AE32" s="37">
        <f>E_g!AE32/(rat_weight!AE32/1000)*0.1578</f>
        <v>4.4492481203007515</v>
      </c>
      <c r="AF32" s="37">
        <f>E_g!AF32/(rat_weight!AF32/1000)*0.1578</f>
        <v>3.3704854368931971</v>
      </c>
      <c r="AG32" s="37">
        <f>E_g!AG32/(rat_weight!AG32/1000)*0.1578</f>
        <v>4.270558252427187</v>
      </c>
      <c r="AH32" s="37">
        <f>E_g!AH32/(rat_weight!AH32/1000)*0.1578</f>
        <v>3.887548543689312</v>
      </c>
      <c r="AI32" s="37">
        <f>E_g!AI32/(rat_weight!AI32/1000)*0.1578</f>
        <v>6.0367674418604498</v>
      </c>
      <c r="AJ32" s="37">
        <f>E_g!AJ32/(rat_weight!AJ32/1000)*0.1578</f>
        <v>4.201883720930228</v>
      </c>
      <c r="AK32" s="37">
        <f>E_g!AK32/(rat_weight!AK32/1000)*0.1578</f>
        <v>3.1926976744186106</v>
      </c>
    </row>
    <row r="33" spans="1:37">
      <c r="A33" s="30">
        <v>32</v>
      </c>
      <c r="B33" s="37">
        <f>E_g!B33/(rat_weight!B33/1000)*0.1578</f>
        <v>0.20946902654867258</v>
      </c>
      <c r="C33" s="37">
        <f>E_g!C33/(rat_weight!C33/1000)*0.1578</f>
        <v>1.1018793103448308</v>
      </c>
      <c r="D33" s="37">
        <f>E_g!D33/(rat_weight!D33/1000)*0.1578</f>
        <v>0.14963793103449358</v>
      </c>
      <c r="E33" s="37">
        <f>E_g!E33/(rat_weight!E33/1000)*0.1578</f>
        <v>6.7320819112635641E-2</v>
      </c>
      <c r="F33" s="37">
        <f>E_g!F33/(rat_weight!F33/1000)*0.1578</f>
        <v>2.6610455311986633E-2</v>
      </c>
      <c r="G33" s="37">
        <f>E_g!G33/(rat_weight!G33/1000)*0.1578</f>
        <v>0.14562080536913805</v>
      </c>
      <c r="H33" s="37">
        <f>E_g!H33/(rat_weight!H33/1000)*0.1578</f>
        <v>0.48981543624160923</v>
      </c>
      <c r="I33" s="37">
        <f>E_g!I33/(rat_weight!I33/1000)*0.1578</f>
        <v>0.11679276315789916</v>
      </c>
      <c r="J33" s="37">
        <f>E_g!J33/(rat_weight!J33/1000)*0.1578</f>
        <v>0.52429497568880523</v>
      </c>
      <c r="K33" s="37">
        <f>E_g!K33/(rat_weight!K33/1000)*0.1578</f>
        <v>5.0903225806455954E-2</v>
      </c>
      <c r="L33" s="37">
        <f>E_g!L33/(rat_weight!L33/1000)*0.1578</f>
        <v>0.590493630573247</v>
      </c>
      <c r="M33" s="37">
        <f>E_g!M33/(rat_weight!M33/1000)*0.1578</f>
        <v>0.43506706408345613</v>
      </c>
      <c r="N33" s="37">
        <f>E_g!N33/(rat_weight!N33/1000)*0.1578</f>
        <v>0.56357142857142439</v>
      </c>
      <c r="O33" s="37">
        <f>E_g!O33/(rat_weight!O33/1000)*0.1578</f>
        <v>0.39204968944099233</v>
      </c>
      <c r="P33" s="37">
        <f>E_g!P33/(rat_weight!P33/1000)*0.1578</f>
        <v>0.88211180124223465</v>
      </c>
      <c r="Q33" s="37">
        <f>E_g!Q33/(rat_weight!Q33/1000)*0.1578</f>
        <v>0.97878971255673086</v>
      </c>
      <c r="R33" s="37">
        <f>E_g!R33/(rat_weight!R33/1000)*0.1578</f>
        <v>1.1697730711044021</v>
      </c>
      <c r="S33" s="37">
        <f>E_g!S33/(rat_weight!S33/1000)*0.1578</f>
        <v>0.82361573373675967</v>
      </c>
      <c r="T33" s="37" t="e">
        <f>E_g!T33/(rat_weight!T33/1000)*0.1578</f>
        <v>#VALUE!</v>
      </c>
      <c r="U33" s="37">
        <f>E_g!U33/(rat_weight!U33/1000)*0.1578</f>
        <v>1.6598222222222141</v>
      </c>
      <c r="V33" s="37">
        <f>E_g!V33/(rat_weight!V33/1000)*0.1578</f>
        <v>1.4494222222222193</v>
      </c>
      <c r="W33" s="37">
        <f>E_g!W33/(rat_weight!W33/1000)*0.1578</f>
        <v>1.2744493392070417</v>
      </c>
      <c r="X33" s="37">
        <f>E_g!X33/(rat_weight!X33/1000)*0.1578</f>
        <v>1.1354185022026377</v>
      </c>
      <c r="Y33" s="37">
        <f>E_g!Y33/(rat_weight!Y33/1000)*0.1578</f>
        <v>1.6336123348017713</v>
      </c>
      <c r="Z33" s="37">
        <f>E_g!Z33/(rat_weight!Z33/1000)*0.1578</f>
        <v>1.5621520803443343</v>
      </c>
      <c r="AA33" s="37">
        <f>E_g!AA33/(rat_weight!AA33/1000)*0.1578</f>
        <v>1.4376327116212391</v>
      </c>
      <c r="AB33" s="37">
        <f>E_g!AB33/(rat_weight!AB33/1000)*0.1578</f>
        <v>0.81503586800573757</v>
      </c>
      <c r="AC33" s="37">
        <f>E_g!AC33/(rat_weight!AC33/1000)*0.1578</f>
        <v>1.0616855524079383</v>
      </c>
      <c r="AD33" s="37">
        <f>E_g!AD33/(rat_weight!AD33/1000)*0.1578</f>
        <v>1.7098725212464538</v>
      </c>
      <c r="AE33" s="37">
        <f>E_g!AE33/(rat_weight!AE33/1000)*0.1578</f>
        <v>0.72641643059490091</v>
      </c>
      <c r="AF33" s="37">
        <f>E_g!AF33/(rat_weight!AF33/1000)*0.1578</f>
        <v>0.94504178272981365</v>
      </c>
      <c r="AG33" s="37">
        <f>E_g!AG33/(rat_weight!AG33/1000)*0.1578</f>
        <v>1.1758077994428957</v>
      </c>
      <c r="AH33" s="37">
        <f>E_g!AH33/(rat_weight!AH33/1000)*0.1578</f>
        <v>1.7032729805013926</v>
      </c>
      <c r="AI33" s="37">
        <f>E_g!AI33/(rat_weight!AI33/1000)*0.1578</f>
        <v>1.9235950413223128</v>
      </c>
      <c r="AJ33" s="37">
        <f>E_g!AJ33/(rat_weight!AJ33/1000)*0.1578</f>
        <v>1.6410330578512422</v>
      </c>
      <c r="AK33" s="37">
        <f>E_g!AK33/(rat_weight!AK33/1000)*0.1578</f>
        <v>1.6301652892562046</v>
      </c>
    </row>
    <row r="34" spans="1:37">
      <c r="A34" s="30">
        <v>33</v>
      </c>
      <c r="B34" s="37">
        <f>E_g!B34/(rat_weight!B34/1000)*0.1578</f>
        <v>1.3565263157894674</v>
      </c>
      <c r="C34" s="37">
        <f>E_g!C34/(rat_weight!C34/1000)*0.1578</f>
        <v>0.24742160278748146</v>
      </c>
      <c r="D34" s="37">
        <f>E_g!D34/(rat_weight!D34/1000)*0.1578</f>
        <v>3.5036013986013956</v>
      </c>
      <c r="E34" s="37">
        <f>E_g!E34/(rat_weight!E34/1000)*0.1578</f>
        <v>5.4347202797202776</v>
      </c>
      <c r="F34" s="37">
        <f>E_g!F34/(rat_weight!F34/1000)*0.1578</f>
        <v>6.2031724137931068</v>
      </c>
      <c r="G34" s="37">
        <f>E_g!G34/(rat_weight!G34/1000)*0.1578</f>
        <v>5.1433105802047692</v>
      </c>
      <c r="H34" s="37">
        <f>E_g!H34/(rat_weight!H34/1000)*0.1578</f>
        <v>7.3621478873239594</v>
      </c>
      <c r="I34" s="37">
        <f>E_g!I34/(rat_weight!I34/1000)*0.1578</f>
        <v>6.285254237288151</v>
      </c>
      <c r="J34" s="37">
        <f>E_g!J34/(rat_weight!J34/1000)*0.1578</f>
        <v>7.1360068259385363</v>
      </c>
      <c r="K34" s="37">
        <f>E_g!K34/(rat_weight!K34/1000)*0.1578</f>
        <v>7.2955479452054952</v>
      </c>
      <c r="L34" s="37">
        <f>E_g!L34/(rat_weight!L34/1000)*0.1578</f>
        <v>6.1075415282392358</v>
      </c>
      <c r="M34" s="37">
        <f>E_g!M34/(rat_weight!M34/1000)*0.1578</f>
        <v>7.9694295302013334</v>
      </c>
      <c r="N34" s="37">
        <f>E_g!N34/(rat_weight!N34/1000)*0.1578</f>
        <v>8.2330434782608961</v>
      </c>
      <c r="O34" s="37">
        <f>E_g!O34/(rat_weight!O34/1000)*0.1578</f>
        <v>7.8636120401337823</v>
      </c>
      <c r="P34" s="37">
        <f>E_g!P34/(rat_weight!P34/1000)*0.1578</f>
        <v>7.1247491638795832</v>
      </c>
      <c r="Q34" s="37">
        <f>E_g!Q34/(rat_weight!Q34/1000)*0.1578</f>
        <v>6.860869565217377</v>
      </c>
      <c r="R34" s="37">
        <f>E_g!R34/(rat_weight!R34/1000)*0.1578</f>
        <v>8.3913712374581966</v>
      </c>
      <c r="S34" s="37">
        <f>E_g!S34/(rat_weight!S34/1000)*0.1578</f>
        <v>7.9427759197324175</v>
      </c>
      <c r="T34" s="37" t="e">
        <f>E_g!T34/(rat_weight!T34/1000)*0.1578</f>
        <v>#VALUE!</v>
      </c>
      <c r="U34" s="37">
        <f>E_g!U34/(rat_weight!U34/1000)*0.1578</f>
        <v>6.8223762376237742</v>
      </c>
      <c r="V34" s="37">
        <f>E_g!V34/(rat_weight!V34/1000)*0.1578</f>
        <v>7.6556435643564598</v>
      </c>
      <c r="W34" s="37">
        <f>E_g!W34/(rat_weight!W34/1000)*0.1578</f>
        <v>8.6842953020134264</v>
      </c>
      <c r="X34" s="37">
        <f>E_g!X34/(rat_weight!X34/1000)*0.1578</f>
        <v>9.2138255033556931</v>
      </c>
      <c r="Y34" s="37">
        <f>E_g!Y34/(rat_weight!Y34/1000)*0.1578</f>
        <v>8.6048657718120953</v>
      </c>
      <c r="Z34" s="37">
        <f>E_g!Z34/(rat_weight!Z34/1000)*0.1578</f>
        <v>8.021939799331113</v>
      </c>
      <c r="AA34" s="37">
        <f>E_g!AA34/(rat_weight!AA34/1000)*0.1578</f>
        <v>8.0483277591973241</v>
      </c>
      <c r="AB34" s="37">
        <f>E_g!AB34/(rat_weight!AB34/1000)*0.1578</f>
        <v>9.024682274247489</v>
      </c>
      <c r="AC34" s="37">
        <f>E_g!AC34/(rat_weight!AC34/1000)*0.1578</f>
        <v>9.7918241042345482</v>
      </c>
      <c r="AD34" s="37">
        <f>E_g!AD34/(rat_weight!AD34/1000)*0.1578</f>
        <v>8.3526058631921831</v>
      </c>
      <c r="AE34" s="37">
        <f>E_g!AE34/(rat_weight!AE34/1000)*0.1578</f>
        <v>9.6890228013029134</v>
      </c>
      <c r="AF34" s="37">
        <f>E_g!AF34/(rat_weight!AF34/1000)*0.1578</f>
        <v>8.3052631578947516</v>
      </c>
      <c r="AG34" s="37">
        <f>E_g!AG34/(rat_weight!AG34/1000)*0.1578</f>
        <v>8.7983881578947152</v>
      </c>
      <c r="AH34" s="37">
        <f>E_g!AH34/(rat_weight!AH34/1000)*0.1578</f>
        <v>6.7220723684210464</v>
      </c>
      <c r="AI34" s="37">
        <f>E_g!AI34/(rat_weight!AI34/1000)*0.1578</f>
        <v>7.7602302631579034</v>
      </c>
      <c r="AJ34" s="37">
        <f>E_g!AJ34/(rat_weight!AJ34/1000)*0.1578</f>
        <v>10.355624999999993</v>
      </c>
      <c r="AK34" s="37">
        <f>E_g!AK34/(rat_weight!AK34/1000)*0.1578</f>
        <v>10.17394736842105</v>
      </c>
    </row>
    <row r="35" spans="1:37">
      <c r="A35" s="30">
        <v>34</v>
      </c>
      <c r="B35" s="37">
        <f>E_g!B35/(rat_weight!B35/1000)*0.1578</f>
        <v>6.4663695652173994</v>
      </c>
      <c r="C35" s="37">
        <f>E_g!C35/(rat_weight!C35/1000)*0.1578</f>
        <v>3.6899353448275938</v>
      </c>
      <c r="D35" s="37">
        <f>E_g!D35/(rat_weight!D35/1000)*0.1578</f>
        <v>3.7373684210526412</v>
      </c>
      <c r="E35" s="37">
        <f>E_g!E35/(rat_weight!E35/1000)*0.1578</f>
        <v>5.1004393305439386</v>
      </c>
      <c r="F35" s="37">
        <f>E_g!F35/(rat_weight!F35/1000)*0.1578</f>
        <v>5.6310373443983455</v>
      </c>
      <c r="G35" s="37">
        <f>E_g!G35/(rat_weight!G35/1000)*0.1578</f>
        <v>5.7751546391752671</v>
      </c>
      <c r="H35" s="37">
        <f>E_g!H35/(rat_weight!H35/1000)*0.1578</f>
        <v>6.6823469387755186</v>
      </c>
      <c r="I35" s="37">
        <f>E_g!I35/(rat_weight!I35/1000)*0.1578</f>
        <v>6.553530612244896</v>
      </c>
      <c r="J35" s="37">
        <f>E_g!J35/(rat_weight!J35/1000)*0.1578</f>
        <v>6.8464328657314555</v>
      </c>
      <c r="K35" s="37">
        <f>E_g!K35/(rat_weight!K35/1000)*0.1578</f>
        <v>7.8112574850299525</v>
      </c>
      <c r="L35" s="37">
        <f>E_g!L35/(rat_weight!L35/1000)*0.1578</f>
        <v>6.4526138613861406</v>
      </c>
      <c r="M35" s="37">
        <f>E_g!M35/(rat_weight!M35/1000)*0.1578</f>
        <v>6.6893478260869434</v>
      </c>
      <c r="N35" s="37">
        <f>E_g!N35/(rat_weight!N35/1000)*0.1578</f>
        <v>6.83289320388349</v>
      </c>
      <c r="O35" s="37">
        <f>E_g!O35/(rat_weight!O35/1000)*0.1578</f>
        <v>6.2507184466019599</v>
      </c>
      <c r="P35" s="37">
        <f>E_g!P35/(rat_weight!P35/1000)*0.1578</f>
        <v>7.0780194174757263</v>
      </c>
      <c r="Q35" s="37">
        <f>E_g!Q35/(rat_weight!Q35/1000)*0.1578</f>
        <v>7.06342857142858</v>
      </c>
      <c r="R35" s="37">
        <f>E_g!R35/(rat_weight!R35/1000)*0.1578</f>
        <v>6.4923428571428552</v>
      </c>
      <c r="S35" s="37">
        <f>E_g!S35/(rat_weight!S35/1000)*0.1578</f>
        <v>6.5073714285714042</v>
      </c>
      <c r="T35" s="37" t="e">
        <f>E_g!T35/(rat_weight!T35/1000)*0.1578</f>
        <v>#VALUE!</v>
      </c>
      <c r="U35" s="37">
        <f>E_g!U35/(rat_weight!U35/1000)*0.1578</f>
        <v>7.7079230769230698</v>
      </c>
      <c r="V35" s="37">
        <f>E_g!V35/(rat_weight!V35/1000)*0.1578</f>
        <v>7.1920384615384751</v>
      </c>
      <c r="W35" s="37">
        <f>E_g!W35/(rat_weight!W35/1000)*0.1578</f>
        <v>6.2591061452513914</v>
      </c>
      <c r="X35" s="37">
        <f>E_g!X35/(rat_weight!X35/1000)*0.1578</f>
        <v>7.4639106145251324</v>
      </c>
      <c r="Y35" s="37">
        <f>E_g!Y35/(rat_weight!Y35/1000)*0.1578</f>
        <v>7.5079888268156534</v>
      </c>
      <c r="Z35" s="37">
        <f>E_g!Z35/(rat_weight!Z35/1000)*0.1578</f>
        <v>6.9841111111111118</v>
      </c>
      <c r="AA35" s="37">
        <f>E_g!AA35/(rat_weight!AA35/1000)*0.1578</f>
        <v>6.8526111111111074</v>
      </c>
      <c r="AB35" s="37">
        <f>E_g!AB35/(rat_weight!AB35/1000)*0.1578</f>
        <v>8.415999999999995</v>
      </c>
      <c r="AC35" s="37">
        <f>E_g!AC35/(rat_weight!AC35/1000)*0.1578</f>
        <v>7.8900000000000041</v>
      </c>
      <c r="AD35" s="37">
        <f>E_g!AD35/(rat_weight!AD35/1000)*0.1578</f>
        <v>8.0049726775956174</v>
      </c>
      <c r="AE35" s="37">
        <f>E_g!AE35/(rat_weight!AE35/1000)*0.1578</f>
        <v>8.1774316939890674</v>
      </c>
      <c r="AF35" s="37">
        <f>E_g!AF35/(rat_weight!AF35/1000)*0.1578</f>
        <v>7.4174591651542663</v>
      </c>
      <c r="AG35" s="37">
        <f>E_g!AG35/(rat_weight!AG35/1000)*0.1578</f>
        <v>8.6918874773139727</v>
      </c>
      <c r="AH35" s="37">
        <f>E_g!AH35/(rat_weight!AH35/1000)*0.1578</f>
        <v>8.0618330308529877</v>
      </c>
      <c r="AI35" s="37">
        <f>E_g!AI35/(rat_weight!AI35/1000)*0.1578</f>
        <v>8.089027027027031</v>
      </c>
      <c r="AJ35" s="37">
        <f>E_g!AJ35/(rat_weight!AJ35/1000)*0.1578</f>
        <v>8.6292432432432324</v>
      </c>
      <c r="AK35" s="37">
        <f>E_g!AK35/(rat_weight!AK35/1000)*0.1578</f>
        <v>8.1601081081080959</v>
      </c>
    </row>
    <row r="36" spans="1:37">
      <c r="A36" s="30">
        <v>35</v>
      </c>
      <c r="B36" s="37">
        <f>E_g!B36/(rat_weight!B36/1000)*0.1578</f>
        <v>3.6598192771084008</v>
      </c>
      <c r="C36" s="37">
        <f>E_g!C36/(rat_weight!C36/1000)*0.1578</f>
        <v>5.0588823529412181</v>
      </c>
      <c r="D36" s="37">
        <f>E_g!D36/(rat_weight!D36/1000)*0.1578</f>
        <v>3.2569186046511471</v>
      </c>
      <c r="E36" s="37">
        <f>E_g!E36/(rat_weight!E36/1000)*0.1578</f>
        <v>6.1927325581395092</v>
      </c>
      <c r="F36" s="37">
        <f>E_g!F36/(rat_weight!F36/1000)*0.1578</f>
        <v>5.1025149700598851</v>
      </c>
      <c r="G36" s="37">
        <f>E_g!G36/(rat_weight!G36/1000)*0.1578</f>
        <v>6.9671929824561243</v>
      </c>
      <c r="H36" s="37">
        <f>E_g!H36/(rat_weight!H36/1000)*0.1578</f>
        <v>9.4776219512195059</v>
      </c>
      <c r="I36" s="37">
        <f>E_g!I36/(rat_weight!I36/1000)*0.1578</f>
        <v>7.7523837209302489</v>
      </c>
      <c r="J36" s="37">
        <f>E_g!J36/(rat_weight!J36/1000)*0.1578</f>
        <v>5.4867241379310459</v>
      </c>
      <c r="K36" s="37">
        <f>E_g!K36/(rat_weight!K36/1000)*0.1578</f>
        <v>6.6055813953488531</v>
      </c>
      <c r="L36" s="37">
        <f>E_g!L36/(rat_weight!L36/1000)*0.1578</f>
        <v>6.0092441860464962</v>
      </c>
      <c r="M36" s="37">
        <f>E_g!M36/(rat_weight!M36/1000)*0.1578</f>
        <v>7.8435882352941331</v>
      </c>
      <c r="N36" s="37">
        <f>E_g!N36/(rat_weight!N36/1000)*0.1578</f>
        <v>8.5397647058823676</v>
      </c>
      <c r="O36" s="37">
        <f>E_g!O36/(rat_weight!O36/1000)*0.1578</f>
        <v>9.6536470588235872</v>
      </c>
      <c r="P36" s="37">
        <f>E_g!P36/(rat_weight!P36/1000)*0.1578</f>
        <v>7.8900000000000254</v>
      </c>
      <c r="Q36" s="37">
        <f>E_g!Q36/(rat_weight!Q36/1000)*0.1578</f>
        <v>8.5902958579881812</v>
      </c>
      <c r="R36" s="37">
        <f>E_g!R36/(rat_weight!R36/1000)*0.1578</f>
        <v>8.7770414201183478</v>
      </c>
      <c r="S36" s="37">
        <f>E_g!S36/(rat_weight!S36/1000)*0.1578</f>
        <v>9.5707100591715975</v>
      </c>
      <c r="T36" s="37" t="e">
        <f>E_g!T36/(rat_weight!T36/1000)*0.1578</f>
        <v>#VALUE!</v>
      </c>
      <c r="U36" s="37">
        <f>E_g!U36/(rat_weight!U36/1000)*0.1578</f>
        <v>9.504912280701765</v>
      </c>
      <c r="V36" s="37">
        <f>E_g!V36/(rat_weight!V36/1000)*0.1578</f>
        <v>8.4898245614035499</v>
      </c>
      <c r="W36" s="37">
        <f>E_g!W36/(rat_weight!W36/1000)*0.1578</f>
        <v>8.1128813559321991</v>
      </c>
      <c r="X36" s="37">
        <f>E_g!X36/(rat_weight!X36/1000)*0.1578</f>
        <v>9.3610169491525426</v>
      </c>
      <c r="Y36" s="37">
        <f>E_g!Y36/(rat_weight!Y36/1000)*0.1578</f>
        <v>8.3357627118644526</v>
      </c>
      <c r="Z36" s="37">
        <f>E_g!Z36/(rat_weight!Z36/1000)*0.1578</f>
        <v>4.7871910112359606</v>
      </c>
      <c r="AA36" s="37">
        <f>E_g!AA36/(rat_weight!AA36/1000)*0.1578</f>
        <v>6.8705056179775283</v>
      </c>
      <c r="AB36" s="37">
        <f>E_g!AB36/(rat_weight!AB36/1000)*0.1578</f>
        <v>7.7126966292134984</v>
      </c>
      <c r="AC36" s="37">
        <f>E_g!AC36/(rat_weight!AC36/1000)*0.1578</f>
        <v>5.2154237288136054</v>
      </c>
      <c r="AD36" s="37">
        <f>E_g!AD36/(rat_weight!AD36/1000)*0.1578</f>
        <v>7.7116949152542169</v>
      </c>
      <c r="AE36" s="37">
        <f>E_g!AE36/(rat_weight!AE36/1000)*0.1578</f>
        <v>6.9093220338982553</v>
      </c>
      <c r="AF36" s="37">
        <f>E_g!AF36/(rat_weight!AF36/1000)*0.1578</f>
        <v>7.0617679558011002</v>
      </c>
      <c r="AG36" s="37">
        <f>E_g!AG36/(rat_weight!AG36/1000)*0.1578</f>
        <v>8.1515469613259626</v>
      </c>
      <c r="AH36" s="37">
        <f>E_g!AH36/(rat_weight!AH36/1000)*0.1578</f>
        <v>9.2849171270718038</v>
      </c>
      <c r="AI36" s="37">
        <f>E_g!AI36/(rat_weight!AI36/1000)*0.1578</f>
        <v>6.4079005524861836</v>
      </c>
      <c r="AJ36" s="37">
        <f>E_g!AJ36/(rat_weight!AJ36/1000)*0.1578</f>
        <v>6.23353591160219</v>
      </c>
      <c r="AK36" s="37">
        <f>E_g!AK36/(rat_weight!AK36/1000)*0.1578</f>
        <v>7.3233149171270773</v>
      </c>
    </row>
    <row r="37" spans="1:37">
      <c r="A37" s="30">
        <v>36</v>
      </c>
      <c r="B37" s="37">
        <f>E_g!B37/(rat_weight!B37/1000)*0.1578</f>
        <v>2.8113793103448139</v>
      </c>
      <c r="C37" s="37">
        <f>E_g!C37/(rat_weight!C37/1000)*0.1578</f>
        <v>5.6867547169811381</v>
      </c>
      <c r="D37" s="37">
        <f>E_g!D37/(rat_weight!D37/1000)*0.1578</f>
        <v>6.7331954887218002</v>
      </c>
      <c r="E37" s="37">
        <f>E_g!E37/(rat_weight!E37/1000)*0.1578</f>
        <v>3.4445149253731309</v>
      </c>
      <c r="F37" s="37">
        <f>E_g!F37/(rat_weight!F37/1000)*0.1578</f>
        <v>4.3671586715867319</v>
      </c>
      <c r="G37" s="37">
        <f>E_g!G37/(rat_weight!G37/1000)*0.1578</f>
        <v>2.4565934065934227</v>
      </c>
      <c r="H37" s="37">
        <f>E_g!H37/(rat_weight!H37/1000)*0.1578</f>
        <v>5.327933579335796</v>
      </c>
      <c r="I37" s="37">
        <f>E_g!I37/(rat_weight!I37/1000)*0.1578</f>
        <v>6.0583928571428718</v>
      </c>
      <c r="J37" s="37">
        <f>E_g!J37/(rat_weight!J37/1000)*0.1578</f>
        <v>6.8821532846715261</v>
      </c>
      <c r="K37" s="37">
        <f>E_g!K37/(rat_weight!K37/1000)*0.1578</f>
        <v>5.7841281138790244</v>
      </c>
      <c r="L37" s="37">
        <f>E_g!L37/(rat_weight!L37/1000)*0.1578</f>
        <v>5.9390181818182102</v>
      </c>
      <c r="M37" s="37">
        <f>E_g!M37/(rat_weight!M37/1000)*0.1578</f>
        <v>5.6075357142856914</v>
      </c>
      <c r="N37" s="37">
        <f>E_g!N37/(rat_weight!N37/1000)*0.1578</f>
        <v>4.8952554744525374</v>
      </c>
      <c r="O37" s="37">
        <f>E_g!O37/(rat_weight!O37/1000)*0.1578</f>
        <v>5.8743065693430756</v>
      </c>
      <c r="P37" s="37">
        <f>E_g!P37/(rat_weight!P37/1000)*0.1578</f>
        <v>5.6439416058394389</v>
      </c>
      <c r="Q37" s="37">
        <f>E_g!Q37/(rat_weight!Q37/1000)*0.1578</f>
        <v>6.8416783216783257</v>
      </c>
      <c r="R37" s="37">
        <f>E_g!R37/(rat_weight!R37/1000)*0.1578</f>
        <v>5.9037062937063034</v>
      </c>
      <c r="S37" s="37">
        <f>E_g!S37/(rat_weight!S37/1000)*0.1578</f>
        <v>7.0347902097901791</v>
      </c>
      <c r="T37" s="37" t="e">
        <f>E_g!T37/(rat_weight!T37/1000)*0.1578</f>
        <v>#VALUE!</v>
      </c>
      <c r="U37" s="37">
        <f>E_g!U37/(rat_weight!U37/1000)*0.1578</f>
        <v>7.5091034482758383</v>
      </c>
      <c r="V37" s="37">
        <f>E_g!V37/(rat_weight!V37/1000)*0.1578</f>
        <v>6.8561379310345263</v>
      </c>
      <c r="W37" s="37">
        <f>E_g!W37/(rat_weight!W37/1000)*0.1578</f>
        <v>5.5414715719063397</v>
      </c>
      <c r="X37" s="37">
        <f>E_g!X37/(rat_weight!X37/1000)*0.1578</f>
        <v>6.7025418060200606</v>
      </c>
      <c r="Y37" s="37">
        <f>E_g!Y37/(rat_weight!Y37/1000)*0.1578</f>
        <v>6.9928093645485099</v>
      </c>
      <c r="Z37" s="37">
        <f>E_g!Z37/(rat_weight!Z37/1000)*0.1578</f>
        <v>7.1062251655629112</v>
      </c>
      <c r="AA37" s="37">
        <f>E_g!AA37/(rat_weight!AA37/1000)*0.1578</f>
        <v>6.1395695364238412</v>
      </c>
      <c r="AB37" s="37">
        <f>E_g!AB37/(rat_weight!AB37/1000)*0.1578</f>
        <v>7.4719867549668786</v>
      </c>
      <c r="AC37" s="37">
        <f>E_g!AC37/(rat_weight!AC37/1000)*0.1578</f>
        <v>6.2655882352941497</v>
      </c>
      <c r="AD37" s="37">
        <f>E_g!AD37/(rat_weight!AD37/1000)*0.1578</f>
        <v>7.348529411764706</v>
      </c>
      <c r="AE37" s="37">
        <f>E_g!AE37/(rat_weight!AE37/1000)*0.1578</f>
        <v>7.5548039215686158</v>
      </c>
      <c r="AF37" s="37">
        <f>E_g!AF37/(rat_weight!AF37/1000)*0.1578</f>
        <v>5.5844805194805227</v>
      </c>
      <c r="AG37" s="37">
        <f>E_g!AG37/(rat_weight!AG37/1000)*0.1578</f>
        <v>7.3008116883116738</v>
      </c>
      <c r="AH37" s="37">
        <f>E_g!AH37/(rat_weight!AH37/1000)*0.1578</f>
        <v>6.6347727272727219</v>
      </c>
      <c r="AI37" s="37">
        <f>E_g!AI37/(rat_weight!AI37/1000)*0.1578</f>
        <v>5.7266129032257913</v>
      </c>
      <c r="AJ37" s="37">
        <f>E_g!AJ37/(rat_weight!AJ37/1000)*0.1578</f>
        <v>6.3374516129032203</v>
      </c>
      <c r="AK37" s="37">
        <f>E_g!AK37/(rat_weight!AK37/1000)*0.1578</f>
        <v>6.2610967741935397</v>
      </c>
    </row>
    <row r="38" spans="1:37">
      <c r="A38" s="30">
        <v>37</v>
      </c>
      <c r="B38" s="37">
        <f>E_g!B38/(rat_weight!B38/1000)*0.1578</f>
        <v>3.1982098765432174</v>
      </c>
      <c r="C38" s="37">
        <f>E_g!C38/(rat_weight!C38/1000)*0.1578</f>
        <v>4.9433265306122518</v>
      </c>
      <c r="D38" s="37">
        <f>E_g!D38/(rat_weight!D38/1000)*0.1578</f>
        <v>6.145398406374496</v>
      </c>
      <c r="E38" s="37">
        <f>E_g!E38/(rat_weight!E38/1000)*0.1578</f>
        <v>6.4224599999999983</v>
      </c>
      <c r="F38" s="37">
        <f>E_g!F38/(rat_weight!F38/1000)*0.1578</f>
        <v>5.7495445544554471</v>
      </c>
      <c r="G38" s="37">
        <f>E_g!G38/(rat_weight!G38/1000)*0.1578</f>
        <v>6.5184960937500014</v>
      </c>
      <c r="H38" s="37">
        <f>E_g!H38/(rat_weight!H38/1000)*0.1578</f>
        <v>6.6088514851485165</v>
      </c>
      <c r="I38" s="37">
        <f>E_g!I38/(rat_weight!I38/1000)*0.1578</f>
        <v>5.2651771653543351</v>
      </c>
      <c r="J38" s="37">
        <f>E_g!J38/(rat_weight!J38/1000)*0.1578</f>
        <v>5.5121917808219072</v>
      </c>
      <c r="K38" s="37">
        <f>E_g!K38/(rat_weight!K38/1000)*0.1578</f>
        <v>7.2783720930232496</v>
      </c>
      <c r="L38" s="37">
        <f>E_g!L38/(rat_weight!L38/1000)*0.1578</f>
        <v>5.3158494208494256</v>
      </c>
      <c r="M38" s="37">
        <f>E_g!M38/(rat_weight!M38/1000)*0.1578</f>
        <v>6.9546653919694021</v>
      </c>
      <c r="N38" s="37">
        <f>E_g!N38/(rat_weight!N38/1000)*0.1578</f>
        <v>6.2586090225564055</v>
      </c>
      <c r="O38" s="37">
        <f>E_g!O38/(rat_weight!O38/1000)*0.1578</f>
        <v>6.2586090225563886</v>
      </c>
      <c r="P38" s="37">
        <f>E_g!P38/(rat_weight!P38/1000)*0.1578</f>
        <v>7.7416917293233052</v>
      </c>
      <c r="Q38" s="37">
        <f>E_g!Q38/(rat_weight!Q38/1000)*0.1578</f>
        <v>7.493296089385483</v>
      </c>
      <c r="R38" s="37">
        <f>E_g!R38/(rat_weight!R38/1000)*0.1578</f>
        <v>5.8183240223463635</v>
      </c>
      <c r="S38" s="37">
        <f>E_g!S38/(rat_weight!S38/1000)*0.1578</f>
        <v>5.7742458100558585</v>
      </c>
      <c r="T38" s="37" t="e">
        <f>E_g!T38/(rat_weight!T38/1000)*0.1578</f>
        <v>#VALUE!</v>
      </c>
      <c r="U38" s="37">
        <f>E_g!U38/(rat_weight!U38/1000)*0.1578</f>
        <v>5.143111111111117</v>
      </c>
      <c r="V38" s="37">
        <f>E_g!V38/(rat_weight!V38/1000)*0.1578</f>
        <v>6.0490000000000128</v>
      </c>
      <c r="W38" s="37">
        <f>E_g!W38/(rat_weight!W38/1000)*0.1578</f>
        <v>7.47016513761469</v>
      </c>
      <c r="X38" s="37">
        <f>E_g!X38/(rat_weight!X38/1000)*0.1578</f>
        <v>6.4857247706421939</v>
      </c>
      <c r="Y38" s="37">
        <f>E_g!Y38/(rat_weight!Y38/1000)*0.1578</f>
        <v>7.0213761467889979</v>
      </c>
      <c r="Z38" s="37">
        <f>E_g!Z38/(rat_weight!Z38/1000)*0.1578</f>
        <v>7.1283060109289558</v>
      </c>
      <c r="AA38" s="37">
        <f>E_g!AA38/(rat_weight!AA38/1000)*0.1578</f>
        <v>8.1486885245901544</v>
      </c>
      <c r="AB38" s="37">
        <f>E_g!AB38/(rat_weight!AB38/1000)*0.1578</f>
        <v>6.8121311475409714</v>
      </c>
      <c r="AC38" s="37">
        <f>E_g!AC38/(rat_weight!AC38/1000)*0.1578</f>
        <v>7.7187884267631208</v>
      </c>
      <c r="AD38" s="37">
        <f>E_g!AD38/(rat_weight!AD38/1000)*0.1578</f>
        <v>8.032676311030734</v>
      </c>
      <c r="AE38" s="37">
        <f>E_g!AE38/(rat_weight!AE38/1000)*0.1578</f>
        <v>8.3180289330922328</v>
      </c>
      <c r="AF38" s="37">
        <f>E_g!AF38/(rat_weight!AF38/1000)*0.1578</f>
        <v>8.1325497287522683</v>
      </c>
      <c r="AG38" s="37">
        <f>E_g!AG38/(rat_weight!AG38/1000)*0.1578</f>
        <v>7.9756057866184324</v>
      </c>
      <c r="AH38" s="37">
        <f>E_g!AH38/(rat_weight!AH38/1000)*0.1578</f>
        <v>7.5475768535262162</v>
      </c>
      <c r="AI38" s="37">
        <f>E_g!AI38/(rat_weight!AI38/1000)*0.1578</f>
        <v>6.8379999999999947</v>
      </c>
      <c r="AJ38" s="37">
        <f>E_g!AJ38/(rat_weight!AJ38/1000)*0.1578</f>
        <v>7.1223243243243113</v>
      </c>
      <c r="AK38" s="37">
        <f>E_g!AK38/(rat_weight!AK38/1000)*0.1578</f>
        <v>7.3924324324324395</v>
      </c>
    </row>
    <row r="39" spans="1:37">
      <c r="A39" s="30">
        <v>38</v>
      </c>
      <c r="B39" s="37">
        <f>E_g!B39/(rat_weight!B39/1000)*0.1578</f>
        <v>3.5161956521739</v>
      </c>
      <c r="C39" s="37">
        <f>E_g!C39/(rat_weight!C39/1000)*0.1578</f>
        <v>6.5422419928825803</v>
      </c>
      <c r="D39" s="37">
        <f>E_g!D39/(rat_weight!D39/1000)*0.1578</f>
        <v>6.8894565217391195</v>
      </c>
      <c r="E39" s="37">
        <f>E_g!E39/(rat_weight!E39/1000)*0.1578</f>
        <v>6.7272631578947406</v>
      </c>
      <c r="F39" s="37">
        <f>E_g!F39/(rat_weight!F39/1000)*0.1578</f>
        <v>7.6336462093862849</v>
      </c>
      <c r="G39" s="37">
        <f>E_g!G39/(rat_weight!G39/1000)*0.1578</f>
        <v>7.4177112676056627</v>
      </c>
      <c r="H39" s="37">
        <f>E_g!H39/(rat_weight!H39/1000)*0.1578</f>
        <v>7.3916842105263125</v>
      </c>
      <c r="I39" s="37">
        <f>E_g!I39/(rat_weight!I39/1000)*0.1578</f>
        <v>6.6656896551724287</v>
      </c>
      <c r="J39" s="37">
        <f>E_g!J39/(rat_weight!J39/1000)*0.1578</f>
        <v>7.2144863013698446</v>
      </c>
      <c r="K39" s="37">
        <f>E_g!K39/(rat_weight!K39/1000)*0.1578</f>
        <v>8.6174468085106426</v>
      </c>
      <c r="L39" s="37">
        <f>E_g!L39/(rat_weight!L39/1000)*0.1578</f>
        <v>7.9977133105802318</v>
      </c>
      <c r="M39" s="37">
        <f>E_g!M39/(rat_weight!M39/1000)*0.1578</f>
        <v>7.7008561643835769</v>
      </c>
      <c r="N39" s="37">
        <f>E_g!N39/(rat_weight!N39/1000)*0.1578</f>
        <v>8.7191186440678177</v>
      </c>
      <c r="O39" s="37">
        <f>E_g!O39/(rat_weight!O39/1000)*0.1578</f>
        <v>8.2911864406779809</v>
      </c>
      <c r="P39" s="37">
        <f>E_g!P39/(rat_weight!P39/1000)*0.1578</f>
        <v>8.9865762711864328</v>
      </c>
      <c r="Q39" s="37">
        <f>E_g!Q39/(rat_weight!Q39/1000)*0.1578</f>
        <v>7.438383838383853</v>
      </c>
      <c r="R39" s="37">
        <f>E_g!R39/(rat_weight!R39/1000)*0.1578</f>
        <v>6.9070707070707229</v>
      </c>
      <c r="S39" s="37">
        <f>E_g!S39/(rat_weight!S39/1000)*0.1578</f>
        <v>8.7932323232323295</v>
      </c>
      <c r="T39" s="37" t="e">
        <f>E_g!T39/(rat_weight!T39/1000)*0.1578</f>
        <v>#VALUE!</v>
      </c>
      <c r="U39" s="37">
        <f>E_g!U39/(rat_weight!U39/1000)*0.1578</f>
        <v>7.7065116279070001</v>
      </c>
      <c r="V39" s="37">
        <f>E_g!V39/(rat_weight!V39/1000)*0.1578</f>
        <v>7.4443853820598243</v>
      </c>
      <c r="W39" s="37">
        <f>E_g!W39/(rat_weight!W39/1000)*0.1578</f>
        <v>9.1161486486486449</v>
      </c>
      <c r="X39" s="37">
        <f>E_g!X39/(rat_weight!X39/1000)*0.1578</f>
        <v>8.7429729729729608</v>
      </c>
      <c r="Y39" s="37">
        <f>E_g!Y39/(rat_weight!Y39/1000)*0.1578</f>
        <v>8.1832094594594871</v>
      </c>
      <c r="Z39" s="37">
        <f>E_g!Z39/(rat_weight!Z39/1000)*0.1578</f>
        <v>8.5977408637873776</v>
      </c>
      <c r="AA39" s="37">
        <f>E_g!AA39/(rat_weight!AA39/1000)*0.1578</f>
        <v>6.8939202657807197</v>
      </c>
      <c r="AB39" s="37">
        <f>E_g!AB39/(rat_weight!AB39/1000)*0.1578</f>
        <v>8.5453156146179303</v>
      </c>
      <c r="AC39" s="37">
        <f>E_g!AC39/(rat_weight!AC39/1000)*0.1578</f>
        <v>7.113934426229493</v>
      </c>
      <c r="AD39" s="37">
        <f>E_g!AD39/(rat_weight!AD39/1000)*0.1578</f>
        <v>7.6830491803278509</v>
      </c>
      <c r="AE39" s="37">
        <f>E_g!AE39/(rat_weight!AE39/1000)*0.1578</f>
        <v>9.235180327868834</v>
      </c>
      <c r="AF39" s="37">
        <f>E_g!AF39/(rat_weight!AF39/1000)*0.1578</f>
        <v>8.5128947368421084</v>
      </c>
      <c r="AG39" s="37">
        <f>E_g!AG39/(rat_weight!AG39/1000)*0.1578</f>
        <v>8.2793092105263248</v>
      </c>
      <c r="AH39" s="37">
        <f>E_g!AH39/(rat_weight!AH39/1000)*0.1578</f>
        <v>6.9816118421052566</v>
      </c>
      <c r="AI39" s="37">
        <f>E_g!AI39/(rat_weight!AI39/1000)*0.1578</f>
        <v>8.1251324503311171</v>
      </c>
      <c r="AJ39" s="37">
        <f>E_g!AJ39/(rat_weight!AJ39/1000)*0.1578</f>
        <v>8.3863907284767976</v>
      </c>
      <c r="AK39" s="37">
        <f>E_g!AK39/(rat_weight!AK39/1000)*0.1578</f>
        <v>8.2557615894039653</v>
      </c>
    </row>
    <row r="40" spans="1:37">
      <c r="A40" s="30">
        <v>39</v>
      </c>
      <c r="B40" s="37">
        <f>E_g!B40/(rat_weight!B40/1000)*0.1578</f>
        <v>0.20932653061223755</v>
      </c>
      <c r="C40" s="37">
        <f>E_g!C40/(rat_weight!C40/1000)*0.1578</f>
        <v>0.14581108829570263</v>
      </c>
      <c r="D40" s="37">
        <f>E_g!D40/(rat_weight!D40/1000)*0.1578</f>
        <v>0.20763157894735207</v>
      </c>
      <c r="E40" s="37">
        <f>E_g!E40/(rat_weight!E40/1000)*0.1578</f>
        <v>-1.5654761904756564E-2</v>
      </c>
      <c r="F40" s="37">
        <f>E_g!F40/(rat_weight!F40/1000)*0.1578</f>
        <v>0.59606361829026022</v>
      </c>
      <c r="G40" s="37">
        <f>E_g!G40/(rat_weight!G40/1000)*0.1578</f>
        <v>4.696428571430529E-2</v>
      </c>
      <c r="H40" s="37">
        <f>E_g!H40/(rat_weight!H40/1000)*0.1578</f>
        <v>0.89866795366795871</v>
      </c>
      <c r="I40" s="37">
        <f>E_g!I40/(rat_weight!I40/1000)*0.1578</f>
        <v>1.4999999999994884E-2</v>
      </c>
      <c r="J40" s="37">
        <f>E_g!J40/(rat_weight!J40/1000)*0.1578</f>
        <v>0.39968105065665027</v>
      </c>
      <c r="K40" s="37">
        <f>E_g!K40/(rat_weight!K40/1000)*0.1578</f>
        <v>0.65255639097744855</v>
      </c>
      <c r="L40" s="37">
        <f>E_g!L40/(rat_weight!L40/1000)*0.1578</f>
        <v>1.2641436464088378</v>
      </c>
      <c r="M40" s="37">
        <f>E_g!M40/(rat_weight!M40/1000)*0.1578</f>
        <v>0.5594727272727158</v>
      </c>
      <c r="N40" s="37">
        <f>E_g!N40/(rat_weight!N40/1000)*0.1578</f>
        <v>1.470537634408607</v>
      </c>
      <c r="O40" s="37">
        <f>E_g!O40/(rat_weight!O40/1000)*0.1578</f>
        <v>2.1775268817204347</v>
      </c>
      <c r="P40" s="37">
        <f>E_g!P40/(rat_weight!P40/1000)*0.1578</f>
        <v>2.2058064516128981</v>
      </c>
      <c r="Q40" s="37">
        <f>E_g!Q40/(rat_weight!Q40/1000)*0.1578</f>
        <v>2.3018277680140709</v>
      </c>
      <c r="R40" s="37">
        <f>E_g!R40/(rat_weight!R40/1000)*0.1578</f>
        <v>2.4404920913883963</v>
      </c>
      <c r="S40" s="37">
        <f>E_g!S40/(rat_weight!S40/1000)*0.1578</f>
        <v>3.6468717047451609</v>
      </c>
      <c r="T40" s="37" t="e">
        <f>E_g!T40/(rat_weight!T40/1000)*0.1578</f>
        <v>#VALUE!</v>
      </c>
      <c r="U40" s="37">
        <f>E_g!U40/(rat_weight!U40/1000)*0.1578</f>
        <v>4.2619487179487212</v>
      </c>
      <c r="V40" s="37">
        <f>E_g!V40/(rat_weight!V40/1000)*0.1578</f>
        <v>4.2889230769230862</v>
      </c>
      <c r="W40" s="37">
        <f>E_g!W40/(rat_weight!W40/1000)*0.1578</f>
        <v>5.8573220338983072</v>
      </c>
      <c r="X40" s="37">
        <f>E_g!X40/(rat_weight!X40/1000)*0.1578</f>
        <v>5.2956610169491398</v>
      </c>
      <c r="Y40" s="37">
        <f>E_g!Y40/(rat_weight!Y40/1000)*0.1578</f>
        <v>5.8172033898305004</v>
      </c>
      <c r="Z40" s="37">
        <f>E_g!Z40/(rat_weight!Z40/1000)*0.1578</f>
        <v>5.6860165289256148</v>
      </c>
      <c r="AA40" s="37">
        <f>E_g!AA40/(rat_weight!AA40/1000)*0.1578</f>
        <v>4.9948264462809862</v>
      </c>
      <c r="AB40" s="37">
        <f>E_g!AB40/(rat_weight!AB40/1000)*0.1578</f>
        <v>4.225388429752071</v>
      </c>
      <c r="AC40" s="37">
        <f>E_g!AC40/(rat_weight!AC40/1000)*0.1578</f>
        <v>5.2727669902912631</v>
      </c>
      <c r="AD40" s="37">
        <f>E_g!AD40/(rat_weight!AD40/1000)*0.1578</f>
        <v>5.7834466019417565</v>
      </c>
      <c r="AE40" s="37">
        <f>E_g!AE40/(rat_weight!AE40/1000)*0.1578</f>
        <v>6.268592233009711</v>
      </c>
      <c r="AF40" s="37">
        <f>E_g!AF40/(rat_weight!AF40/1000)*0.1578</f>
        <v>6.3120000000000012</v>
      </c>
      <c r="AG40" s="37">
        <f>E_g!AG40/(rat_weight!AG40/1000)*0.1578</f>
        <v>5.7528661417322846</v>
      </c>
      <c r="AH40" s="37">
        <f>E_g!AH40/(rat_weight!AH40/1000)*0.1578</f>
        <v>7.0947874015747923</v>
      </c>
      <c r="AI40" s="37">
        <f>E_g!AI40/(rat_weight!AI40/1000)*0.1578</f>
        <v>6.6656896551724181</v>
      </c>
      <c r="AJ40" s="37">
        <f>E_g!AJ40/(rat_weight!AJ40/1000)*0.1578</f>
        <v>6.3194200626959267</v>
      </c>
      <c r="AK40" s="37">
        <f>E_g!AK40/(rat_weight!AK40/1000)*0.1578</f>
        <v>6.4554545454545433</v>
      </c>
    </row>
    <row r="41" spans="1:37">
      <c r="A41" s="30">
        <v>40</v>
      </c>
      <c r="B41" s="37">
        <f>E_g!B41/(rat_weight!B41/1000)*0.1578</f>
        <v>0.40522658610270273</v>
      </c>
      <c r="C41" s="37">
        <f>E_g!C41/(rat_weight!C41/1000)*0.1578</f>
        <v>-2.3693693693672146E-2</v>
      </c>
      <c r="D41" s="37">
        <f>E_g!D41/(rat_weight!D41/1000)*0.1578</f>
        <v>0.21388554216865577</v>
      </c>
      <c r="E41" s="37">
        <f>E_g!E41/(rat_weight!E41/1000)*0.1578</f>
        <v>0.21008875739643113</v>
      </c>
      <c r="F41" s="37">
        <f>E_g!F41/(rat_weight!F41/1000)*0.1578</f>
        <v>0.28604229607250481</v>
      </c>
      <c r="G41" s="37">
        <f>E_g!G41/(rat_weight!G41/1000)*0.1578</f>
        <v>-6.9413489736046705E-2</v>
      </c>
      <c r="H41" s="37">
        <f>E_g!H41/(rat_weight!H41/1000)*0.1578</f>
        <v>6.9008746355687739E-2</v>
      </c>
      <c r="I41" s="37">
        <f>E_g!I41/(rat_weight!I41/1000)*0.1578</f>
        <v>0.9164022662889697</v>
      </c>
      <c r="J41" s="37">
        <f>E_g!J41/(rat_weight!J41/1000)*0.1578</f>
        <v>0.61391930835735908</v>
      </c>
      <c r="K41" s="37">
        <f>E_g!K41/(rat_weight!K41/1000)*0.1578</f>
        <v>0.13721739130434005</v>
      </c>
      <c r="L41" s="37">
        <f>E_g!L41/(rat_weight!L41/1000)*0.1578</f>
        <v>0.28892957746481657</v>
      </c>
      <c r="M41" s="37">
        <f>E_g!M41/(rat_weight!M41/1000)*0.1578</f>
        <v>-2.2672413793095716E-2</v>
      </c>
      <c r="N41" s="37">
        <f>E_g!N41/(rat_weight!N41/1000)*0.1578</f>
        <v>-4.4201680672266395E-2</v>
      </c>
      <c r="O41" s="37">
        <f>E_g!O41/(rat_weight!O41/1000)*0.1578</f>
        <v>1.2562873244027319E-14</v>
      </c>
      <c r="P41" s="37">
        <f>E_g!P41/(rat_weight!P41/1000)*0.1578</f>
        <v>8.840336134454535E-2</v>
      </c>
      <c r="Q41" s="37">
        <f>E_g!Q41/(rat_weight!Q41/1000)*0.1578</f>
        <v>0.17780281690141098</v>
      </c>
      <c r="R41" s="37">
        <f>E_g!R41/(rat_weight!R41/1000)*0.1578</f>
        <v>8.8901408450686531E-2</v>
      </c>
      <c r="S41" s="37">
        <f>E_g!S41/(rat_weight!S41/1000)*0.1578</f>
        <v>-0.11112676056340555</v>
      </c>
      <c r="T41" s="37" t="e">
        <f>E_g!T41/(rat_weight!T41/1000)*0.1578</f>
        <v>#VALUE!</v>
      </c>
      <c r="U41" s="37">
        <f>E_g!U41/(rat_weight!U41/1000)*0.1578</f>
        <v>8.5297297297292449E-2</v>
      </c>
      <c r="V41" s="37">
        <f>E_g!V41/(rat_weight!V41/1000)*0.1578</f>
        <v>4.2648648648658347E-2</v>
      </c>
      <c r="W41" s="37">
        <f>E_g!W41/(rat_weight!W41/1000)*0.1578</f>
        <v>-8.3936170212773123E-2</v>
      </c>
      <c r="X41" s="37">
        <f>E_g!X41/(rat_weight!X41/1000)*0.1578</f>
        <v>-2.3082446808510637</v>
      </c>
      <c r="Y41" s="37">
        <f>E_g!Y41/(rat_weight!Y41/1000)*0.1578</f>
        <v>0.14688829787236191</v>
      </c>
      <c r="Z41" s="37">
        <f>E_g!Z41/(rat_weight!Z41/1000)*0.1578</f>
        <v>0.20984042553192683</v>
      </c>
      <c r="AA41" s="37">
        <f>E_g!AA41/(rat_weight!AA41/1000)*0.1578</f>
        <v>0.27279255319147983</v>
      </c>
      <c r="AB41" s="37">
        <f>E_g!AB41/(rat_weight!AB41/1000)*0.1578</f>
        <v>0.12590425531914179</v>
      </c>
      <c r="AC41" s="37">
        <f>E_g!AC41/(rat_weight!AC41/1000)*0.1578</f>
        <v>0.27063324538258815</v>
      </c>
      <c r="AD41" s="37">
        <f>E_g!AD41/(rat_weight!AD41/1000)*0.1578</f>
        <v>0.10408970976253297</v>
      </c>
      <c r="AE41" s="37">
        <f>E_g!AE41/(rat_weight!AE41/1000)*0.1578</f>
        <v>0.18736147757255461</v>
      </c>
      <c r="AF41" s="37">
        <f>E_g!AF41/(rat_weight!AF41/1000)*0.1578</f>
        <v>0.12232558139536506</v>
      </c>
      <c r="AG41" s="37">
        <f>E_g!AG41/(rat_weight!AG41/1000)*0.1578</f>
        <v>0.30581395348836049</v>
      </c>
      <c r="AH41" s="37">
        <f>E_g!AH41/(rat_weight!AH41/1000)*0.1578</f>
        <v>2.0387596899229442E-2</v>
      </c>
      <c r="AI41" s="37">
        <f>E_g!AI41/(rat_weight!AI41/1000)*0.1578</f>
        <v>0.14161538461538231</v>
      </c>
      <c r="AJ41" s="37">
        <f>E_g!AJ41/(rat_weight!AJ41/1000)*0.1578</f>
        <v>6.069230769229849E-2</v>
      </c>
      <c r="AK41" s="37">
        <f>E_g!AK41/(rat_weight!AK41/1000)*0.1578</f>
        <v>4.0461538461536162E-2</v>
      </c>
    </row>
    <row r="42" spans="1:37">
      <c r="A42" s="30">
        <v>41</v>
      </c>
      <c r="B42" s="37">
        <f>E_g!B42/(rat_weight!B42/1000)*0.1578</f>
        <v>2.752985611510804</v>
      </c>
      <c r="C42" s="37">
        <f>E_g!C42/(rat_weight!C42/1000)*0.1578</f>
        <v>4.2398220640569448</v>
      </c>
      <c r="D42" s="37">
        <f>E_g!D42/(rat_weight!D42/1000)*0.1578</f>
        <v>6.7748056537102501</v>
      </c>
      <c r="E42" s="37">
        <f>E_g!E42/(rat_weight!E42/1000)*0.1578</f>
        <v>5.4347202797202776</v>
      </c>
      <c r="F42" s="37">
        <f>E_g!F42/(rat_weight!F42/1000)*0.1578</f>
        <v>8.1882474226804103</v>
      </c>
      <c r="G42" s="37">
        <f>E_g!G42/(rat_weight!G42/1000)*0.1578</f>
        <v>7.8089383561643935</v>
      </c>
      <c r="H42" s="37">
        <f>E_g!H42/(rat_weight!H42/1000)*0.1578</f>
        <v>6.7512371134020714</v>
      </c>
      <c r="I42" s="37">
        <f>E_g!I42/(rat_weight!I42/1000)*0.1578</f>
        <v>5.2513770491803307</v>
      </c>
      <c r="J42" s="37">
        <f>E_g!J42/(rat_weight!J42/1000)*0.1578</f>
        <v>6.893920265780749</v>
      </c>
      <c r="K42" s="37">
        <f>E_g!K42/(rat_weight!K42/1000)*0.1578</f>
        <v>7.2151973684210553</v>
      </c>
      <c r="L42" s="37">
        <f>E_g!L42/(rat_weight!L42/1000)*0.1578</f>
        <v>7.0335197368421261</v>
      </c>
      <c r="M42" s="37">
        <f>E_g!M42/(rat_weight!M42/1000)*0.1578</f>
        <v>7.8900000000000086</v>
      </c>
      <c r="N42" s="37">
        <f>E_g!N42/(rat_weight!N42/1000)*0.1578</f>
        <v>8.6686184210526402</v>
      </c>
      <c r="O42" s="37">
        <f>E_g!O42/(rat_weight!O42/1000)*0.1578</f>
        <v>8.8762499999999971</v>
      </c>
      <c r="P42" s="37">
        <f>E_g!P42/(rat_weight!P42/1000)*0.1578</f>
        <v>6.6961184210526348</v>
      </c>
      <c r="Q42" s="37">
        <f>E_g!Q42/(rat_weight!Q42/1000)*0.1578</f>
        <v>7.2950163934426193</v>
      </c>
      <c r="R42" s="37">
        <f>E_g!R42/(rat_weight!R42/1000)*0.1578</f>
        <v>6.1050491803278604</v>
      </c>
      <c r="S42" s="37">
        <f>E_g!S42/(rat_weight!S42/1000)*0.1578</f>
        <v>7.1656721311475229</v>
      </c>
      <c r="T42" s="37" t="e">
        <f>E_g!T42/(rat_weight!T42/1000)*0.1578</f>
        <v>#VALUE!</v>
      </c>
      <c r="U42" s="37">
        <f>E_g!U42/(rat_weight!U42/1000)*0.1578</f>
        <v>6.0455844155844218</v>
      </c>
      <c r="V42" s="37">
        <f>E_g!V42/(rat_weight!V42/1000)*0.1578</f>
        <v>8.3511038961039024</v>
      </c>
      <c r="W42" s="37">
        <f>E_g!W42/(rat_weight!W42/1000)*0.1578</f>
        <v>7.864792332268367</v>
      </c>
      <c r="X42" s="37">
        <f>E_g!X42/(rat_weight!X42/1000)*0.1578</f>
        <v>7.5623003194888172</v>
      </c>
      <c r="Y42" s="37">
        <f>E_g!Y42/(rat_weight!Y42/1000)*0.1578</f>
        <v>7.9908306709265426</v>
      </c>
      <c r="Z42" s="37">
        <f>E_g!Z42/(rat_weight!Z42/1000)*0.1578</f>
        <v>7.4200626959247504</v>
      </c>
      <c r="AA42" s="37">
        <f>E_g!AA42/(rat_weight!AA42/1000)*0.1578</f>
        <v>7.543730407523511</v>
      </c>
      <c r="AB42" s="37">
        <f>E_g!AB42/(rat_weight!AB42/1000)*0.1578</f>
        <v>7.5684639498432515</v>
      </c>
      <c r="AC42" s="37">
        <f>E_g!AC42/(rat_weight!AC42/1000)*0.1578</f>
        <v>7.7469788519637319</v>
      </c>
      <c r="AD42" s="37">
        <f>E_g!AD42/(rat_weight!AD42/1000)*0.1578</f>
        <v>6.4121148036253715</v>
      </c>
      <c r="AE42" s="37">
        <f>E_g!AE42/(rat_weight!AE42/1000)*0.1578</f>
        <v>6.745830815709958</v>
      </c>
      <c r="AF42" s="37">
        <f>E_g!AF42/(rat_weight!AF42/1000)*0.1578</f>
        <v>7.1554954954954928</v>
      </c>
      <c r="AG42" s="37">
        <f>E_g!AG42/(rat_weight!AG42/1000)*0.1578</f>
        <v>7.1791891891891915</v>
      </c>
      <c r="AH42" s="37">
        <f>E_g!AH42/(rat_weight!AH42/1000)*0.1578</f>
        <v>7.9373873873873872</v>
      </c>
      <c r="AI42" s="37">
        <f>E_g!AI42/(rat_weight!AI42/1000)*0.1578</f>
        <v>6.3826567164179284</v>
      </c>
      <c r="AJ42" s="37">
        <f>E_g!AJ42/(rat_weight!AJ42/1000)*0.1578</f>
        <v>5.6760895522388113</v>
      </c>
      <c r="AK42" s="37">
        <f>E_g!AK42/(rat_weight!AK42/1000)*0.1578</f>
        <v>7.9606567164179127</v>
      </c>
    </row>
    <row r="43" spans="1:37">
      <c r="A43" s="30">
        <v>42</v>
      </c>
      <c r="B43" s="37">
        <f>E_g!B43/(rat_weight!B43/1000)*0.1578</f>
        <v>2.7933540372670471</v>
      </c>
      <c r="C43" s="37">
        <f>E_g!C43/(rat_weight!C43/1000)*0.1578</f>
        <v>1.6273124999999775</v>
      </c>
      <c r="D43" s="37">
        <f>E_g!D43/(rat_weight!D43/1000)*0.1578</f>
        <v>6.2061585365853276</v>
      </c>
      <c r="E43" s="37">
        <f>E_g!E43/(rat_weight!E43/1000)*0.1578</f>
        <v>2.7092168674698742</v>
      </c>
      <c r="F43" s="37">
        <f>E_g!F43/(rat_weight!F43/1000)*0.1578</f>
        <v>4.5781481481481645</v>
      </c>
      <c r="G43" s="37">
        <f>E_g!G43/(rat_weight!G43/1000)*0.1578</f>
        <v>4.5427272727272996</v>
      </c>
      <c r="H43" s="37">
        <f>E_g!H43/(rat_weight!H43/1000)*0.1578</f>
        <v>5.8212804878048612</v>
      </c>
      <c r="I43" s="37">
        <f>E_g!I43/(rat_weight!I43/1000)*0.1578</f>
        <v>4.8165697674418873</v>
      </c>
      <c r="J43" s="37">
        <f>E_g!J43/(rat_weight!J43/1000)*0.1578</f>
        <v>5.7601840490797436</v>
      </c>
      <c r="K43" s="37">
        <f>E_g!K43/(rat_weight!K43/1000)*0.1578</f>
        <v>5.3539285714285869</v>
      </c>
      <c r="L43" s="37">
        <f>E_g!L43/(rat_weight!L43/1000)*0.1578</f>
        <v>7.9880124223602538</v>
      </c>
      <c r="M43" s="37">
        <f>E_g!M43/(rat_weight!M43/1000)*0.1578</f>
        <v>6.4894082840236837</v>
      </c>
      <c r="N43" s="37">
        <f>E_g!N43/(rat_weight!N43/1000)*0.1578</f>
        <v>8.4673170731707135</v>
      </c>
      <c r="O43" s="37">
        <f>E_g!O43/(rat_weight!O43/1000)*0.1578</f>
        <v>6.54292682926833</v>
      </c>
      <c r="P43" s="37">
        <f>E_g!P43/(rat_weight!P43/1000)*0.1578</f>
        <v>4.4260975609756041</v>
      </c>
      <c r="Q43" s="37">
        <f>E_g!Q43/(rat_weight!Q43/1000)*0.1578</f>
        <v>6.8443373493976054</v>
      </c>
      <c r="R43" s="37">
        <f>E_g!R43/(rat_weight!R43/1000)*0.1578</f>
        <v>4.6579518072289208</v>
      </c>
      <c r="S43" s="37">
        <f>E_g!S43/(rat_weight!S43/1000)*0.1578</f>
        <v>6.4165662650601867</v>
      </c>
      <c r="T43" s="37" t="e">
        <f>E_g!T43/(rat_weight!T43/1000)*0.1578</f>
        <v>#VALUE!</v>
      </c>
      <c r="U43" s="37">
        <f>E_g!U43/(rat_weight!U43/1000)*0.1578</f>
        <v>4.4678313253011934</v>
      </c>
      <c r="V43" s="37">
        <f>E_g!V43/(rat_weight!V43/1000)*0.1578</f>
        <v>5.3233734939759252</v>
      </c>
      <c r="W43" s="37">
        <f>E_g!W43/(rat_weight!W43/1000)*0.1578</f>
        <v>6.0692307692307423</v>
      </c>
      <c r="X43" s="37">
        <f>E_g!X43/(rat_weight!X43/1000)*0.1578</f>
        <v>6.9095857988165461</v>
      </c>
      <c r="Y43" s="37">
        <f>E_g!Y43/(rat_weight!Y43/1000)*0.1578</f>
        <v>6.3960355029586271</v>
      </c>
      <c r="Z43" s="37">
        <f>E_g!Z43/(rat_weight!Z43/1000)*0.1578</f>
        <v>7.51428571428574</v>
      </c>
      <c r="AA43" s="37">
        <f>E_g!AA43/(rat_weight!AA43/1000)*0.1578</f>
        <v>7.4673214285714167</v>
      </c>
      <c r="AB43" s="37">
        <f>E_g!AB43/(rat_weight!AB43/1000)*0.1578</f>
        <v>8.0778571428571375</v>
      </c>
      <c r="AC43" s="37">
        <f>E_g!AC43/(rat_weight!AC43/1000)*0.1578</f>
        <v>6.9778612716763062</v>
      </c>
      <c r="AD43" s="37">
        <f>E_g!AD43/(rat_weight!AD43/1000)*0.1578</f>
        <v>7.0690751445086191</v>
      </c>
      <c r="AE43" s="37">
        <f>E_g!AE43/(rat_weight!AE43/1000)*0.1578</f>
        <v>8.1636416184971008</v>
      </c>
      <c r="AF43" s="37">
        <f>E_g!AF43/(rat_weight!AF43/1000)*0.1578</f>
        <v>7.5744000000000051</v>
      </c>
      <c r="AG43" s="37">
        <f>E_g!AG43/(rat_weight!AG43/1000)*0.1578</f>
        <v>6.7177714285713934</v>
      </c>
      <c r="AH43" s="37">
        <f>E_g!AH43/(rat_weight!AH43/1000)*0.1578</f>
        <v>7.2588000000000106</v>
      </c>
      <c r="AI43" s="37">
        <f>E_g!AI43/(rat_weight!AI43/1000)*0.1578</f>
        <v>6.5750000000000259</v>
      </c>
      <c r="AJ43" s="37">
        <f>E_g!AJ43/(rat_weight!AJ43/1000)*0.1578</f>
        <v>7.3005172413793211</v>
      </c>
      <c r="AK43" s="37">
        <f>E_g!AK43/(rat_weight!AK43/1000)*0.1578</f>
        <v>6.1668965517241228</v>
      </c>
    </row>
    <row r="44" spans="1:37">
      <c r="A44" s="30">
        <v>43</v>
      </c>
      <c r="B44" s="37">
        <f>E_g!B44/(rat_weight!B44/1000)*0.1578</f>
        <v>0.81290909090905816</v>
      </c>
      <c r="C44" s="37">
        <f>E_g!C44/(rat_weight!C44/1000)*0.1578</f>
        <v>2.6787037037037589</v>
      </c>
      <c r="D44" s="37">
        <f>E_g!D44/(rat_weight!D44/1000)*0.1578</f>
        <v>5.5665644171779407</v>
      </c>
      <c r="E44" s="37">
        <f>E_g!E44/(rat_weight!E44/1000)*0.1578</f>
        <v>5.5556804733727434</v>
      </c>
      <c r="F44" s="37">
        <f>E_g!F44/(rat_weight!F44/1000)*0.1578</f>
        <v>6.9278048780487964</v>
      </c>
      <c r="G44" s="37">
        <f>E_g!G44/(rat_weight!G44/1000)*0.1578</f>
        <v>7.6065269461078211</v>
      </c>
      <c r="H44" s="37">
        <f>E_g!H44/(rat_weight!H44/1000)*0.1578</f>
        <v>9.0376363636363255</v>
      </c>
      <c r="I44" s="37">
        <f>E_g!I44/(rat_weight!I44/1000)*0.1578</f>
        <v>6.5827810650887404</v>
      </c>
      <c r="J44" s="37">
        <f>E_g!J44/(rat_weight!J44/1000)*0.1578</f>
        <v>7.0184302325581189</v>
      </c>
      <c r="K44" s="37">
        <f>E_g!K44/(rat_weight!K44/1000)*0.1578</f>
        <v>7.699879518072283</v>
      </c>
      <c r="L44" s="37">
        <f>E_g!L44/(rat_weight!L44/1000)*0.1578</f>
        <v>8.1248214285714333</v>
      </c>
      <c r="M44" s="37">
        <f>E_g!M44/(rat_weight!M44/1000)*0.1578</f>
        <v>8.6459281437125792</v>
      </c>
      <c r="N44" s="37">
        <f>E_g!N44/(rat_weight!N44/1000)*0.1578</f>
        <v>8.5116363636363683</v>
      </c>
      <c r="O44" s="37">
        <f>E_g!O44/(rat_weight!O44/1000)*0.1578</f>
        <v>6.7901818181818667</v>
      </c>
      <c r="P44" s="37">
        <f>E_g!P44/(rat_weight!P44/1000)*0.1578</f>
        <v>9.1810909090909032</v>
      </c>
      <c r="Q44" s="37">
        <f>E_g!Q44/(rat_weight!Q44/1000)*0.1578</f>
        <v>8.6325882352941008</v>
      </c>
      <c r="R44" s="37">
        <f>E_g!R44/(rat_weight!R44/1000)*0.1578</f>
        <v>8.0756470588235434</v>
      </c>
      <c r="S44" s="37">
        <f>E_g!S44/(rat_weight!S44/1000)*0.1578</f>
        <v>8.1220588235294109</v>
      </c>
      <c r="T44" s="37" t="e">
        <f>E_g!T44/(rat_weight!T44/1000)*0.1578</f>
        <v>#VALUE!</v>
      </c>
      <c r="U44" s="37">
        <f>E_g!U44/(rat_weight!U44/1000)*0.1578</f>
        <v>9.0038823529411651</v>
      </c>
      <c r="V44" s="37">
        <f>E_g!V44/(rat_weight!V44/1000)*0.1578</f>
        <v>9.746470588235292</v>
      </c>
      <c r="W44" s="37">
        <f>E_g!W44/(rat_weight!W44/1000)*0.1578</f>
        <v>9.7817543859649057</v>
      </c>
      <c r="X44" s="37">
        <f>E_g!X44/(rat_weight!X44/1000)*0.1578</f>
        <v>12.550175438596458</v>
      </c>
      <c r="Y44" s="37">
        <f>E_g!Y44/(rat_weight!Y44/1000)*0.1578</f>
        <v>11.488947368421067</v>
      </c>
      <c r="Z44" s="37">
        <f>E_g!Z44/(rat_weight!Z44/1000)*0.1578</f>
        <v>8.6878651685393606</v>
      </c>
      <c r="AA44" s="37">
        <f>E_g!AA44/(rat_weight!AA44/1000)*0.1578</f>
        <v>8.2002808988764553</v>
      </c>
      <c r="AB44" s="37">
        <f>E_g!AB44/(rat_weight!AB44/1000)*0.1578</f>
        <v>10.815505617977543</v>
      </c>
      <c r="AC44" s="37">
        <f>E_g!AC44/(rat_weight!AC44/1000)*0.1578</f>
        <v>8.9210795454545604</v>
      </c>
      <c r="AD44" s="37">
        <f>E_g!AD44/(rat_weight!AD44/1000)*0.1578</f>
        <v>10.445284090909071</v>
      </c>
      <c r="AE44" s="37">
        <f>E_g!AE44/(rat_weight!AE44/1000)*0.1578</f>
        <v>9.5486931818181624</v>
      </c>
      <c r="AF44" s="37">
        <f>E_g!AF44/(rat_weight!AF44/1000)*0.1578</f>
        <v>11.678983050847505</v>
      </c>
      <c r="AG44" s="37">
        <f>E_g!AG44/(rat_weight!AG44/1000)*0.1578</f>
        <v>9.2272881355932164</v>
      </c>
      <c r="AH44" s="37">
        <f>E_g!AH44/(rat_weight!AH44/1000)*0.1578</f>
        <v>10.832033898305117</v>
      </c>
      <c r="AI44" s="37">
        <f>E_g!AI44/(rat_weight!AI44/1000)*0.1578</f>
        <v>9.7622033898305247</v>
      </c>
      <c r="AJ44" s="37">
        <f>E_g!AJ44/(rat_weight!AJ44/1000)*0.1578</f>
        <v>11.812711864406779</v>
      </c>
      <c r="AK44" s="37">
        <f>E_g!AK44/(rat_weight!AK44/1000)*0.1578</f>
        <v>10.609152542372886</v>
      </c>
    </row>
    <row r="45" spans="1:37">
      <c r="A45" s="30">
        <v>44</v>
      </c>
      <c r="B45" s="37">
        <f>E_g!B45/(rat_weight!B45/1000)*0.1578</f>
        <v>-0.21658823529413168</v>
      </c>
      <c r="C45" s="37">
        <f>E_g!C45/(rat_weight!C45/1000)*0.1578</f>
        <v>2.0176717557252042</v>
      </c>
      <c r="D45" s="37">
        <f>E_g!D45/(rat_weight!D45/1000)*0.1578</f>
        <v>4.5472900763359014</v>
      </c>
      <c r="E45" s="37">
        <f>E_g!E45/(rat_weight!E45/1000)*0.1578</f>
        <v>4.2019540229884811</v>
      </c>
      <c r="F45" s="37">
        <f>E_g!F45/(rat_weight!F45/1000)*0.1578</f>
        <v>5.6186363636363659</v>
      </c>
      <c r="G45" s="37">
        <f>E_g!G45/(rat_weight!G45/1000)*0.1578</f>
        <v>6.7155343511450409</v>
      </c>
      <c r="H45" s="37">
        <f>E_g!H45/(rat_weight!H45/1000)*0.1578</f>
        <v>7.3819318181818145</v>
      </c>
      <c r="I45" s="37">
        <f>E_g!I45/(rat_weight!I45/1000)*0.1578</f>
        <v>6.0806390977443776</v>
      </c>
      <c r="J45" s="37">
        <f>E_g!J45/(rat_weight!J45/1000)*0.1578</f>
        <v>7.1699999999999928</v>
      </c>
      <c r="K45" s="37">
        <f>E_g!K45/(rat_weight!K45/1000)*0.1578</f>
        <v>7.3327137546468233</v>
      </c>
      <c r="L45" s="37">
        <f>E_g!L45/(rat_weight!L45/1000)*0.1578</f>
        <v>7.6839179104477511</v>
      </c>
      <c r="M45" s="37">
        <f>E_g!M45/(rat_weight!M45/1000)*0.1578</f>
        <v>7.3968749999999828</v>
      </c>
      <c r="N45" s="37">
        <f>E_g!N45/(rat_weight!N45/1000)*0.1578</f>
        <v>7.2348736462093948</v>
      </c>
      <c r="O45" s="37">
        <f>E_g!O45/(rat_weight!O45/1000)*0.1578</f>
        <v>7.1779061371841122</v>
      </c>
      <c r="P45" s="37">
        <f>E_g!P45/(rat_weight!P45/1000)*0.1578</f>
        <v>7.8615162454873539</v>
      </c>
      <c r="Q45" s="37">
        <f>E_g!Q45/(rat_weight!Q45/1000)*0.1578</f>
        <v>6.3463043478260825</v>
      </c>
      <c r="R45" s="37">
        <f>E_g!R45/(rat_weight!R45/1000)*0.1578</f>
        <v>7.7184782608695803</v>
      </c>
      <c r="S45" s="37">
        <f>E_g!S45/(rat_weight!S45/1000)*0.1578</f>
        <v>6.5464130434782213</v>
      </c>
      <c r="T45" s="37" t="e">
        <f>E_g!T45/(rat_weight!T45/1000)*0.1578</f>
        <v>#VALUE!</v>
      </c>
      <c r="U45" s="37">
        <f>E_g!U45/(rat_weight!U45/1000)*0.1578</f>
        <v>7.6677464788732461</v>
      </c>
      <c r="V45" s="37">
        <f>E_g!V45/(rat_weight!V45/1000)*0.1578</f>
        <v>7.7788732394366518</v>
      </c>
      <c r="W45" s="37">
        <f>E_g!W45/(rat_weight!W45/1000)*0.1578</f>
        <v>7.8617204301075292</v>
      </c>
      <c r="X45" s="37">
        <f>E_g!X45/(rat_weight!X45/1000)*0.1578</f>
        <v>7.5789247311827816</v>
      </c>
      <c r="Y45" s="37">
        <f>E_g!Y45/(rat_weight!Y45/1000)*0.1578</f>
        <v>9.9826881720430123</v>
      </c>
      <c r="Z45" s="37">
        <f>E_g!Z45/(rat_weight!Z45/1000)*0.1578</f>
        <v>6.7160553633218214</v>
      </c>
      <c r="AA45" s="37">
        <f>E_g!AA45/(rat_weight!AA45/1000)*0.1578</f>
        <v>7.2347750865051905</v>
      </c>
      <c r="AB45" s="37">
        <f>E_g!AB45/(rat_weight!AB45/1000)*0.1578</f>
        <v>8.0265051903114291</v>
      </c>
      <c r="AC45" s="37">
        <f>E_g!AC45/(rat_weight!AC45/1000)*0.1578</f>
        <v>7.5733444816053481</v>
      </c>
      <c r="AD45" s="37">
        <f>E_g!AD45/(rat_weight!AD45/1000)*0.1578</f>
        <v>7.6788963210702406</v>
      </c>
      <c r="AE45" s="37">
        <f>E_g!AE45/(rat_weight!AE45/1000)*0.1578</f>
        <v>7.4150167224080326</v>
      </c>
      <c r="AF45" s="37">
        <f>E_g!AF45/(rat_weight!AF45/1000)*0.1578</f>
        <v>6.3015841584158681</v>
      </c>
      <c r="AG45" s="37">
        <f>E_g!AG45/(rat_weight!AG45/1000)*0.1578</f>
        <v>7.6816831683168161</v>
      </c>
      <c r="AH45" s="37">
        <f>E_g!AH45/(rat_weight!AH45/1000)*0.1578</f>
        <v>7.7858415841584101</v>
      </c>
      <c r="AI45" s="37">
        <f>E_g!AI45/(rat_weight!AI45/1000)*0.1578</f>
        <v>6.6563843648208261</v>
      </c>
      <c r="AJ45" s="37">
        <f>E_g!AJ45/(rat_weight!AJ45/1000)*0.1578</f>
        <v>6.7591856677524316</v>
      </c>
      <c r="AK45" s="37">
        <f>E_g!AK45/(rat_weight!AK45/1000)*0.1578</f>
        <v>6.9904885993485317</v>
      </c>
    </row>
    <row r="46" spans="1:37">
      <c r="A46" s="30">
        <v>45</v>
      </c>
      <c r="B46" s="37">
        <f>E_g!B46/(rat_weight!B46/1000)*0.1578</f>
        <v>4.6261510791366769</v>
      </c>
      <c r="C46" s="37">
        <f>E_g!C46/(rat_weight!C46/1000)*0.1578</f>
        <v>1.3011578947368547</v>
      </c>
      <c r="D46" s="37">
        <f>E_g!D46/(rat_weight!D46/1000)*0.1578</f>
        <v>0.9298928571428603</v>
      </c>
      <c r="E46" s="37">
        <f>E_g!E46/(rat_weight!E46/1000)*0.1578</f>
        <v>5.9864685314685282</v>
      </c>
      <c r="F46" s="37">
        <f>E_g!F46/(rat_weight!F46/1000)*0.1578</f>
        <v>5.8627083333333436</v>
      </c>
      <c r="G46" s="37">
        <f>E_g!G46/(rat_weight!G46/1000)*0.1578</f>
        <v>6.703741258741263</v>
      </c>
      <c r="H46" s="37">
        <f>E_g!H46/(rat_weight!H46/1000)*0.1578</f>
        <v>4.8062323943662006</v>
      </c>
      <c r="I46" s="37">
        <f>E_g!I46/(rat_weight!I46/1000)*0.1578</f>
        <v>5.539212328767138</v>
      </c>
      <c r="J46" s="37">
        <f>E_g!J46/(rat_weight!J46/1000)*0.1578</f>
        <v>5.7105944055944189</v>
      </c>
      <c r="K46" s="37">
        <f>E_g!K46/(rat_weight!K46/1000)*0.1578</f>
        <v>6.9238775510204116</v>
      </c>
      <c r="L46" s="37">
        <f>E_g!L46/(rat_weight!L46/1000)*0.1578</f>
        <v>5.7751546391752608</v>
      </c>
      <c r="M46" s="37">
        <f>E_g!M46/(rat_weight!M46/1000)*0.1578</f>
        <v>6.4897269624573592</v>
      </c>
      <c r="N46" s="37">
        <f>E_g!N46/(rat_weight!N46/1000)*0.1578</f>
        <v>7.1869306930692982</v>
      </c>
      <c r="O46" s="37">
        <f>E_g!O46/(rat_weight!O46/1000)*0.1578</f>
        <v>5.8849504950495257</v>
      </c>
      <c r="P46" s="37">
        <f>E_g!P46/(rat_weight!P46/1000)*0.1578</f>
        <v>5.2079207920792232</v>
      </c>
      <c r="Q46" s="37">
        <f>E_g!Q46/(rat_weight!Q46/1000)*0.1578</f>
        <v>11.982101694915258</v>
      </c>
      <c r="R46" s="37">
        <f>E_g!R46/(rat_weight!R46/1000)*0.1578</f>
        <v>7.4353220338983084</v>
      </c>
      <c r="S46" s="37">
        <f>E_g!S46/(rat_weight!S46/1000)*0.1578</f>
        <v>7.087627118644038</v>
      </c>
      <c r="T46" s="37" t="e">
        <f>E_g!T46/(rat_weight!T46/1000)*0.1578</f>
        <v>#VALUE!</v>
      </c>
      <c r="U46" s="37">
        <f>E_g!U46/(rat_weight!U46/1000)*0.1578</f>
        <v>6.596989966555185</v>
      </c>
      <c r="V46" s="37">
        <f>E_g!V46/(rat_weight!V46/1000)*0.1578</f>
        <v>5.7525752508361387</v>
      </c>
      <c r="W46" s="37">
        <f>E_g!W46/(rat_weight!W46/1000)*0.1578</f>
        <v>7.2988925081433313</v>
      </c>
      <c r="X46" s="37">
        <f>E_g!X46/(rat_weight!X46/1000)*0.1578</f>
        <v>6.9904885993485166</v>
      </c>
      <c r="Y46" s="37">
        <f>E_g!Y46/(rat_weight!Y46/1000)*0.1578</f>
        <v>7.016188925081436</v>
      </c>
      <c r="Z46" s="37">
        <f>E_g!Z46/(rat_weight!Z46/1000)*0.1578</f>
        <v>8.9281578947368505</v>
      </c>
      <c r="AA46" s="37">
        <f>E_g!AA46/(rat_weight!AA46/1000)*0.1578</f>
        <v>6.5663486842105439</v>
      </c>
      <c r="AB46" s="37">
        <f>E_g!AB46/(rat_weight!AB46/1000)*0.1578</f>
        <v>6.1770394736842134</v>
      </c>
      <c r="AC46" s="37">
        <f>E_g!AC46/(rat_weight!AC46/1000)*0.1578</f>
        <v>8.2474757281553721</v>
      </c>
      <c r="AD46" s="37">
        <f>E_g!AD46/(rat_weight!AD46/1000)*0.1578</f>
        <v>7.6346601941747512</v>
      </c>
      <c r="AE46" s="37">
        <f>E_g!AE46/(rat_weight!AE46/1000)*0.1578</f>
        <v>7.3793203883495089</v>
      </c>
      <c r="AF46" s="37">
        <f>E_g!AF46/(rat_weight!AF46/1000)*0.1578</f>
        <v>7.7112621359223272</v>
      </c>
      <c r="AG46" s="37">
        <f>E_g!AG46/(rat_weight!AG46/1000)*0.1578</f>
        <v>8.2474757281553419</v>
      </c>
      <c r="AH46" s="37">
        <f>E_g!AH46/(rat_weight!AH46/1000)*0.1578</f>
        <v>7.0729126213592055</v>
      </c>
      <c r="AI46" s="37">
        <f>E_g!AI46/(rat_weight!AI46/1000)*0.1578</f>
        <v>7.8643831168831433</v>
      </c>
      <c r="AJ46" s="37">
        <f>E_g!AJ46/(rat_weight!AJ46/1000)*0.1578</f>
        <v>7.7619155844156014</v>
      </c>
      <c r="AK46" s="37">
        <f>E_g!AK46/(rat_weight!AK46/1000)*0.1578</f>
        <v>6.9165584415584265</v>
      </c>
    </row>
    <row r="47" spans="1:37">
      <c r="A47" s="30">
        <v>46</v>
      </c>
      <c r="B47" s="37">
        <f>E_g!B47/(rat_weight!B47/1000)*0.1578</f>
        <v>4.5267511520737287</v>
      </c>
      <c r="C47" s="37">
        <f>E_g!C47/(rat_weight!C47/1000)*0.1578</f>
        <v>3.7307918552036363</v>
      </c>
      <c r="D47" s="37">
        <f>E_g!D47/(rat_weight!D47/1000)*0.1578</f>
        <v>5.2304494382022364</v>
      </c>
      <c r="E47" s="37">
        <f>E_g!E47/(rat_weight!E47/1000)*0.1578</f>
        <v>5.0920044052863256</v>
      </c>
      <c r="F47" s="37">
        <f>E_g!F47/(rat_weight!F47/1000)*0.1578</f>
        <v>5.882276785714291</v>
      </c>
      <c r="G47" s="37">
        <f>E_g!G47/(rat_weight!G47/1000)*0.1578</f>
        <v>6.84496688741722</v>
      </c>
      <c r="H47" s="37">
        <f>E_g!H47/(rat_weight!H47/1000)*0.1578</f>
        <v>7.9419078947368478</v>
      </c>
      <c r="I47" s="37">
        <f>E_g!I47/(rat_weight!I47/1000)*0.1578</f>
        <v>6.4630851063829695</v>
      </c>
      <c r="J47" s="37">
        <f>E_g!J47/(rat_weight!J47/1000)*0.1578</f>
        <v>8.8615923566878951</v>
      </c>
      <c r="K47" s="37">
        <f>E_g!K47/(rat_weight!K47/1000)*0.1578</f>
        <v>7.17574736842107</v>
      </c>
      <c r="L47" s="37">
        <f>E_g!L47/(rat_weight!L47/1000)*0.1578</f>
        <v>7.4963201663201646</v>
      </c>
      <c r="M47" s="37">
        <f>E_g!M47/(rat_weight!M47/1000)*0.1578</f>
        <v>8.0693181818181721</v>
      </c>
      <c r="N47" s="37">
        <f>E_g!N47/(rat_weight!N47/1000)*0.1578</f>
        <v>9.8746012269938817</v>
      </c>
      <c r="O47" s="37">
        <f>E_g!O47/(rat_weight!O47/1000)*0.1578</f>
        <v>8.4224539877300781</v>
      </c>
      <c r="P47" s="37">
        <f>E_g!P47/(rat_weight!P47/1000)*0.1578</f>
        <v>7.5511656441717809</v>
      </c>
      <c r="Q47" s="37">
        <f>E_g!Q47/(rat_weight!Q47/1000)*0.1578</f>
        <v>8.2413765182186367</v>
      </c>
      <c r="R47" s="37">
        <f>E_g!R47/(rat_weight!R47/1000)*0.1578</f>
        <v>8.7205263157894866</v>
      </c>
      <c r="S47" s="37">
        <f>E_g!S47/(rat_weight!S47/1000)*0.1578</f>
        <v>6.2449190283400657</v>
      </c>
      <c r="T47" s="37" t="e">
        <f>E_g!T47/(rat_weight!T47/1000)*0.1578</f>
        <v>#VALUE!</v>
      </c>
      <c r="U47" s="37">
        <f>E_g!U47/(rat_weight!U47/1000)*0.1578</f>
        <v>6.5936713995943279</v>
      </c>
      <c r="V47" s="37">
        <f>E_g!V47/(rat_weight!V47/1000)*0.1578</f>
        <v>7.8419878296146219</v>
      </c>
      <c r="W47" s="37">
        <f>E_g!W47/(rat_weight!W47/1000)*0.1578</f>
        <v>6.6907200000000051</v>
      </c>
      <c r="X47" s="37">
        <f>E_g!X47/(rat_weight!X47/1000)*0.1578</f>
        <v>9.4048799999999861</v>
      </c>
      <c r="Y47" s="37">
        <f>E_g!Y47/(rat_weight!Y47/1000)*0.1578</f>
        <v>7.7795400000000194</v>
      </c>
      <c r="Z47" s="37">
        <f>E_g!Z47/(rat_weight!Z47/1000)*0.1578</f>
        <v>7.2417234468937899</v>
      </c>
      <c r="AA47" s="37">
        <f>E_g!AA47/(rat_weight!AA47/1000)*0.1578</f>
        <v>7.6370140280561225</v>
      </c>
      <c r="AB47" s="37">
        <f>E_g!AB47/(rat_weight!AB47/1000)*0.1578</f>
        <v>8.222044088176343</v>
      </c>
      <c r="AC47" s="37">
        <f>E_g!AC47/(rat_weight!AC47/1000)*0.1578</f>
        <v>8.2037176938369978</v>
      </c>
      <c r="AD47" s="37">
        <f>E_g!AD47/(rat_weight!AD47/1000)*0.1578</f>
        <v>8.4546918489065561</v>
      </c>
      <c r="AE47" s="37">
        <f>E_g!AE47/(rat_weight!AE47/1000)*0.1578</f>
        <v>7.6076540755467192</v>
      </c>
      <c r="AF47" s="37">
        <f>E_g!AF47/(rat_weight!AF47/1000)*0.1578</f>
        <v>7.4314629258517124</v>
      </c>
      <c r="AG47" s="37">
        <f>E_g!AG47/(rat_weight!AG47/1000)*0.1578</f>
        <v>8.5857114228456926</v>
      </c>
      <c r="AH47" s="37">
        <f>E_g!AH47/(rat_weight!AH47/1000)*0.1578</f>
        <v>8.3643486973947869</v>
      </c>
      <c r="AI47" s="37">
        <f>E_g!AI47/(rat_weight!AI47/1000)*0.1578</f>
        <v>8.7823214285714233</v>
      </c>
      <c r="AJ47" s="37">
        <f>E_g!AJ47/(rat_weight!AJ47/1000)*0.1578</f>
        <v>9.690297619047616</v>
      </c>
      <c r="AK47" s="37">
        <f>E_g!AK47/(rat_weight!AK47/1000)*0.1578</f>
        <v>9.2989285714285757</v>
      </c>
    </row>
    <row r="48" spans="1:37">
      <c r="A48" s="30">
        <v>47</v>
      </c>
      <c r="B48" s="37">
        <f>E_g!B48/(rat_weight!B48/1000)*0.1578</f>
        <v>14.790733944954116</v>
      </c>
      <c r="C48" s="37">
        <f>E_g!C48/(rat_weight!C48/1000)*0.1578</f>
        <v>5.0187869822485203</v>
      </c>
      <c r="D48" s="37">
        <f>E_g!D48/(rat_weight!D48/1000)*0.1578</f>
        <v>7.9136227544910307</v>
      </c>
      <c r="E48" s="37">
        <f>E_g!E48/(rat_weight!E48/1000)*0.1578</f>
        <v>5.4358430232558108</v>
      </c>
      <c r="F48" s="37">
        <f>E_g!F48/(rat_weight!F48/1000)*0.1578</f>
        <v>4.4294736842105236</v>
      </c>
      <c r="G48" s="37">
        <f>E_g!G48/(rat_weight!G48/1000)*0.1578</f>
        <v>2.3098260869565399</v>
      </c>
      <c r="H48" s="37">
        <f>E_g!H48/(rat_weight!H48/1000)*0.1578</f>
        <v>3.7277391304347596</v>
      </c>
      <c r="I48" s="37">
        <f>E_g!I48/(rat_weight!I48/1000)*0.1578</f>
        <v>6.5942815249266724</v>
      </c>
      <c r="J48" s="37">
        <f>E_g!J48/(rat_weight!J48/1000)*0.1578</f>
        <v>5.5707492795388793</v>
      </c>
      <c r="K48" s="37">
        <f>E_g!K48/(rat_weight!K48/1000)*0.1578</f>
        <v>5.9918260869565199</v>
      </c>
      <c r="L48" s="37">
        <f>E_g!L48/(rat_weight!L48/1000)*0.1578</f>
        <v>3.2328653295128964</v>
      </c>
      <c r="M48" s="37">
        <f>E_g!M48/(rat_weight!M48/1000)*0.1578</f>
        <v>3.0695965417867308</v>
      </c>
      <c r="N48" s="37">
        <f>E_g!N48/(rat_weight!N48/1000)*0.1578</f>
        <v>6.3488046647230503</v>
      </c>
      <c r="O48" s="37">
        <f>E_g!O48/(rat_weight!O48/1000)*0.1578</f>
        <v>4.8306122448979458</v>
      </c>
      <c r="P48" s="37">
        <f>E_g!P48/(rat_weight!P48/1000)*0.1578</f>
        <v>5.382682215743448</v>
      </c>
      <c r="Q48" s="37">
        <f>E_g!Q48/(rat_weight!Q48/1000)*0.1578</f>
        <v>4.0018443804034769</v>
      </c>
      <c r="R48" s="37">
        <f>E_g!R48/(rat_weight!R48/1000)*0.1578</f>
        <v>2.0009221902017318</v>
      </c>
      <c r="S48" s="37">
        <f>E_g!S48/(rat_weight!S48/1000)*0.1578</f>
        <v>2.296512968299691</v>
      </c>
      <c r="T48" s="37" t="e">
        <f>E_g!T48/(rat_weight!T48/1000)*0.1578</f>
        <v>#VALUE!</v>
      </c>
      <c r="U48" s="37">
        <f>E_g!U48/(rat_weight!U48/1000)*0.1578</f>
        <v>2.4627745664740042</v>
      </c>
      <c r="V48" s="37">
        <f>E_g!V48/(rat_weight!V48/1000)*0.1578</f>
        <v>2.2347398843930795</v>
      </c>
      <c r="W48" s="37">
        <f>E_g!W48/(rat_weight!W48/1000)*0.1578</f>
        <v>2.6300000000000026</v>
      </c>
      <c r="X48" s="37">
        <f>E_g!X48/(rat_weight!X48/1000)*0.1578</f>
        <v>2.6299999999999901</v>
      </c>
      <c r="Y48" s="37">
        <f>E_g!Y48/(rat_weight!Y48/1000)*0.1578</f>
        <v>4.3461864406779789</v>
      </c>
      <c r="Z48" s="37">
        <f>E_g!Z48/(rat_weight!Z48/1000)*0.1578</f>
        <v>6.2335359116022024</v>
      </c>
      <c r="AA48" s="37">
        <f>E_g!AA48/(rat_weight!AA48/1000)*0.1578</f>
        <v>5.9937845303867654</v>
      </c>
      <c r="AB48" s="37">
        <f>E_g!AB48/(rat_weight!AB48/1000)*0.1578</f>
        <v>8.151546961325975</v>
      </c>
      <c r="AC48" s="37">
        <f>E_g!AC48/(rat_weight!AC48/1000)*0.1578</f>
        <v>5.803388429752089</v>
      </c>
      <c r="AD48" s="37">
        <f>E_g!AD48/(rat_weight!AD48/1000)*0.1578</f>
        <v>6.3685123966942045</v>
      </c>
      <c r="AE48" s="37">
        <f>E_g!AE48/(rat_weight!AE48/1000)*0.1578</f>
        <v>5.8468595041322269</v>
      </c>
      <c r="AF48" s="37">
        <f>E_g!AF48/(rat_weight!AF48/1000)*0.1578</f>
        <v>6.4873333333333258</v>
      </c>
      <c r="AG48" s="37">
        <f>E_g!AG48/(rat_weight!AG48/1000)*0.1578</f>
        <v>6.4215833333333361</v>
      </c>
      <c r="AH48" s="37">
        <f>E_g!AH48/(rat_weight!AH48/1000)*0.1578</f>
        <v>5.588750000000001</v>
      </c>
      <c r="AI48" s="37">
        <f>E_g!AI48/(rat_weight!AI48/1000)*0.1578</f>
        <v>3.6531780821917885</v>
      </c>
      <c r="AJ48" s="37">
        <f>E_g!AJ48/(rat_weight!AJ48/1000)*0.1578</f>
        <v>4.3449041095890211</v>
      </c>
      <c r="AK48" s="37">
        <f>E_g!AK48/(rat_weight!AK48/1000)*0.1578</f>
        <v>4.7123835616438381</v>
      </c>
    </row>
    <row r="49" spans="1:37">
      <c r="A49" s="30">
        <v>48</v>
      </c>
      <c r="B49" s="37">
        <f>E_g!B49/(rat_weight!B49/1000)*0.1578</f>
        <v>4.2973555166374657</v>
      </c>
      <c r="C49" s="37">
        <f>E_g!C49/(rat_weight!C49/1000)*0.1578</f>
        <v>4.4631698774080659</v>
      </c>
      <c r="D49" s="37">
        <f>E_g!D49/(rat_weight!D49/1000)*0.1578</f>
        <v>1.3127444253859335</v>
      </c>
      <c r="E49" s="37">
        <f>E_g!E49/(rat_weight!E49/1000)*0.1578</f>
        <v>4.6136440677966029</v>
      </c>
      <c r="F49" s="37">
        <f>E_g!F49/(rat_weight!F49/1000)*0.1578</f>
        <v>6.603731092436977</v>
      </c>
      <c r="G49" s="37">
        <f>E_g!G49/(rat_weight!G49/1000)*0.1578</f>
        <v>5.4780975609756082</v>
      </c>
      <c r="H49" s="37">
        <f>E_g!H49/(rat_weight!H49/1000)*0.1578</f>
        <v>7.2202207130730089</v>
      </c>
      <c r="I49" s="37">
        <f>E_g!I49/(rat_weight!I49/1000)*0.1578</f>
        <v>4.9744084278768126</v>
      </c>
      <c r="J49" s="37">
        <f>E_g!J49/(rat_weight!J49/1000)*0.1578</f>
        <v>5.5565196078431409</v>
      </c>
      <c r="K49" s="37">
        <f>E_g!K49/(rat_weight!K49/1000)*0.1578</f>
        <v>5.8510112359550543</v>
      </c>
      <c r="L49" s="37">
        <f>E_g!L49/(rat_weight!L49/1000)*0.1578</f>
        <v>6.6170127795527227</v>
      </c>
      <c r="M49" s="37">
        <f>E_g!M49/(rat_weight!M49/1000)*0.1578</f>
        <v>6.4191943127962015</v>
      </c>
      <c r="N49" s="37">
        <f>E_g!N49/(rat_weight!N49/1000)*0.1578</f>
        <v>6.6967592592592657</v>
      </c>
      <c r="O49" s="37">
        <f>E_g!O49/(rat_weight!O49/1000)*0.1578</f>
        <v>6.0392592592592687</v>
      </c>
      <c r="P49" s="37">
        <f>E_g!P49/(rat_weight!P49/1000)*0.1578</f>
        <v>6.5993518518518508</v>
      </c>
      <c r="Q49" s="37">
        <f>E_g!Q49/(rat_weight!Q49/1000)*0.1578</f>
        <v>5.731748878923776</v>
      </c>
      <c r="R49" s="37">
        <f>E_g!R49/(rat_weight!R49/1000)*0.1578</f>
        <v>5.920448430493285</v>
      </c>
      <c r="S49" s="37">
        <f>E_g!S49/(rat_weight!S49/1000)*0.1578</f>
        <v>5.8850672645739888</v>
      </c>
      <c r="T49" s="37" t="e">
        <f>E_g!T49/(rat_weight!T49/1000)*0.1578</f>
        <v>#VALUE!</v>
      </c>
      <c r="U49" s="37">
        <f>E_g!U49/(rat_weight!U49/1000)*0.1578</f>
        <v>5.8860087082728567</v>
      </c>
      <c r="V49" s="37">
        <f>E_g!V49/(rat_weight!V49/1000)*0.1578</f>
        <v>6.7563134978229318</v>
      </c>
      <c r="W49" s="37">
        <f>E_g!W49/(rat_weight!W49/1000)*0.1578</f>
        <v>6.743395683453242</v>
      </c>
      <c r="X49" s="37">
        <f>E_g!X49/(rat_weight!X49/1000)*0.1578</f>
        <v>6.9477410071942503</v>
      </c>
      <c r="Y49" s="37">
        <f>E_g!Y49/(rat_weight!Y49/1000)*0.1578</f>
        <v>6.868273381294971</v>
      </c>
      <c r="Z49" s="37">
        <f>E_g!Z49/(rat_weight!Z49/1000)*0.1578</f>
        <v>6.2761363636363576</v>
      </c>
      <c r="AA49" s="37">
        <f>E_g!AA49/(rat_weight!AA49/1000)*0.1578</f>
        <v>5.9735369318181766</v>
      </c>
      <c r="AB49" s="37">
        <f>E_g!AB49/(rat_weight!AB49/1000)*0.1578</f>
        <v>6.3657954545454558</v>
      </c>
      <c r="AC49" s="37">
        <f>E_g!AC49/(rat_weight!AC49/1000)*0.1578</f>
        <v>6.6320139860139946</v>
      </c>
      <c r="AD49" s="37">
        <f>E_g!AD49/(rat_weight!AD49/1000)*0.1578</f>
        <v>6.3451048951048952</v>
      </c>
      <c r="AE49" s="37">
        <f>E_g!AE49/(rat_weight!AE49/1000)*0.1578</f>
        <v>6.2347552447552452</v>
      </c>
      <c r="AF49" s="37">
        <f>E_g!AF49/(rat_weight!AF49/1000)*0.1578</f>
        <v>6.5460989010989055</v>
      </c>
      <c r="AG49" s="37">
        <f>E_g!AG49/(rat_weight!AG49/1000)*0.1578</f>
        <v>6.2534752747252726</v>
      </c>
      <c r="AH49" s="37">
        <f>E_g!AH49/(rat_weight!AH49/1000)*0.1578</f>
        <v>6.9471016483516381</v>
      </c>
      <c r="AI49" s="37">
        <f>E_g!AI49/(rat_weight!AI49/1000)*0.1578</f>
        <v>6.1155421686747022</v>
      </c>
      <c r="AJ49" s="37">
        <f>E_g!AJ49/(rat_weight!AJ49/1000)*0.1578</f>
        <v>6.7492771084337333</v>
      </c>
      <c r="AK49" s="37">
        <f>E_g!AK49/(rat_weight!AK49/1000)*0.1578</f>
        <v>6.7387148594377519</v>
      </c>
    </row>
    <row r="50" spans="1:37">
      <c r="A50" s="30">
        <v>49</v>
      </c>
      <c r="B50" s="37">
        <f>E_g!B50/(rat_weight!B50/1000)*0.1578</f>
        <v>0.71198895027623976</v>
      </c>
      <c r="C50" s="37">
        <f>E_g!C50/(rat_weight!C50/1000)*0.1578</f>
        <v>0.68418819188192537</v>
      </c>
      <c r="D50" s="37">
        <f>E_g!D50/(rat_weight!D50/1000)*0.1578</f>
        <v>-4.3591160220996121E-2</v>
      </c>
      <c r="E50" s="37">
        <f>E_g!E50/(rat_weight!E50/1000)*0.1578</f>
        <v>0.13101476014760643</v>
      </c>
      <c r="F50" s="37">
        <f>E_g!F50/(rat_weight!F50/1000)*0.1578</f>
        <v>0.19795698924731664</v>
      </c>
      <c r="G50" s="37">
        <f>E_g!G50/(rat_weight!G50/1000)*0.1578</f>
        <v>0.18547920433996545</v>
      </c>
      <c r="H50" s="37">
        <f>E_g!H50/(rat_weight!H50/1000)*0.1578</f>
        <v>0.60801075268817362</v>
      </c>
      <c r="I50" s="37">
        <f>E_g!I50/(rat_weight!I50/1000)*0.1578</f>
        <v>1.1311327433628273</v>
      </c>
      <c r="J50" s="37">
        <f>E_g!J50/(rat_weight!J50/1000)*0.1578</f>
        <v>1.3360962566844918</v>
      </c>
      <c r="K50" s="37">
        <f>E_g!K50/(rat_weight!K50/1000)*0.1578</f>
        <v>1.8153982300884879</v>
      </c>
      <c r="L50" s="37">
        <f>E_g!L50/(rat_weight!L50/1000)*0.1578</f>
        <v>1.8006794425087218</v>
      </c>
      <c r="M50" s="37">
        <f>E_g!M50/(rat_weight!M50/1000)*0.1578</f>
        <v>1.8155190311418701</v>
      </c>
      <c r="N50" s="37">
        <f>E_g!N50/(rat_weight!N50/1000)*0.1578</f>
        <v>3.657969543147213</v>
      </c>
      <c r="O50" s="37">
        <f>E_g!O50/(rat_weight!O50/1000)*0.1578</f>
        <v>1.788934010152289</v>
      </c>
      <c r="P50" s="37">
        <f>E_g!P50/(rat_weight!P50/1000)*0.1578</f>
        <v>3.4710659898477232</v>
      </c>
      <c r="Q50" s="37">
        <f>E_g!Q50/(rat_weight!Q50/1000)*0.1578</f>
        <v>2.2914851485148469</v>
      </c>
      <c r="R50" s="37">
        <f>E_g!R50/(rat_weight!R50/1000)*0.1578</f>
        <v>2.4998019801980331</v>
      </c>
      <c r="S50" s="37">
        <f>E_g!S50/(rat_weight!S50/1000)*0.1578</f>
        <v>3.5544059405940538</v>
      </c>
      <c r="T50" s="37" t="e">
        <f>E_g!T50/(rat_weight!T50/1000)*0.1578</f>
        <v>#VALUE!</v>
      </c>
      <c r="U50" s="37">
        <f>E_g!U50/(rat_weight!U50/1000)*0.1578</f>
        <v>2.9240894568690008</v>
      </c>
      <c r="V50" s="37">
        <f>E_g!V50/(rat_weight!V50/1000)*0.1578</f>
        <v>2.8484664536741238</v>
      </c>
      <c r="W50" s="37">
        <f>E_g!W50/(rat_weight!W50/1000)*0.1578</f>
        <v>3.8308360128617349</v>
      </c>
      <c r="X50" s="37">
        <f>E_g!X50/(rat_weight!X50/1000)*0.1578</f>
        <v>2.7145659163987106</v>
      </c>
      <c r="Y50" s="37">
        <f>E_g!Y50/(rat_weight!Y50/1000)*0.1578</f>
        <v>3.4883440514469521</v>
      </c>
      <c r="Z50" s="37">
        <f>E_g!Z50/(rat_weight!Z50/1000)*0.1578</f>
        <v>3.7452531645569689</v>
      </c>
      <c r="AA50" s="37">
        <f>E_g!AA50/(rat_weight!AA50/1000)*0.1578</f>
        <v>3.3832120253164581</v>
      </c>
      <c r="AB50" s="37">
        <f>E_g!AB50/(rat_weight!AB50/1000)*0.1578</f>
        <v>3.6204113924050558</v>
      </c>
      <c r="AC50" s="37">
        <f>E_g!AC50/(rat_weight!AC50/1000)*0.1578</f>
        <v>3.7707728706624759</v>
      </c>
      <c r="AD50" s="37">
        <f>E_g!AD50/(rat_weight!AD50/1000)*0.1578</f>
        <v>3.671214511041009</v>
      </c>
      <c r="AE50" s="37">
        <f>E_g!AE50/(rat_weight!AE50/1000)*0.1578</f>
        <v>3.9947791798107284</v>
      </c>
      <c r="AF50" s="37">
        <f>E_g!AF50/(rat_weight!AF50/1000)*0.1578</f>
        <v>3.8779289026275126</v>
      </c>
      <c r="AG50" s="37">
        <f>E_g!AG50/(rat_weight!AG50/1000)*0.1578</f>
        <v>3.1584389489953675</v>
      </c>
      <c r="AH50" s="37">
        <f>E_g!AH50/(rat_weight!AH50/1000)*0.1578</f>
        <v>1.743848531684693</v>
      </c>
      <c r="AI50" s="37">
        <f>E_g!AI50/(rat_weight!AI50/1000)*0.1578</f>
        <v>3.3900458715596291</v>
      </c>
      <c r="AJ50" s="37">
        <f>E_g!AJ50/(rat_weight!AJ50/1000)*0.1578</f>
        <v>2.4007798165137588</v>
      </c>
      <c r="AK50" s="37">
        <f>E_g!AK50/(rat_weight!AK50/1000)*0.1578</f>
        <v>2.557614678899081</v>
      </c>
    </row>
    <row r="51" spans="1:37">
      <c r="A51" s="30">
        <v>50</v>
      </c>
      <c r="B51" s="37">
        <f>E_g!B51/(rat_weight!B51/1000)*0.1578</f>
        <v>16.586099071207425</v>
      </c>
      <c r="C51" s="37">
        <f>E_g!C51/(rat_weight!C51/1000)*0.1578</f>
        <v>4.7244072948328375</v>
      </c>
      <c r="D51" s="37">
        <f>E_g!D51/(rat_weight!D51/1000)*0.1578</f>
        <v>5.1198432601880848</v>
      </c>
      <c r="E51" s="37">
        <f>E_g!E51/(rat_weight!E51/1000)*0.1578</f>
        <v>3.2656495468277913</v>
      </c>
      <c r="F51" s="37">
        <f>E_g!F51/(rat_weight!F51/1000)*0.1578</f>
        <v>6.8250920245398738</v>
      </c>
      <c r="G51" s="37">
        <f>E_g!G51/(rat_weight!G51/1000)*0.1578</f>
        <v>5.7226851851851981</v>
      </c>
      <c r="H51" s="37">
        <f>E_g!H51/(rat_weight!H51/1000)*0.1578</f>
        <v>4.301475903614449</v>
      </c>
      <c r="I51" s="37">
        <f>E_g!I51/(rat_weight!I51/1000)*0.1578</f>
        <v>4.3455692307692386</v>
      </c>
      <c r="J51" s="37">
        <f>E_g!J51/(rat_weight!J51/1000)*0.1578</f>
        <v>4.5666363636363689</v>
      </c>
      <c r="K51" s="37">
        <f>E_g!K51/(rat_weight!K51/1000)*0.1578</f>
        <v>6.9159259259259347</v>
      </c>
      <c r="L51" s="37">
        <f>E_g!L51/(rat_weight!L51/1000)*0.1578</f>
        <v>5.917500000000012</v>
      </c>
      <c r="M51" s="37">
        <f>E_g!M51/(rat_weight!M51/1000)*0.1578</f>
        <v>7.1958651026393143</v>
      </c>
      <c r="N51" s="37">
        <f>E_g!N51/(rat_weight!N51/1000)*0.1578</f>
        <v>5.9708108108108071</v>
      </c>
      <c r="O51" s="37">
        <f>E_g!O51/(rat_weight!O51/1000)*0.1578</f>
        <v>6.3499099099099121</v>
      </c>
      <c r="P51" s="37">
        <f>E_g!P51/(rat_weight!P51/1000)*0.1578</f>
        <v>8.1980180180180362</v>
      </c>
      <c r="Q51" s="37">
        <f>E_g!Q51/(rat_weight!Q51/1000)*0.1578</f>
        <v>6.5032727272727513</v>
      </c>
      <c r="R51" s="37">
        <f>E_g!R51/(rat_weight!R51/1000)*0.1578</f>
        <v>9.2289090909091094</v>
      </c>
      <c r="S51" s="37">
        <f>E_g!S51/(rat_weight!S51/1000)*0.1578</f>
        <v>6.9097272727272943</v>
      </c>
      <c r="T51" s="37" t="e">
        <f>E_g!T51/(rat_weight!T51/1000)*0.1578</f>
        <v>#VALUE!</v>
      </c>
      <c r="U51" s="37">
        <f>E_g!U51/(rat_weight!U51/1000)*0.1578</f>
        <v>6.9288951841359774</v>
      </c>
      <c r="V51" s="37">
        <f>E_g!V51/(rat_weight!V51/1000)*0.1578</f>
        <v>5.6772237960339895</v>
      </c>
      <c r="W51" s="37">
        <f>E_g!W51/(rat_weight!W51/1000)*0.1578</f>
        <v>6.9984745762711942</v>
      </c>
      <c r="X51" s="37">
        <f>E_g!X51/(rat_weight!X51/1000)*0.1578</f>
        <v>8.7369491525423584</v>
      </c>
      <c r="Y51" s="37">
        <f>E_g!Y51/(rat_weight!Y51/1000)*0.1578</f>
        <v>8.9821186440677998</v>
      </c>
      <c r="Z51" s="37">
        <f>E_g!Z51/(rat_weight!Z51/1000)*0.1578</f>
        <v>8.7616997167138795</v>
      </c>
      <c r="AA51" s="37">
        <f>E_g!AA51/(rat_weight!AA51/1000)*0.1578</f>
        <v>8.0688101983002891</v>
      </c>
      <c r="AB51" s="37">
        <f>E_g!AB51/(rat_weight!AB51/1000)*0.1578</f>
        <v>8.8064022662889343</v>
      </c>
      <c r="AC51" s="37">
        <f>E_g!AC51/(rat_weight!AC51/1000)*0.1578</f>
        <v>7.8044715447154358</v>
      </c>
      <c r="AD51" s="37">
        <f>E_g!AD51/(rat_weight!AD51/1000)*0.1578</f>
        <v>6.8208943089430845</v>
      </c>
      <c r="AE51" s="37">
        <f>E_g!AE51/(rat_weight!AE51/1000)*0.1578</f>
        <v>7.8472357723577089</v>
      </c>
      <c r="AF51" s="37">
        <f>E_g!AF51/(rat_weight!AF51/1000)*0.1578</f>
        <v>9.2518356164383579</v>
      </c>
      <c r="AG51" s="37">
        <f>E_g!AG51/(rat_weight!AG51/1000)*0.1578</f>
        <v>8.4087945205479286</v>
      </c>
      <c r="AH51" s="37">
        <f>E_g!AH51/(rat_weight!AH51/1000)*0.1578</f>
        <v>8.9708219178081947</v>
      </c>
      <c r="AI51" s="37">
        <f>E_g!AI51/(rat_weight!AI51/1000)*0.1578</f>
        <v>8.2416434540389858</v>
      </c>
      <c r="AJ51" s="37">
        <f>E_g!AJ51/(rat_weight!AJ51/1000)*0.1578</f>
        <v>6.4394707520891261</v>
      </c>
      <c r="AK51" s="37">
        <f>E_g!AK51/(rat_weight!AK51/1000)*0.1578</f>
        <v>8.1757103064066818</v>
      </c>
    </row>
    <row r="52" spans="1:37">
      <c r="A52" s="30">
        <v>51</v>
      </c>
      <c r="B52" s="37">
        <f>E_g!B52/(rat_weight!B52/1000)*0.1578</f>
        <v>1.7220238095237739</v>
      </c>
      <c r="C52" s="37">
        <f>E_g!C52/(rat_weight!C52/1000)*0.1578</f>
        <v>4.3395000000000206</v>
      </c>
      <c r="D52" s="37">
        <f>E_g!D52/(rat_weight!D52/1000)*0.1578</f>
        <v>5.2103773584905824</v>
      </c>
      <c r="E52" s="37">
        <f>E_g!E52/(rat_weight!E52/1000)*0.1578</f>
        <v>4.5803370786516684</v>
      </c>
      <c r="F52" s="37">
        <f>E_g!F52/(rat_weight!F52/1000)*0.1578</f>
        <v>3.9006741573033672</v>
      </c>
      <c r="G52" s="37">
        <f>E_g!G52/(rat_weight!G52/1000)*0.1578</f>
        <v>4.7987686567164207</v>
      </c>
      <c r="H52" s="37">
        <f>E_g!H52/(rat_weight!H52/1000)*0.1578</f>
        <v>5.8736666666666562</v>
      </c>
      <c r="I52" s="37">
        <f>E_g!I52/(rat_weight!I52/1000)*0.1578</f>
        <v>4.396273062730617</v>
      </c>
      <c r="J52" s="37">
        <f>E_g!J52/(rat_weight!J52/1000)*0.1578</f>
        <v>4.9022426470588165</v>
      </c>
      <c r="K52" s="37">
        <f>E_g!K52/(rat_weight!K52/1000)*0.1578</f>
        <v>4.7280898876404658</v>
      </c>
      <c r="L52" s="37">
        <f>E_g!L52/(rat_weight!L52/1000)*0.1578</f>
        <v>4.6463333333333434</v>
      </c>
      <c r="M52" s="37">
        <f>E_g!M52/(rat_weight!M52/1000)*0.1578</f>
        <v>6.8278846153846331</v>
      </c>
      <c r="N52" s="37">
        <f>E_g!N52/(rat_weight!N52/1000)*0.1578</f>
        <v>5.3570479704797149</v>
      </c>
      <c r="O52" s="37">
        <f>E_g!O52/(rat_weight!O52/1000)*0.1578</f>
        <v>4.1924723247232567</v>
      </c>
      <c r="P52" s="37">
        <f>E_g!P52/(rat_weight!P52/1000)*0.1578</f>
        <v>5.0076752767527637</v>
      </c>
      <c r="Q52" s="37">
        <f>E_g!Q52/(rat_weight!Q52/1000)*0.1578</f>
        <v>4.4595652173913267</v>
      </c>
      <c r="R52" s="37">
        <f>E_g!R52/(rat_weight!R52/1000)*0.1578</f>
        <v>4.8597826086956353</v>
      </c>
      <c r="S52" s="37">
        <f>E_g!S52/(rat_weight!S52/1000)*0.1578</f>
        <v>6.0890217391304216</v>
      </c>
      <c r="T52" s="37" t="e">
        <f>E_g!T52/(rat_weight!T52/1000)*0.1578</f>
        <v>#VALUE!</v>
      </c>
      <c r="U52" s="37">
        <f>E_g!U52/(rat_weight!U52/1000)*0.1578</f>
        <v>5.278718861209982</v>
      </c>
      <c r="V52" s="37">
        <f>E_g!V52/(rat_weight!V52/1000)*0.1578</f>
        <v>6.2333807829181618</v>
      </c>
      <c r="W52" s="37">
        <f>E_g!W52/(rat_weight!W52/1000)*0.1578</f>
        <v>4.6444680851064053</v>
      </c>
      <c r="X52" s="37">
        <f>E_g!X52/(rat_weight!X52/1000)*0.1578</f>
        <v>5.4278723404255267</v>
      </c>
      <c r="Y52" s="37">
        <f>E_g!Y52/(rat_weight!Y52/1000)*0.1578</f>
        <v>5.1201063829787596</v>
      </c>
      <c r="Z52" s="37">
        <f>E_g!Z52/(rat_weight!Z52/1000)*0.1578</f>
        <v>5.987446808510648</v>
      </c>
      <c r="AA52" s="37">
        <f>E_g!AA52/(rat_weight!AA52/1000)*0.1578</f>
        <v>5.1760638297872656</v>
      </c>
      <c r="AB52" s="37">
        <f>E_g!AB52/(rat_weight!AB52/1000)*0.1578</f>
        <v>6.5470212765957543</v>
      </c>
      <c r="AC52" s="37">
        <f>E_g!AC52/(rat_weight!AC52/1000)*0.1578</f>
        <v>6.0544791666666891</v>
      </c>
      <c r="AD52" s="37">
        <f>E_g!AD52/(rat_weight!AD52/1000)*0.1578</f>
        <v>5.4517708333333266</v>
      </c>
      <c r="AE52" s="37">
        <f>E_g!AE52/(rat_weight!AE52/1000)*0.1578</f>
        <v>5.4517708333333266</v>
      </c>
      <c r="AF52" s="37">
        <f>E_g!AF52/(rat_weight!AF52/1000)*0.1578</f>
        <v>5.3510034602076342</v>
      </c>
      <c r="AG52" s="37">
        <f>E_g!AG52/(rat_weight!AG52/1000)*0.1578</f>
        <v>4.4500692041522214</v>
      </c>
      <c r="AH52" s="37">
        <f>E_g!AH52/(rat_weight!AH52/1000)*0.1578</f>
        <v>5.1598961937716208</v>
      </c>
      <c r="AI52" s="37">
        <f>E_g!AI52/(rat_weight!AI52/1000)*0.1578</f>
        <v>4.9075257731958981</v>
      </c>
      <c r="AJ52" s="37">
        <f>E_g!AJ52/(rat_weight!AJ52/1000)*0.1578</f>
        <v>4.6363917525773264</v>
      </c>
      <c r="AK52" s="37">
        <f>E_g!AK52/(rat_weight!AK52/1000)*0.1578</f>
        <v>6.0191752577319564</v>
      </c>
    </row>
    <row r="53" spans="1:37">
      <c r="A53" s="30">
        <v>52</v>
      </c>
      <c r="B53" s="37">
        <f>E_g!B53/(rat_weight!B53/1000)*0.1578</f>
        <v>1.9846012269938209</v>
      </c>
      <c r="C53" s="37">
        <f>E_g!C53/(rat_weight!C53/1000)*0.1578</f>
        <v>4.1306470588235715</v>
      </c>
      <c r="D53" s="37">
        <f>E_g!D53/(rat_weight!D53/1000)*0.1578</f>
        <v>8.1276506024096218</v>
      </c>
      <c r="E53" s="37">
        <f>E_g!E53/(rat_weight!E53/1000)*0.1578</f>
        <v>7.0496449704141844</v>
      </c>
      <c r="F53" s="37">
        <f>E_g!F53/(rat_weight!F53/1000)*0.1578</f>
        <v>7.5592814371257218</v>
      </c>
      <c r="G53" s="37">
        <f>E_g!G53/(rat_weight!G53/1000)*0.1578</f>
        <v>8.9831927710843527</v>
      </c>
      <c r="H53" s="37">
        <f>E_g!H53/(rat_weight!H53/1000)*0.1578</f>
        <v>7.6065269461077678</v>
      </c>
      <c r="I53" s="37">
        <f>E_g!I53/(rat_weight!I53/1000)*0.1578</f>
        <v>6.0583928571428194</v>
      </c>
      <c r="J53" s="37">
        <f>E_g!J53/(rat_weight!J53/1000)*0.1578</f>
        <v>7.3161818181817964</v>
      </c>
      <c r="K53" s="37">
        <f>E_g!K53/(rat_weight!K53/1000)*0.1578</f>
        <v>9.3928571428571157</v>
      </c>
      <c r="L53" s="37">
        <f>E_g!L53/(rat_weight!L53/1000)*0.1578</f>
        <v>9.8508284023669006</v>
      </c>
      <c r="M53" s="37">
        <f>E_g!M53/(rat_weight!M53/1000)*0.1578</f>
        <v>7.9369642857143008</v>
      </c>
      <c r="N53" s="37">
        <f>E_g!N53/(rat_weight!N53/1000)*0.1578</f>
        <v>10.771976047904195</v>
      </c>
      <c r="O53" s="37">
        <f>E_g!O53/(rat_weight!O53/1000)*0.1578</f>
        <v>6.8978443113772832</v>
      </c>
      <c r="P53" s="37">
        <f>E_g!P53/(rat_weight!P53/1000)*0.1578</f>
        <v>7.5592814371257742</v>
      </c>
      <c r="Q53" s="37">
        <f>E_g!Q53/(rat_weight!Q53/1000)*0.1578</f>
        <v>7.9828235294118111</v>
      </c>
      <c r="R53" s="37">
        <f>E_g!R53/(rat_weight!R53/1000)*0.1578</f>
        <v>9.375176470588281</v>
      </c>
      <c r="S53" s="37">
        <f>E_g!S53/(rat_weight!S53/1000)*0.1578</f>
        <v>8.9574705882352195</v>
      </c>
      <c r="T53" s="37" t="e">
        <f>E_g!T53/(rat_weight!T53/1000)*0.1578</f>
        <v>#VALUE!</v>
      </c>
      <c r="U53" s="37">
        <f>E_g!U53/(rat_weight!U53/1000)*0.1578</f>
        <v>8.6653179190751448</v>
      </c>
      <c r="V53" s="37">
        <f>E_g!V53/(rat_weight!V53/1000)*0.1578</f>
        <v>8.3004624277456855</v>
      </c>
      <c r="W53" s="37">
        <f>E_g!W53/(rat_weight!W53/1000)*0.1578</f>
        <v>8.2092485549132697</v>
      </c>
      <c r="X53" s="37">
        <f>E_g!X53/(rat_weight!X53/1000)*0.1578</f>
        <v>8.847745664739822</v>
      </c>
      <c r="Y53" s="37">
        <f>E_g!Y53/(rat_weight!Y53/1000)*0.1578</f>
        <v>10.991271676300617</v>
      </c>
      <c r="Z53" s="37">
        <f>E_g!Z53/(rat_weight!Z53/1000)*0.1578</f>
        <v>8.9909302325581244</v>
      </c>
      <c r="AA53" s="37">
        <f>E_g!AA53/(rat_weight!AA53/1000)*0.1578</f>
        <v>11.513895348837222</v>
      </c>
      <c r="AB53" s="37">
        <f>E_g!AB53/(rat_weight!AB53/1000)*0.1578</f>
        <v>9.6331395348837479</v>
      </c>
      <c r="AC53" s="37">
        <f>E_g!AC53/(rat_weight!AC53/1000)*0.1578</f>
        <v>7.4865340909090863</v>
      </c>
      <c r="AD53" s="37">
        <f>E_g!AD53/(rat_weight!AD53/1000)*0.1578</f>
        <v>10.265965909090898</v>
      </c>
      <c r="AE53" s="37">
        <f>E_g!AE53/(rat_weight!AE53/1000)*0.1578</f>
        <v>10.534943181818182</v>
      </c>
      <c r="AF53" s="37">
        <f>E_g!AF53/(rat_weight!AF53/1000)*0.1578</f>
        <v>10.137988826815668</v>
      </c>
      <c r="AG53" s="37">
        <f>E_g!AG53/(rat_weight!AG53/1000)*0.1578</f>
        <v>10.446536312849156</v>
      </c>
      <c r="AH53" s="37">
        <f>E_g!AH53/(rat_weight!AH53/1000)*0.1578</f>
        <v>11.328100558659189</v>
      </c>
      <c r="AI53" s="37">
        <f>E_g!AI53/(rat_weight!AI53/1000)*0.1578</f>
        <v>7.8446551724137992</v>
      </c>
      <c r="AJ53" s="37">
        <f>E_g!AJ53/(rat_weight!AJ53/1000)*0.1578</f>
        <v>10.202586206896553</v>
      </c>
      <c r="AK53" s="37">
        <f>E_g!AK53/(rat_weight!AK53/1000)*0.1578</f>
        <v>11.336206896551751</v>
      </c>
    </row>
    <row r="54" spans="1:37">
      <c r="A54" s="30">
        <v>53</v>
      </c>
      <c r="B54" s="37">
        <f>E_g!B54/(rat_weight!B54/1000)*0.1578</f>
        <v>2.1783260869565293</v>
      </c>
      <c r="C54" s="37">
        <f>E_g!C54/(rat_weight!C54/1000)*0.1578</f>
        <v>5.7644612068965673</v>
      </c>
      <c r="D54" s="37">
        <f>E_g!D54/(rat_weight!D54/1000)*0.1578</f>
        <v>2.7480128205128032</v>
      </c>
      <c r="E54" s="37">
        <f>E_g!E54/(rat_weight!E54/1000)*0.1578</f>
        <v>5.5313052631578783</v>
      </c>
      <c r="F54" s="37">
        <f>E_g!F54/(rat_weight!F54/1000)*0.1578</f>
        <v>6.6530084745762732</v>
      </c>
      <c r="G54" s="37">
        <f>E_g!G54/(rat_weight!G54/1000)*0.1578</f>
        <v>6.7081645569620276</v>
      </c>
      <c r="H54" s="37">
        <f>E_g!H54/(rat_weight!H54/1000)*0.1578</f>
        <v>7.3650935550935612</v>
      </c>
      <c r="I54" s="37">
        <f>E_g!I54/(rat_weight!I54/1000)*0.1578</f>
        <v>7.2392783505154732</v>
      </c>
      <c r="J54" s="37">
        <f>E_g!J54/(rat_weight!J54/1000)*0.1578</f>
        <v>6.230659793814425</v>
      </c>
      <c r="K54" s="37">
        <f>E_g!K54/(rat_weight!K54/1000)*0.1578</f>
        <v>6.9840501043841394</v>
      </c>
      <c r="L54" s="37">
        <f>E_g!L54/(rat_weight!L54/1000)*0.1578</f>
        <v>6.96757828810021</v>
      </c>
      <c r="M54" s="37">
        <f>E_g!M54/(rat_weight!M54/1000)*0.1578</f>
        <v>8.1694374999999972</v>
      </c>
      <c r="N54" s="37">
        <f>E_g!N54/(rat_weight!N54/1000)*0.1578</f>
        <v>8.622061855670113</v>
      </c>
      <c r="O54" s="37">
        <f>E_g!O54/(rat_weight!O54/1000)*0.1578</f>
        <v>5.7588865979381492</v>
      </c>
      <c r="P54" s="37">
        <f>E_g!P54/(rat_weight!P54/1000)*0.1578</f>
        <v>7.8086597938144422</v>
      </c>
      <c r="Q54" s="37">
        <f>E_g!Q54/(rat_weight!Q54/1000)*0.1578</f>
        <v>5.8975757575757477</v>
      </c>
      <c r="R54" s="37">
        <f>E_g!R54/(rat_weight!R54/1000)*0.1578</f>
        <v>7.8740606060606293</v>
      </c>
      <c r="S54" s="37">
        <f>E_g!S54/(rat_weight!S54/1000)*0.1578</f>
        <v>6.7104848484848336</v>
      </c>
      <c r="T54" s="37" t="e">
        <f>E_g!T54/(rat_weight!T54/1000)*0.1578</f>
        <v>#VALUE!</v>
      </c>
      <c r="U54" s="37">
        <f>E_g!U54/(rat_weight!U54/1000)*0.1578</f>
        <v>7.3164636542239583</v>
      </c>
      <c r="V54" s="37">
        <f>E_g!V54/(rat_weight!V54/1000)*0.1578</f>
        <v>6.2313948919449977</v>
      </c>
      <c r="W54" s="37">
        <f>E_g!W54/(rat_weight!W54/1000)*0.1578</f>
        <v>7.1393009708737987</v>
      </c>
      <c r="X54" s="37">
        <f>E_g!X54/(rat_weight!X54/1000)*0.1578</f>
        <v>7.2925048543689179</v>
      </c>
      <c r="Y54" s="37">
        <f>E_g!Y54/(rat_weight!Y54/1000)*0.1578</f>
        <v>6.3886019417475701</v>
      </c>
      <c r="Z54" s="37">
        <f>E_g!Z54/(rat_weight!Z54/1000)*0.1578</f>
        <v>7.1644827586206947</v>
      </c>
      <c r="AA54" s="37">
        <f>E_g!AA54/(rat_weight!AA54/1000)*0.1578</f>
        <v>7.5725862068965553</v>
      </c>
      <c r="AB54" s="37">
        <f>E_g!AB54/(rat_weight!AB54/1000)*0.1578</f>
        <v>8.1016091954022933</v>
      </c>
      <c r="AC54" s="37">
        <f>E_g!AC54/(rat_weight!AC54/1000)*0.1578</f>
        <v>7.3000934579439329</v>
      </c>
      <c r="AD54" s="37">
        <f>E_g!AD54/(rat_weight!AD54/1000)*0.1578</f>
        <v>7.7720186915887748</v>
      </c>
      <c r="AE54" s="37">
        <f>E_g!AE54/(rat_weight!AE54/1000)*0.1578</f>
        <v>8.4209158878504695</v>
      </c>
      <c r="AF54" s="37">
        <f>E_g!AF54/(rat_weight!AF54/1000)*0.1578</f>
        <v>7.3640000000000043</v>
      </c>
      <c r="AG54" s="37">
        <f>E_g!AG54/(rat_weight!AG54/1000)*0.1578</f>
        <v>7.6123888888888827</v>
      </c>
      <c r="AH54" s="37">
        <f>E_g!AH54/(rat_weight!AH54/1000)*0.1578</f>
        <v>8.2260555555555488</v>
      </c>
      <c r="AI54" s="37">
        <f>E_g!AI54/(rat_weight!AI54/1000)*0.1578</f>
        <v>7.2459183673469303</v>
      </c>
      <c r="AJ54" s="37">
        <f>E_g!AJ54/(rat_weight!AJ54/1000)*0.1578</f>
        <v>9.2952690166975884</v>
      </c>
      <c r="AK54" s="37">
        <f>E_g!AK54/(rat_weight!AK54/1000)*0.1578</f>
        <v>7.6118738404452762</v>
      </c>
    </row>
    <row r="55" spans="1:37">
      <c r="A55" s="30">
        <v>54</v>
      </c>
      <c r="B55" s="37">
        <f>E_g!B55/(rat_weight!B55/1000)*0.1578</f>
        <v>6.408844765342927</v>
      </c>
      <c r="C55" s="37">
        <f>E_g!C55/(rat_weight!C55/1000)*0.1578</f>
        <v>4.728404255319175</v>
      </c>
      <c r="D55" s="37">
        <f>E_g!D55/(rat_weight!D55/1000)*0.1578</f>
        <v>5.326462093862812</v>
      </c>
      <c r="E55" s="37">
        <f>E_g!E55/(rat_weight!E55/1000)*0.1578</f>
        <v>7.9999651567944161</v>
      </c>
      <c r="F55" s="37">
        <f>E_g!F55/(rat_weight!F55/1000)*0.1578</f>
        <v>8.1357093425605562</v>
      </c>
      <c r="G55" s="37">
        <f>E_g!G55/(rat_weight!G55/1000)*0.1578</f>
        <v>8.7090311418685218</v>
      </c>
      <c r="H55" s="37">
        <f>E_g!H55/(rat_weight!H55/1000)*0.1578</f>
        <v>9.0446341463414424</v>
      </c>
      <c r="I55" s="37">
        <f>E_g!I55/(rat_weight!I55/1000)*0.1578</f>
        <v>4.4260975609756317</v>
      </c>
      <c r="J55" s="37">
        <f>E_g!J55/(rat_weight!J55/1000)*0.1578</f>
        <v>5.8094178082191785</v>
      </c>
      <c r="K55" s="37">
        <f>E_g!K55/(rat_weight!K55/1000)*0.1578</f>
        <v>8.0772203389830484</v>
      </c>
      <c r="L55" s="37">
        <f>E_g!L55/(rat_weight!L55/1000)*0.1578</f>
        <v>9.6584482758620851</v>
      </c>
      <c r="M55" s="37">
        <f>E_g!M55/(rat_weight!M55/1000)*0.1578</f>
        <v>7.7021428571428547</v>
      </c>
      <c r="N55" s="37">
        <f>E_g!N55/(rat_weight!N55/1000)*0.1578</f>
        <v>10.109898305084748</v>
      </c>
      <c r="O55" s="37">
        <f>E_g!O55/(rat_weight!O55/1000)*0.1578</f>
        <v>8.8795932203389807</v>
      </c>
      <c r="P55" s="37">
        <f>E_g!P55/(rat_weight!P55/1000)*0.1578</f>
        <v>6.8469152542372784</v>
      </c>
      <c r="Q55" s="37">
        <f>E_g!Q55/(rat_weight!Q55/1000)*0.1578</f>
        <v>6.9004067796610205</v>
      </c>
      <c r="R55" s="37">
        <f>E_g!R55/(rat_weight!R55/1000)*0.1578</f>
        <v>9.5749830508474609</v>
      </c>
      <c r="S55" s="37">
        <f>E_g!S55/(rat_weight!S55/1000)*0.1578</f>
        <v>9.8691864406779608</v>
      </c>
      <c r="T55" s="37" t="e">
        <f>E_g!T55/(rat_weight!T55/1000)*0.1578</f>
        <v>#VALUE!</v>
      </c>
      <c r="U55" s="37">
        <f>E_g!U55/(rat_weight!U55/1000)*0.1578</f>
        <v>8.3385953177257583</v>
      </c>
      <c r="V55" s="37">
        <f>E_g!V55/(rat_weight!V55/1000)*0.1578</f>
        <v>8.2330434782608819</v>
      </c>
      <c r="W55" s="37">
        <f>E_g!W55/(rat_weight!W55/1000)*0.1578</f>
        <v>4.3602631578947397</v>
      </c>
      <c r="X55" s="37">
        <f>E_g!X55/(rat_weight!X55/1000)*0.1578</f>
        <v>9.6029605263157602</v>
      </c>
      <c r="Y55" s="37">
        <f>E_g!Y55/(rat_weight!Y55/1000)*0.1578</f>
        <v>11.341875000000027</v>
      </c>
      <c r="Z55" s="37">
        <f>E_g!Z55/(rat_weight!Z55/1000)*0.1578</f>
        <v>7.9661093247588219</v>
      </c>
      <c r="AA55" s="37">
        <f>E_g!AA55/(rat_weight!AA55/1000)*0.1578</f>
        <v>9.0570096463022622</v>
      </c>
      <c r="AB55" s="37">
        <f>E_g!AB55/(rat_weight!AB55/1000)*0.1578</f>
        <v>7.712411575562709</v>
      </c>
      <c r="AC55" s="37">
        <f>E_g!AC55/(rat_weight!AC55/1000)*0.1578</f>
        <v>8.9113592233009804</v>
      </c>
      <c r="AD55" s="37">
        <f>E_g!AD55/(rat_weight!AD55/1000)*0.1578</f>
        <v>9.8305825242718452</v>
      </c>
      <c r="AE55" s="37">
        <f>E_g!AE55/(rat_weight!AE55/1000)*0.1578</f>
        <v>10.239126213592209</v>
      </c>
      <c r="AF55" s="37">
        <f>E_g!AF55/(rat_weight!AF55/1000)*0.1578</f>
        <v>10.605389610389619</v>
      </c>
      <c r="AG55" s="37">
        <f>E_g!AG55/(rat_weight!AG55/1000)*0.1578</f>
        <v>9.7087987012986812</v>
      </c>
      <c r="AH55" s="37">
        <f>E_g!AH55/(rat_weight!AH55/1000)*0.1578</f>
        <v>8.4791883116882882</v>
      </c>
      <c r="AI55" s="37">
        <f>E_g!AI55/(rat_weight!AI55/1000)*0.1578</f>
        <v>10.926611842105252</v>
      </c>
      <c r="AJ55" s="37">
        <f>E_g!AJ55/(rat_weight!AJ55/1000)*0.1578</f>
        <v>12.380032894736825</v>
      </c>
      <c r="AK55" s="37">
        <f>E_g!AK55/(rat_weight!AK55/1000)*0.1578</f>
        <v>9.6029605263158047</v>
      </c>
    </row>
    <row r="56" spans="1:37">
      <c r="A56" s="30">
        <v>55</v>
      </c>
      <c r="B56" s="37">
        <f>E_g!B56/(rat_weight!B56/1000)*0.1578</f>
        <v>0.92049999999996013</v>
      </c>
      <c r="C56" s="37">
        <f>E_g!C56/(rat_weight!C56/1000)*0.1578</f>
        <v>3.679044943820255</v>
      </c>
      <c r="D56" s="37">
        <f>E_g!D56/(rat_weight!D56/1000)*0.1578</f>
        <v>2.6299999999999857</v>
      </c>
      <c r="E56" s="37">
        <f>E_g!E56/(rat_weight!E56/1000)*0.1578</f>
        <v>2.3843406593406837</v>
      </c>
      <c r="F56" s="37">
        <f>E_g!F56/(rat_weight!F56/1000)*0.1578</f>
        <v>4.802608695652169</v>
      </c>
      <c r="G56" s="37">
        <f>E_g!G56/(rat_weight!G56/1000)*0.1578</f>
        <v>6.5311666666666817</v>
      </c>
      <c r="H56" s="37">
        <f>E_g!H56/(rat_weight!H56/1000)*0.1578</f>
        <v>6.3207182320442232</v>
      </c>
      <c r="I56" s="37">
        <f>E_g!I56/(rat_weight!I56/1000)*0.1578</f>
        <v>6.7322282608695598</v>
      </c>
      <c r="J56" s="37">
        <f>E_g!J56/(rat_weight!J56/1000)*0.1578</f>
        <v>6.3207182320441992</v>
      </c>
      <c r="K56" s="37">
        <f>E_g!K56/(rat_weight!K56/1000)*0.1578</f>
        <v>6.8379999999999859</v>
      </c>
      <c r="L56" s="37">
        <f>E_g!L56/(rat_weight!L56/1000)*0.1578</f>
        <v>4.6995081967213261</v>
      </c>
      <c r="M56" s="37">
        <f>E_g!M56/(rat_weight!M56/1000)*0.1578</f>
        <v>5.7657692307692354</v>
      </c>
      <c r="N56" s="37">
        <f>E_g!N56/(rat_weight!N56/1000)*0.1578</f>
        <v>6.3972972972973219</v>
      </c>
      <c r="O56" s="37">
        <f>E_g!O56/(rat_weight!O56/1000)*0.1578</f>
        <v>6.9090810810811245</v>
      </c>
      <c r="P56" s="37">
        <f>E_g!P56/(rat_weight!P56/1000)*0.1578</f>
        <v>5.7149189189189338</v>
      </c>
      <c r="Q56" s="37">
        <f>E_g!Q56/(rat_weight!Q56/1000)*0.1578</f>
        <v>6.2085245901639494</v>
      </c>
      <c r="R56" s="37">
        <f>E_g!R56/(rat_weight!R56/1000)*0.1578</f>
        <v>7.5881967213115091</v>
      </c>
      <c r="S56" s="37">
        <f>E_g!S56/(rat_weight!S56/1000)*0.1578</f>
        <v>7.3726229508196326</v>
      </c>
      <c r="T56" s="37" t="e">
        <f>E_g!T56/(rat_weight!T56/1000)*0.1578</f>
        <v>#VALUE!</v>
      </c>
      <c r="U56" s="37">
        <f>E_g!U56/(rat_weight!U56/1000)*0.1578</f>
        <v>7.9748387096774485</v>
      </c>
      <c r="V56" s="37">
        <f>E_g!V56/(rat_weight!V56/1000)*0.1578</f>
        <v>9.3322580645161288</v>
      </c>
      <c r="W56" s="37">
        <f>E_g!W56/(rat_weight!W56/1000)*0.1578</f>
        <v>6.4825945945946382</v>
      </c>
      <c r="X56" s="37">
        <f>E_g!X56/(rat_weight!X56/1000)*0.1578</f>
        <v>7.4208648648648552</v>
      </c>
      <c r="Y56" s="37">
        <f>E_g!Y56/(rat_weight!Y56/1000)*0.1578</f>
        <v>7.8047027027027074</v>
      </c>
      <c r="Z56" s="37">
        <f>E_g!Z56/(rat_weight!Z56/1000)*0.1578</f>
        <v>7.7660732984293235</v>
      </c>
      <c r="AA56" s="37">
        <f>E_g!AA56/(rat_weight!AA56/1000)*0.1578</f>
        <v>7.6421465968586384</v>
      </c>
      <c r="AB56" s="37">
        <f>E_g!AB56/(rat_weight!AB56/1000)*0.1578</f>
        <v>8.7574869109947588</v>
      </c>
      <c r="AC56" s="37">
        <f>E_g!AC56/(rat_weight!AC56/1000)*0.1578</f>
        <v>7.8484736842105409</v>
      </c>
      <c r="AD56" s="37">
        <f>E_g!AD56/(rat_weight!AD56/1000)*0.1578</f>
        <v>9.1773157894736457</v>
      </c>
      <c r="AE56" s="37">
        <f>E_g!AE56/(rat_weight!AE56/1000)*0.1578</f>
        <v>8.1806842105263335</v>
      </c>
      <c r="AF56" s="37">
        <f>E_g!AF56/(rat_weight!AF56/1000)*0.1578</f>
        <v>6.3119999999999949</v>
      </c>
      <c r="AG56" s="37">
        <f>E_g!AG56/(rat_weight!AG56/1000)*0.1578</f>
        <v>8.8451052631578513</v>
      </c>
      <c r="AH56" s="37">
        <f>E_g!AH56/(rat_weight!AH56/1000)*0.1578</f>
        <v>8.1806842105262874</v>
      </c>
      <c r="AI56" s="37">
        <f>E_g!AI56/(rat_weight!AI56/1000)*0.1578</f>
        <v>6.6292268041237152</v>
      </c>
      <c r="AJ56" s="37">
        <f>E_g!AJ56/(rat_weight!AJ56/1000)*0.1578</f>
        <v>6.710567010309278</v>
      </c>
      <c r="AK56" s="37">
        <f>E_g!AK56/(rat_weight!AK56/1000)*0.1578</f>
        <v>15.37329896907217</v>
      </c>
    </row>
    <row r="57" spans="1:37">
      <c r="A57" s="30">
        <v>56</v>
      </c>
      <c r="B57" s="37">
        <f>E_g!B57/(rat_weight!B57/1000)*0.1578</f>
        <v>3.1942214532872097</v>
      </c>
      <c r="C57" s="37">
        <f>E_g!C57/(rat_weight!C57/1000)*0.1578</f>
        <v>-0.68252595155706242</v>
      </c>
      <c r="D57" s="37">
        <f>E_g!D57/(rat_weight!D57/1000)*0.1578</f>
        <v>4.9244482758620602</v>
      </c>
      <c r="E57" s="37">
        <f>E_g!E57/(rat_weight!E57/1000)*0.1578</f>
        <v>3.8152302631578916</v>
      </c>
      <c r="F57" s="37">
        <f>E_g!F57/(rat_weight!F57/1000)*0.1578</f>
        <v>3.2094915254237133</v>
      </c>
      <c r="G57" s="37">
        <f>E_g!G57/(rat_weight!G57/1000)*0.1578</f>
        <v>4.320714285714307</v>
      </c>
      <c r="H57" s="37">
        <f>E_g!H57/(rat_weight!H57/1000)*0.1578</f>
        <v>5.5709797297297392</v>
      </c>
      <c r="I57" s="37">
        <f>E_g!I57/(rat_weight!I57/1000)*0.1578</f>
        <v>6.8970408163265278</v>
      </c>
      <c r="J57" s="37">
        <f>E_g!J57/(rat_weight!J57/1000)*0.1578</f>
        <v>5.3875746268656579</v>
      </c>
      <c r="K57" s="37">
        <f>E_g!K57/(rat_weight!K57/1000)*0.1578</f>
        <v>5.1052941176470483</v>
      </c>
      <c r="L57" s="37">
        <f>E_g!L57/(rat_weight!L57/1000)*0.1578</f>
        <v>4.0439784946236914</v>
      </c>
      <c r="M57" s="37">
        <f>E_g!M57/(rat_weight!M57/1000)*0.1578</f>
        <v>4.7452313167259872</v>
      </c>
      <c r="N57" s="37">
        <f>E_g!N57/(rat_weight!N57/1000)*0.1578</f>
        <v>5.7430612244898054</v>
      </c>
      <c r="O57" s="37">
        <f>E_g!O57/(rat_weight!O57/1000)*0.1578</f>
        <v>4.6695918367347033</v>
      </c>
      <c r="P57" s="37">
        <f>E_g!P57/(rat_weight!P57/1000)*0.1578</f>
        <v>5.2063265306122233</v>
      </c>
      <c r="Q57" s="37">
        <f>E_g!Q57/(rat_weight!Q57/1000)*0.1578</f>
        <v>5.3473754152823716</v>
      </c>
      <c r="R57" s="37">
        <f>E_g!R57/(rat_weight!R57/1000)*0.1578</f>
        <v>5.9764784053156177</v>
      </c>
      <c r="S57" s="37">
        <f>E_g!S57/(rat_weight!S57/1000)*0.1578</f>
        <v>6.1075415282391905</v>
      </c>
      <c r="T57" s="37" t="e">
        <f>E_g!T57/(rat_weight!T57/1000)*0.1578</f>
        <v>#VALUE!</v>
      </c>
      <c r="U57" s="37">
        <f>E_g!U57/(rat_weight!U57/1000)*0.1578</f>
        <v>4.9505882352941288</v>
      </c>
      <c r="V57" s="37">
        <f>E_g!V57/(rat_weight!V57/1000)*0.1578</f>
        <v>6.4460784313725785</v>
      </c>
      <c r="W57" s="37">
        <f>E_g!W57/(rat_weight!W57/1000)*0.1578</f>
        <v>5.7427215189873557</v>
      </c>
      <c r="X57" s="37">
        <f>E_g!X57/(rat_weight!X57/1000)*0.1578</f>
        <v>5.7427215189873415</v>
      </c>
      <c r="Y57" s="37">
        <f>E_g!Y57/(rat_weight!Y57/1000)*0.1578</f>
        <v>6.466803797468363</v>
      </c>
      <c r="Z57" s="37">
        <f>E_g!Z57/(rat_weight!Z57/1000)*0.1578</f>
        <v>5.6532710280373966</v>
      </c>
      <c r="AA57" s="37">
        <f>E_g!AA57/(rat_weight!AA57/1000)*0.1578</f>
        <v>6.7101869158878662</v>
      </c>
      <c r="AB57" s="37">
        <f>E_g!AB57/(rat_weight!AB57/1000)*0.1578</f>
        <v>7.0297196261682151</v>
      </c>
      <c r="AC57" s="37">
        <f>E_g!AC57/(rat_weight!AC57/1000)*0.1578</f>
        <v>7.0531818181818311</v>
      </c>
      <c r="AD57" s="37">
        <f>E_g!AD57/(rat_weight!AD57/1000)*0.1578</f>
        <v>6.3837272727272554</v>
      </c>
      <c r="AE57" s="37">
        <f>E_g!AE57/(rat_weight!AE57/1000)*0.1578</f>
        <v>6.0490000000000155</v>
      </c>
      <c r="AF57" s="37">
        <f>E_g!AF57/(rat_weight!AF57/1000)*0.1578</f>
        <v>5.6085542168674882</v>
      </c>
      <c r="AG57" s="37">
        <f>E_g!AG57/(rat_weight!AG57/1000)*0.1578</f>
        <v>5.2996084337349156</v>
      </c>
      <c r="AH57" s="37">
        <f>E_g!AH57/(rat_weight!AH57/1000)*0.1578</f>
        <v>5.774909638554206</v>
      </c>
      <c r="AI57" s="37">
        <f>E_g!AI57/(rat_weight!AI57/1000)*0.1578</f>
        <v>6.6379940119760388</v>
      </c>
      <c r="AJ57" s="37">
        <f>E_g!AJ57/(rat_weight!AJ57/1000)*0.1578</f>
        <v>5.8820658682634672</v>
      </c>
      <c r="AK57" s="37">
        <f>E_g!AK57/(rat_weight!AK57/1000)*0.1578</f>
        <v>6.2364071856287495</v>
      </c>
    </row>
    <row r="58" spans="1:37">
      <c r="A58" s="30">
        <v>57</v>
      </c>
      <c r="B58" s="37">
        <f>E_g!B58/(rat_weight!B58/1000)*0.1578</f>
        <v>0.98959322033899522</v>
      </c>
      <c r="C58" s="37">
        <f>E_g!C58/(rat_weight!C58/1000)*0.1578</f>
        <v>-0.30135416666664178</v>
      </c>
      <c r="D58" s="37">
        <f>E_g!D58/(rat_weight!D58/1000)*0.1578</f>
        <v>0.34887755102038071</v>
      </c>
      <c r="E58" s="37">
        <f>E_g!E58/(rat_weight!E58/1000)*0.1578</f>
        <v>0.29520408163264394</v>
      </c>
      <c r="F58" s="37">
        <f>E_g!F58/(rat_weight!F58/1000)*0.1578</f>
        <v>1.42973154362417</v>
      </c>
      <c r="G58" s="37">
        <f>E_g!G58/(rat_weight!G58/1000)*0.1578</f>
        <v>1.0360606060606152</v>
      </c>
      <c r="H58" s="37">
        <f>E_g!H58/(rat_weight!H58/1000)*0.1578</f>
        <v>1.6849830508474304</v>
      </c>
      <c r="I58" s="37">
        <f>E_g!I58/(rat_weight!I58/1000)*0.1578</f>
        <v>4.0373578595317756</v>
      </c>
      <c r="J58" s="37">
        <f>E_g!J58/(rat_weight!J58/1000)*0.1578</f>
        <v>3.5324509803921682</v>
      </c>
      <c r="K58" s="37">
        <f>E_g!K58/(rat_weight!K58/1000)*0.1578</f>
        <v>3.8383783783783874</v>
      </c>
      <c r="L58" s="37">
        <f>E_g!L58/(rat_weight!L58/1000)*0.1578</f>
        <v>2.2654455445544524</v>
      </c>
      <c r="M58" s="37">
        <f>E_g!M58/(rat_weight!M58/1000)*0.1578</f>
        <v>2.4377740863787403</v>
      </c>
      <c r="N58" s="37">
        <f>E_g!N58/(rat_weight!N58/1000)*0.1578</f>
        <v>2.4079870129870216</v>
      </c>
      <c r="O58" s="37">
        <f>E_g!O58/(rat_weight!O58/1000)*0.1578</f>
        <v>2.2030519480519684</v>
      </c>
      <c r="P58" s="37">
        <f>E_g!P58/(rat_weight!P58/1000)*0.1578</f>
        <v>2.7153896103896016</v>
      </c>
      <c r="Q58" s="37">
        <f>E_g!Q58/(rat_weight!Q58/1000)*0.1578</f>
        <v>3.1360883280757013</v>
      </c>
      <c r="R58" s="37">
        <f>E_g!R58/(rat_weight!R58/1000)*0.1578</f>
        <v>3.0365299684542562</v>
      </c>
      <c r="S58" s="37">
        <f>E_g!S58/(rat_weight!S58/1000)*0.1578</f>
        <v>2.4142902208201722</v>
      </c>
      <c r="T58" s="37" t="e">
        <f>E_g!T58/(rat_weight!T58/1000)*0.1578</f>
        <v>#VALUE!</v>
      </c>
      <c r="U58" s="37">
        <f>E_g!U58/(rat_weight!U58/1000)*0.1578</f>
        <v>1.117168141592936</v>
      </c>
      <c r="V58" s="37">
        <f>E_g!V58/(rat_weight!V58/1000)*0.1578</f>
        <v>1.4430088495575326</v>
      </c>
      <c r="W58" s="37">
        <f>E_g!W58/(rat_weight!W58/1000)*0.1578</f>
        <v>0.29312693498451731</v>
      </c>
      <c r="X58" s="37">
        <f>E_g!X58/(rat_weight!X58/1000)*0.1578</f>
        <v>0.19541795665633563</v>
      </c>
      <c r="Y58" s="37">
        <f>E_g!Y58/(rat_weight!Y58/1000)*0.1578</f>
        <v>0.61068111455109741</v>
      </c>
      <c r="Z58" s="37">
        <f>E_g!Z58/(rat_weight!Z58/1000)*0.1578</f>
        <v>10.199268292682934</v>
      </c>
      <c r="AA58" s="37">
        <f>E_g!AA58/(rat_weight!AA58/1000)*0.1578</f>
        <v>0.40893292682927918</v>
      </c>
      <c r="AB58" s="37">
        <f>E_g!AB58/(rat_weight!AB58/1000)*0.1578</f>
        <v>0.91408536585366118</v>
      </c>
      <c r="AC58" s="37">
        <f>E_g!AC58/(rat_weight!AC58/1000)*0.1578</f>
        <v>1.8578899082569054</v>
      </c>
      <c r="AD58" s="37">
        <f>E_g!AD58/(rat_weight!AD58/1000)*0.1578</f>
        <v>3.1608256880734</v>
      </c>
      <c r="AE58" s="37">
        <f>E_g!AE58/(rat_weight!AE58/1000)*0.1578</f>
        <v>4.8015596330275176</v>
      </c>
      <c r="AF58" s="37">
        <f>E_g!AF58/(rat_weight!AF58/1000)*0.1578</f>
        <v>4.291052631578939</v>
      </c>
      <c r="AG58" s="37">
        <f>E_g!AG58/(rat_weight!AG58/1000)*0.1578</f>
        <v>3.2067543859649197</v>
      </c>
      <c r="AH58" s="37">
        <f>E_g!AH58/(rat_weight!AH58/1000)*0.1578</f>
        <v>3.2067543859649068</v>
      </c>
      <c r="AI58" s="37">
        <f>E_g!AI58/(rat_weight!AI58/1000)*0.1578</f>
        <v>3.4160614525139539</v>
      </c>
      <c r="AJ58" s="37">
        <f>E_g!AJ58/(rat_weight!AJ58/1000)*0.1578</f>
        <v>3.4160614525139414</v>
      </c>
      <c r="AK58" s="37">
        <f>E_g!AK58/(rat_weight!AK58/1000)*0.1578</f>
        <v>2.5565363128491545</v>
      </c>
    </row>
    <row r="59" spans="1:37">
      <c r="A59" s="30">
        <v>58</v>
      </c>
      <c r="B59" s="37">
        <f>E_g!B59/(rat_weight!B59/1000)*0.1578</f>
        <v>0.33472727272727637</v>
      </c>
      <c r="C59" s="37">
        <f>E_g!C59/(rat_weight!C59/1000)*0.1578</f>
        <v>-0.20932653061223755</v>
      </c>
      <c r="D59" s="37">
        <f>E_g!D59/(rat_weight!D59/1000)*0.1578</f>
        <v>-4.7625754527164776E-2</v>
      </c>
      <c r="E59" s="37">
        <f>E_g!E59/(rat_weight!E59/1000)*0.1578</f>
        <v>4.596116504854543E-2</v>
      </c>
      <c r="F59" s="37">
        <f>E_g!F59/(rat_weight!F59/1000)*0.1578</f>
        <v>0.2136557059961367</v>
      </c>
      <c r="G59" s="37">
        <f>E_g!G59/(rat_weight!G59/1000)*0.1578</f>
        <v>0.22672413793104304</v>
      </c>
      <c r="H59" s="37">
        <f>E_g!H59/(rat_weight!H59/1000)*0.1578</f>
        <v>7.4293785310726015E-2</v>
      </c>
      <c r="I59" s="37">
        <f>E_g!I59/(rat_weight!I59/1000)*0.1578</f>
        <v>7.3600746268665071E-2</v>
      </c>
      <c r="J59" s="37">
        <f>E_g!J59/(rat_weight!J59/1000)*0.1578</f>
        <v>0.22039106145249723</v>
      </c>
      <c r="K59" s="37">
        <f>E_g!K59/(rat_weight!K59/1000)*0.1578</f>
        <v>0.23248618784531538</v>
      </c>
      <c r="L59" s="37">
        <f>E_g!L59/(rat_weight!L59/1000)*0.1578</f>
        <v>0.18751371115173834</v>
      </c>
      <c r="M59" s="37">
        <f>E_g!M59/(rat_weight!M59/1000)*0.1578</f>
        <v>-0.18581521739130594</v>
      </c>
      <c r="N59" s="37">
        <f>E_g!N59/(rat_weight!N59/1000)*0.1578</f>
        <v>-8.0231587622857807E-15</v>
      </c>
      <c r="O59" s="37">
        <f>E_g!O59/(rat_weight!O59/1000)*0.1578</f>
        <v>-2.8228980322001971E-2</v>
      </c>
      <c r="P59" s="37">
        <f>E_g!P59/(rat_weight!P59/1000)*0.1578</f>
        <v>8.4686940966005902E-2</v>
      </c>
      <c r="Q59" s="37">
        <f>E_g!Q59/(rat_weight!Q59/1000)*0.1578</f>
        <v>5.5759717314492391E-2</v>
      </c>
      <c r="R59" s="37">
        <f>E_g!R59/(rat_weight!R59/1000)*0.1578</f>
        <v>0.11151943462897686</v>
      </c>
      <c r="S59" s="37">
        <f>E_g!S59/(rat_weight!S59/1000)*0.1578</f>
        <v>9.7579505300343858E-2</v>
      </c>
      <c r="T59" s="37" t="e">
        <f>E_g!T59/(rat_weight!T59/1000)*0.1578</f>
        <v>#VALUE!</v>
      </c>
      <c r="U59" s="37">
        <f>E_g!U59/(rat_weight!U59/1000)*0.1578</f>
        <v>8.1480206540450587E-2</v>
      </c>
      <c r="V59" s="37">
        <f>E_g!V59/(rat_weight!V59/1000)*0.1578</f>
        <v>5.4320137693628583E-2</v>
      </c>
      <c r="W59" s="37">
        <f>E_g!W59/(rat_weight!W59/1000)*0.1578</f>
        <v>2.6836734693876024E-2</v>
      </c>
      <c r="X59" s="37">
        <f>E_g!X59/(rat_weight!X59/1000)*0.1578</f>
        <v>8.0510204081620462E-2</v>
      </c>
      <c r="Y59" s="37">
        <f>E_g!Y59/(rat_weight!Y59/1000)*0.1578</f>
        <v>4.025510204081785E-2</v>
      </c>
      <c r="Z59" s="37">
        <f>E_g!Z59/(rat_weight!Z59/1000)*0.1578</f>
        <v>0.10626262626262778</v>
      </c>
      <c r="AA59" s="37">
        <f>E_g!AA59/(rat_weight!AA59/1000)*0.1578</f>
        <v>6.6414141414141412E-2</v>
      </c>
      <c r="AB59" s="37">
        <f>E_g!AB59/(rat_weight!AB59/1000)*0.1578</f>
        <v>7.9696969696965159E-2</v>
      </c>
      <c r="AC59" s="37">
        <f>E_g!AC59/(rat_weight!AC59/1000)*0.1578</f>
        <v>0.22392320534223556</v>
      </c>
      <c r="AD59" s="37">
        <f>E_g!AD59/(rat_weight!AD59/1000)*0.1578</f>
        <v>3.9515859766286111E-2</v>
      </c>
      <c r="AE59" s="37">
        <f>E_g!AE59/(rat_weight!AE59/1000)*0.1578</f>
        <v>0.11854757929882839</v>
      </c>
      <c r="AF59" s="37">
        <f>E_g!AF59/(rat_weight!AF59/1000)*0.1578</f>
        <v>2.5996705107097319E-2</v>
      </c>
      <c r="AG59" s="37">
        <f>E_g!AG59/(rat_weight!AG59/1000)*0.1578</f>
        <v>3.8995057660627511E-2</v>
      </c>
      <c r="AH59" s="37">
        <f>E_g!AH59/(rat_weight!AH59/1000)*0.1578</f>
        <v>9.0988467874799972E-2</v>
      </c>
      <c r="AI59" s="37">
        <f>E_g!AI59/(rat_weight!AI59/1000)*0.1578</f>
        <v>0.11660098522167929</v>
      </c>
      <c r="AJ59" s="37">
        <f>E_g!AJ59/(rat_weight!AJ59/1000)*0.1578</f>
        <v>3.8866995073885732E-2</v>
      </c>
      <c r="AK59" s="37">
        <f>E_g!AK59/(rat_weight!AK59/1000)*0.1578</f>
        <v>5.1822660098526589E-2</v>
      </c>
    </row>
    <row r="60" spans="1:37">
      <c r="A60" s="30">
        <v>59</v>
      </c>
      <c r="B60" s="37">
        <f>E_g!B60/(rat_weight!B60/1000)*0.1578</f>
        <v>2.6099999999999794</v>
      </c>
      <c r="C60" s="37">
        <f>E_g!C60/(rat_weight!C60/1000)*0.1578</f>
        <v>8.0405725190839821</v>
      </c>
      <c r="D60" s="37">
        <f>E_g!D60/(rat_weight!D60/1000)*0.1578</f>
        <v>5.2496456692913487</v>
      </c>
      <c r="E60" s="37">
        <f>E_g!E60/(rat_weight!E60/1000)*0.1578</f>
        <v>7.0435632183908083</v>
      </c>
      <c r="F60" s="37">
        <f>E_g!F60/(rat_weight!F60/1000)*0.1578</f>
        <v>8.2991111111111202</v>
      </c>
      <c r="G60" s="37">
        <f>E_g!G60/(rat_weight!G60/1000)*0.1578</f>
        <v>8.4259245283018895</v>
      </c>
      <c r="H60" s="37">
        <f>E_g!H60/(rat_weight!H60/1000)*0.1578</f>
        <v>10.290000000000003</v>
      </c>
      <c r="I60" s="37">
        <f>E_g!I60/(rat_weight!I60/1000)*0.1578</f>
        <v>10.215783582089548</v>
      </c>
      <c r="J60" s="37">
        <f>E_g!J60/(rat_weight!J60/1000)*0.1578</f>
        <v>10.156902985074591</v>
      </c>
      <c r="K60" s="37">
        <f>E_g!K60/(rat_weight!K60/1000)*0.1578</f>
        <v>9.9419780219780307</v>
      </c>
      <c r="L60" s="37">
        <f>E_g!L60/(rat_weight!L60/1000)*0.1578</f>
        <v>10.783000000000008</v>
      </c>
      <c r="M60" s="37">
        <f>E_g!M60/(rat_weight!M60/1000)*0.1578</f>
        <v>10.202087912087915</v>
      </c>
      <c r="N60" s="37">
        <f>E_g!N60/(rat_weight!N60/1000)*0.1578</f>
        <v>13.101476014760163</v>
      </c>
      <c r="O60" s="37">
        <f>E_g!O60/(rat_weight!O60/1000)*0.1578</f>
        <v>10.539409594095936</v>
      </c>
      <c r="P60" s="37">
        <f>E_g!P60/(rat_weight!P60/1000)*0.1578</f>
        <v>8.850774907749086</v>
      </c>
      <c r="Q60" s="37">
        <f>E_g!Q60/(rat_weight!Q60/1000)*0.1578</f>
        <v>9.8771111111111143</v>
      </c>
      <c r="R60" s="37">
        <f>E_g!R60/(rat_weight!R60/1000)*0.1578</f>
        <v>8.8251111111111396</v>
      </c>
      <c r="S60" s="37">
        <f>E_g!S60/(rat_weight!S60/1000)*0.1578</f>
        <v>9.9063333333333254</v>
      </c>
      <c r="T60" s="37" t="e">
        <f>E_g!T60/(rat_weight!T60/1000)*0.1578</f>
        <v>#VALUE!</v>
      </c>
      <c r="U60" s="37">
        <f>E_g!U60/(rat_weight!U60/1000)*0.1578</f>
        <v>9.8696727272727198</v>
      </c>
      <c r="V60" s="37">
        <f>E_g!V60/(rat_weight!V60/1000)*0.1578</f>
        <v>9.6975272727272905</v>
      </c>
      <c r="W60" s="37">
        <f>E_g!W60/(rat_weight!W60/1000)*0.1578</f>
        <v>7.7221276595744905</v>
      </c>
      <c r="X60" s="37">
        <f>E_g!X60/(rat_weight!X60/1000)*0.1578</f>
        <v>9.1210638297872091</v>
      </c>
      <c r="Y60" s="37">
        <f>E_g!Y60/(rat_weight!Y60/1000)*0.1578</f>
        <v>10.603936170212776</v>
      </c>
      <c r="Z60" s="37">
        <f>E_g!Z60/(rat_weight!Z60/1000)*0.1578</f>
        <v>9.1148014440433354</v>
      </c>
      <c r="AA60" s="37">
        <f>E_g!AA60/(rat_weight!AA60/1000)*0.1578</f>
        <v>10.111732851985591</v>
      </c>
      <c r="AB60" s="37">
        <f>E_g!AB60/(rat_weight!AB60/1000)*0.1578</f>
        <v>9.8553790613718313</v>
      </c>
      <c r="AC60" s="37">
        <f>E_g!AC60/(rat_weight!AC60/1000)*0.1578</f>
        <v>9.7836000000000229</v>
      </c>
      <c r="AD60" s="37">
        <f>E_g!AD60/(rat_weight!AD60/1000)*0.1578</f>
        <v>9.0950181818181601</v>
      </c>
      <c r="AE60" s="37">
        <f>E_g!AE60/(rat_weight!AE60/1000)*0.1578</f>
        <v>9.4966909090909137</v>
      </c>
      <c r="AF60" s="37">
        <f>E_g!AF60/(rat_weight!AF60/1000)*0.1578</f>
        <v>9.017142857142872</v>
      </c>
      <c r="AG60" s="37">
        <f>E_g!AG60/(rat_weight!AG60/1000)*0.1578</f>
        <v>10.059749999999996</v>
      </c>
      <c r="AH60" s="37">
        <f>E_g!AH60/(rat_weight!AH60/1000)*0.1578</f>
        <v>9.9470357142857004</v>
      </c>
      <c r="AI60" s="37">
        <f>E_g!AI60/(rat_weight!AI60/1000)*0.1578</f>
        <v>7.8899999999999961</v>
      </c>
      <c r="AJ60" s="37">
        <f>E_g!AJ60/(rat_weight!AJ60/1000)*0.1578</f>
        <v>9.4281227436823158</v>
      </c>
      <c r="AK60" s="37">
        <f>E_g!AK60/(rat_weight!AK60/1000)*0.1578</f>
        <v>9.684476534296012</v>
      </c>
    </row>
    <row r="61" spans="1:37" s="9" customFormat="1" ht="15" thickBot="1">
      <c r="A61" s="34">
        <v>60</v>
      </c>
      <c r="B61" s="37">
        <f>E_g!B61/(rat_weight!B61/1000)*0.1578</f>
        <v>5.5684567901234496</v>
      </c>
      <c r="C61" s="37">
        <f>E_g!C61/(rat_weight!C61/1000)*0.1578</f>
        <v>5.6311042944785239</v>
      </c>
      <c r="D61" s="37">
        <f>E_g!D61/(rat_weight!D61/1000)*0.1578</f>
        <v>3.7119959266802387</v>
      </c>
      <c r="E61" s="37">
        <f>E_g!E61/(rat_weight!E61/1000)*0.1578</f>
        <v>5.5072200000000056</v>
      </c>
      <c r="F61" s="37">
        <f>E_g!F61/(rat_weight!F61/1000)*0.1578</f>
        <v>4.8939960238568574</v>
      </c>
      <c r="G61" s="37">
        <f>E_g!G61/(rat_weight!G61/1000)*0.1578</f>
        <v>5.8822067594433491</v>
      </c>
      <c r="H61" s="37">
        <f>E_g!H61/(rat_weight!H61/1000)*0.1578</f>
        <v>7.9670507812499975</v>
      </c>
      <c r="I61" s="37">
        <f>E_g!I61/(rat_weight!I61/1000)*0.1578</f>
        <v>8.1211523437499977</v>
      </c>
      <c r="J61" s="37">
        <f>E_g!J61/(rat_weight!J61/1000)*0.1578</f>
        <v>7.5077325581395211</v>
      </c>
      <c r="K61" s="37">
        <f>E_g!K61/(rat_weight!K61/1000)*0.1578</f>
        <v>8.010458015267174</v>
      </c>
      <c r="L61" s="37">
        <f>E_g!L61/(rat_weight!L61/1000)*0.1578</f>
        <v>7.860282485875711</v>
      </c>
      <c r="M61" s="37">
        <f>E_g!M61/(rat_weight!M61/1000)*0.1578</f>
        <v>7.4615168539325918</v>
      </c>
      <c r="N61" s="37">
        <f>E_g!N61/(rat_weight!N61/1000)*0.1578</f>
        <v>7.948014705882354</v>
      </c>
      <c r="O61" s="37">
        <f>E_g!O61/(rat_weight!O61/1000)*0.1578</f>
        <v>8.9052573529411809</v>
      </c>
      <c r="P61" s="37">
        <f>E_g!P61/(rat_weight!P61/1000)*0.1578</f>
        <v>8.9632720588235291</v>
      </c>
      <c r="Q61" s="37">
        <f>E_g!Q61/(rat_weight!Q61/1000)*0.1578</f>
        <v>5.5727567567567542</v>
      </c>
      <c r="R61" s="37">
        <f>E_g!R61/(rat_weight!R61/1000)*0.1578</f>
        <v>9.3542702702702716</v>
      </c>
      <c r="S61" s="37">
        <f>E_g!S61/(rat_weight!S61/1000)*0.1578</f>
        <v>8.9704324324324176</v>
      </c>
      <c r="T61" s="37" t="e">
        <f>E_g!T61/(rat_weight!T61/1000)*0.1578</f>
        <v>#VALUE!</v>
      </c>
      <c r="U61" s="37">
        <f>E_g!U61/(rat_weight!U61/1000)*0.1578</f>
        <v>8.3857809694793417</v>
      </c>
      <c r="V61" s="37">
        <f>E_g!V61/(rat_weight!V61/1000)*0.1578</f>
        <v>8.3291202872531507</v>
      </c>
      <c r="W61" s="37">
        <f>E_g!W61/(rat_weight!W61/1000)*0.1578</f>
        <v>8.6553439153439147</v>
      </c>
      <c r="X61" s="37">
        <f>E_g!X61/(rat_weight!X61/1000)*0.1578</f>
        <v>8.182222222222217</v>
      </c>
      <c r="Y61" s="37">
        <f>E_g!Y61/(rat_weight!Y61/1000)*0.1578</f>
        <v>9.1702116402116456</v>
      </c>
      <c r="Z61" s="37">
        <f>E_g!Z61/(rat_weight!Z61/1000)*0.1578</f>
        <v>9.1154973821989511</v>
      </c>
      <c r="AA61" s="37">
        <f>E_g!AA61/(rat_weight!AA61/1000)*0.1578</f>
        <v>8.2204712041884882</v>
      </c>
      <c r="AB61" s="37">
        <f>E_g!AB61/(rat_weight!AB61/1000)*0.1578</f>
        <v>7.9863874345549819</v>
      </c>
      <c r="AC61" s="37">
        <f>E_g!AC61/(rat_weight!AC61/1000)*0.1578</f>
        <v>8.2312629757785487</v>
      </c>
      <c r="AD61" s="37">
        <f>E_g!AD61/(rat_weight!AD61/1000)*0.1578</f>
        <v>8.4769723183391044</v>
      </c>
      <c r="AE61" s="37">
        <f>E_g!AE61/(rat_weight!AE61/1000)*0.1578</f>
        <v>8.8591868512110707</v>
      </c>
      <c r="AF61" s="37">
        <f>E_g!AF61/(rat_weight!AF61/1000)*0.1578</f>
        <v>9.1372164948453669</v>
      </c>
      <c r="AG61" s="37">
        <f>E_g!AG61/(rat_weight!AG61/1000)*0.1578</f>
        <v>8.825412371134016</v>
      </c>
      <c r="AH61" s="37">
        <f>E_g!AH61/(rat_weight!AH61/1000)*0.1578</f>
        <v>8.8525257731958717</v>
      </c>
      <c r="AI61" s="37">
        <f>E_g!AI61/(rat_weight!AI61/1000)*0.1578</f>
        <v>8.1955050505050497</v>
      </c>
      <c r="AJ61" s="37">
        <f>E_g!AJ61/(rat_weight!AJ61/1000)*0.1578</f>
        <v>9.7097474747474788</v>
      </c>
      <c r="AK61" s="37">
        <f>E_g!AK61/(rat_weight!AK61/1000)*0.1578</f>
        <v>8.42131313131312</v>
      </c>
    </row>
    <row r="62" spans="1:37">
      <c r="L62" s="10"/>
      <c r="M62" s="10"/>
    </row>
    <row r="63" spans="1:37">
      <c r="L63" s="10"/>
      <c r="M63" s="10"/>
    </row>
  </sheetData>
  <conditionalFormatting sqref="B2:AQ61">
    <cfRule type="colorScale" priority="1">
      <colorScale>
        <cfvo type="num" val="-5"/>
        <cfvo type="percentile" val="50"/>
        <cfvo type="num" val="30"/>
        <color rgb="FFFF0000"/>
        <color rgb="FFFFEB84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9E58-2769-44FD-B39B-AB73F8702A11}">
  <dimension ref="A1:AK65"/>
  <sheetViews>
    <sheetView topLeftCell="A4" workbookViewId="0">
      <pane xSplit="1" topLeftCell="Q1" activePane="topRight" state="frozen"/>
      <selection activeCell="A44" sqref="A44"/>
      <selection pane="topRight" activeCell="AJ30" sqref="AJ30"/>
    </sheetView>
  </sheetViews>
  <sheetFormatPr defaultColWidth="7.453125" defaultRowHeight="14.5"/>
  <cols>
    <col min="2" max="19" width="7.453125" customWidth="1"/>
  </cols>
  <sheetData>
    <row r="1" spans="1:37" s="3" customFormat="1">
      <c r="A1" s="3" t="s">
        <v>1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15</v>
      </c>
      <c r="S1" s="3" t="s">
        <v>42</v>
      </c>
      <c r="T1" s="3" t="s">
        <v>43</v>
      </c>
      <c r="U1" s="3" t="s">
        <v>11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25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</row>
    <row r="2" spans="1:37">
      <c r="A2" s="1">
        <v>1</v>
      </c>
      <c r="B2">
        <v>465.1</v>
      </c>
      <c r="C2">
        <v>482.4</v>
      </c>
      <c r="D2">
        <v>475.9</v>
      </c>
      <c r="E2">
        <v>469.6</v>
      </c>
      <c r="F2">
        <v>474.1</v>
      </c>
      <c r="G2">
        <v>469.6</v>
      </c>
      <c r="H2">
        <v>484</v>
      </c>
      <c r="I2">
        <v>481.2</v>
      </c>
      <c r="J2">
        <v>477.1</v>
      </c>
      <c r="K2" s="15">
        <v>474.1</v>
      </c>
      <c r="L2">
        <v>472.3</v>
      </c>
      <c r="M2">
        <v>481.5</v>
      </c>
      <c r="N2">
        <v>476.4</v>
      </c>
      <c r="O2">
        <v>469</v>
      </c>
      <c r="P2">
        <v>481</v>
      </c>
      <c r="Q2">
        <v>472.7</v>
      </c>
      <c r="R2">
        <v>463</v>
      </c>
      <c r="S2">
        <v>475.7</v>
      </c>
      <c r="T2">
        <v>476.5</v>
      </c>
      <c r="U2" s="10">
        <v>474.1</v>
      </c>
      <c r="V2">
        <v>485.4</v>
      </c>
      <c r="W2">
        <v>481.5</v>
      </c>
      <c r="X2">
        <v>478.1</v>
      </c>
      <c r="Y2">
        <v>472.8</v>
      </c>
      <c r="Z2">
        <v>468.7</v>
      </c>
      <c r="AA2" s="10">
        <v>465.7</v>
      </c>
      <c r="AB2">
        <v>480.1</v>
      </c>
      <c r="AC2" s="10">
        <v>473.8</v>
      </c>
      <c r="AD2" s="10">
        <v>468.8</v>
      </c>
      <c r="AE2">
        <v>477.8</v>
      </c>
      <c r="AF2" s="10">
        <v>484.4</v>
      </c>
      <c r="AG2" s="10">
        <v>480.3</v>
      </c>
      <c r="AH2">
        <v>478.4</v>
      </c>
      <c r="AI2" s="10">
        <v>469</v>
      </c>
      <c r="AJ2" s="10">
        <v>470</v>
      </c>
      <c r="AK2">
        <v>479.5</v>
      </c>
    </row>
    <row r="3" spans="1:37">
      <c r="A3" s="1">
        <v>2</v>
      </c>
      <c r="B3">
        <v>459.6</v>
      </c>
      <c r="C3">
        <v>470.5</v>
      </c>
      <c r="D3">
        <v>473.5</v>
      </c>
      <c r="E3">
        <v>460.2</v>
      </c>
      <c r="F3">
        <v>478.8</v>
      </c>
      <c r="G3">
        <v>472.3</v>
      </c>
      <c r="H3">
        <v>468</v>
      </c>
      <c r="I3">
        <v>482.2</v>
      </c>
      <c r="J3">
        <v>476</v>
      </c>
      <c r="K3" s="15">
        <v>472.90000000000003</v>
      </c>
      <c r="L3">
        <v>469.09999999999997</v>
      </c>
      <c r="M3">
        <v>487.09999999999997</v>
      </c>
      <c r="N3">
        <v>480.9</v>
      </c>
      <c r="O3">
        <v>476.7</v>
      </c>
      <c r="P3">
        <v>473.8</v>
      </c>
      <c r="Q3">
        <v>466.4</v>
      </c>
      <c r="R3">
        <v>460</v>
      </c>
      <c r="S3">
        <v>478.2</v>
      </c>
      <c r="T3">
        <v>476.7</v>
      </c>
      <c r="U3" s="10">
        <v>474.1</v>
      </c>
      <c r="V3">
        <v>469.5</v>
      </c>
      <c r="W3">
        <v>463</v>
      </c>
      <c r="X3">
        <v>477.8</v>
      </c>
      <c r="Y3">
        <v>472.3</v>
      </c>
      <c r="Z3">
        <v>485.7</v>
      </c>
      <c r="AA3" s="10">
        <v>479.7</v>
      </c>
      <c r="AB3">
        <v>475</v>
      </c>
      <c r="AC3" s="10">
        <v>468.4</v>
      </c>
      <c r="AD3" s="10">
        <v>462.7</v>
      </c>
      <c r="AE3">
        <v>477.3</v>
      </c>
      <c r="AF3" s="10">
        <v>478.6</v>
      </c>
      <c r="AG3" s="10">
        <v>474.1</v>
      </c>
      <c r="AH3">
        <v>469</v>
      </c>
      <c r="AI3" s="10">
        <v>473.9</v>
      </c>
      <c r="AJ3">
        <v>474.3</v>
      </c>
      <c r="AK3">
        <v>471.8</v>
      </c>
    </row>
    <row r="4" spans="1:37">
      <c r="A4" s="1">
        <v>3</v>
      </c>
      <c r="B4">
        <v>463.9</v>
      </c>
      <c r="C4">
        <v>457.8</v>
      </c>
      <c r="D4">
        <v>485.7</v>
      </c>
      <c r="E4">
        <v>478.9</v>
      </c>
      <c r="F4">
        <v>471.4</v>
      </c>
      <c r="G4">
        <v>461.8</v>
      </c>
      <c r="H4">
        <v>482.2</v>
      </c>
      <c r="I4">
        <v>479.4</v>
      </c>
      <c r="J4">
        <v>478.9</v>
      </c>
      <c r="K4" s="15">
        <v>474.2</v>
      </c>
      <c r="L4">
        <v>469.3</v>
      </c>
      <c r="M4">
        <v>479.5</v>
      </c>
      <c r="N4">
        <v>477.3</v>
      </c>
      <c r="O4">
        <v>472.1</v>
      </c>
      <c r="P4">
        <v>479.6</v>
      </c>
      <c r="Q4">
        <v>474.8</v>
      </c>
      <c r="R4">
        <v>466.5</v>
      </c>
      <c r="S4">
        <v>465.3</v>
      </c>
      <c r="T4">
        <v>471.9</v>
      </c>
      <c r="U4" s="10">
        <v>470.8</v>
      </c>
      <c r="V4">
        <v>466.8</v>
      </c>
      <c r="W4">
        <v>461.1</v>
      </c>
      <c r="X4">
        <v>478.3</v>
      </c>
      <c r="Y4">
        <v>478</v>
      </c>
      <c r="Z4">
        <v>473.8</v>
      </c>
      <c r="AA4" s="10">
        <v>469.9</v>
      </c>
      <c r="AB4">
        <v>477</v>
      </c>
      <c r="AC4" s="10">
        <v>472.4</v>
      </c>
      <c r="AD4" s="10">
        <v>466.2</v>
      </c>
      <c r="AE4">
        <v>478.3</v>
      </c>
      <c r="AF4" s="10">
        <v>477.7</v>
      </c>
      <c r="AG4" s="10">
        <v>474.7</v>
      </c>
      <c r="AH4">
        <v>472.9</v>
      </c>
      <c r="AI4" s="10">
        <v>468.8</v>
      </c>
      <c r="AJ4">
        <v>471.4</v>
      </c>
      <c r="AK4" s="10">
        <v>469</v>
      </c>
    </row>
    <row r="5" spans="1:37">
      <c r="A5" s="1">
        <v>4</v>
      </c>
      <c r="B5">
        <v>472.9</v>
      </c>
      <c r="C5">
        <v>466.5</v>
      </c>
      <c r="D5">
        <v>486.7</v>
      </c>
      <c r="E5">
        <v>474.2</v>
      </c>
      <c r="F5">
        <v>477.2</v>
      </c>
      <c r="G5">
        <v>470.2</v>
      </c>
      <c r="H5">
        <v>460.3</v>
      </c>
      <c r="I5">
        <v>457.2</v>
      </c>
      <c r="J5">
        <v>466.9</v>
      </c>
      <c r="K5" s="15">
        <v>474.3</v>
      </c>
      <c r="L5">
        <v>468.59999999999997</v>
      </c>
      <c r="M5">
        <v>484</v>
      </c>
      <c r="N5">
        <v>478.8</v>
      </c>
      <c r="O5">
        <v>470.1</v>
      </c>
      <c r="P5">
        <v>478.2</v>
      </c>
      <c r="Q5">
        <v>466.8</v>
      </c>
      <c r="R5">
        <v>459.5</v>
      </c>
      <c r="S5">
        <v>473.8</v>
      </c>
      <c r="T5">
        <v>478.2</v>
      </c>
      <c r="U5" s="10">
        <v>472.5</v>
      </c>
      <c r="V5">
        <v>466.2</v>
      </c>
      <c r="W5">
        <v>460.9</v>
      </c>
      <c r="X5">
        <v>483.8</v>
      </c>
      <c r="Y5">
        <v>475.4</v>
      </c>
      <c r="Z5">
        <v>470</v>
      </c>
      <c r="AA5" s="10">
        <v>464.7</v>
      </c>
      <c r="AB5">
        <v>479.2</v>
      </c>
      <c r="AC5" s="10">
        <v>468.3</v>
      </c>
      <c r="AD5" s="10">
        <v>475.8</v>
      </c>
      <c r="AE5">
        <v>477.9</v>
      </c>
      <c r="AF5" s="10">
        <v>470.1</v>
      </c>
      <c r="AG5" s="10">
        <v>464.3</v>
      </c>
      <c r="AH5">
        <v>482.5</v>
      </c>
      <c r="AI5" s="10">
        <v>472.7</v>
      </c>
      <c r="AJ5">
        <v>474.1</v>
      </c>
      <c r="AK5">
        <v>485.3</v>
      </c>
    </row>
    <row r="6" spans="1:37">
      <c r="A6" s="1">
        <v>5</v>
      </c>
      <c r="B6">
        <v>485.9</v>
      </c>
      <c r="C6">
        <v>494.3</v>
      </c>
      <c r="D6">
        <v>487.6</v>
      </c>
      <c r="E6">
        <v>480.2</v>
      </c>
      <c r="F6">
        <v>482</v>
      </c>
      <c r="G6">
        <v>482.1</v>
      </c>
      <c r="H6">
        <v>473.5</v>
      </c>
      <c r="I6">
        <v>483.5</v>
      </c>
      <c r="J6">
        <v>454.3</v>
      </c>
      <c r="K6" s="15">
        <v>463.1</v>
      </c>
      <c r="L6">
        <v>474.2</v>
      </c>
      <c r="M6">
        <v>470.5</v>
      </c>
      <c r="N6">
        <v>443.9</v>
      </c>
      <c r="O6">
        <v>471.7</v>
      </c>
      <c r="P6">
        <v>475.1</v>
      </c>
      <c r="Q6">
        <v>470.3</v>
      </c>
      <c r="R6">
        <v>469.4</v>
      </c>
      <c r="S6">
        <v>475.8</v>
      </c>
      <c r="T6">
        <v>473.9</v>
      </c>
      <c r="U6" s="10">
        <v>482.2</v>
      </c>
      <c r="V6">
        <v>457.2</v>
      </c>
      <c r="W6">
        <v>484.7</v>
      </c>
      <c r="X6">
        <v>475.3</v>
      </c>
      <c r="Y6">
        <v>476.3</v>
      </c>
      <c r="Z6">
        <v>484.1</v>
      </c>
      <c r="AA6" s="10">
        <v>462.7</v>
      </c>
      <c r="AB6">
        <v>475.1</v>
      </c>
      <c r="AC6" s="10">
        <v>481.3</v>
      </c>
      <c r="AD6" s="10">
        <v>472.9</v>
      </c>
      <c r="AE6">
        <v>477.7</v>
      </c>
      <c r="AF6" s="10">
        <v>474.7</v>
      </c>
      <c r="AG6" s="10">
        <v>468.1</v>
      </c>
      <c r="AH6">
        <v>467.5</v>
      </c>
      <c r="AI6" s="10">
        <v>468.2</v>
      </c>
      <c r="AJ6">
        <v>476.7</v>
      </c>
      <c r="AK6">
        <v>474.8</v>
      </c>
    </row>
    <row r="7" spans="1:37">
      <c r="A7" s="1">
        <v>6</v>
      </c>
      <c r="B7">
        <v>480.8</v>
      </c>
      <c r="C7">
        <v>464.9</v>
      </c>
      <c r="D7">
        <v>481.6</v>
      </c>
      <c r="E7">
        <v>460.7</v>
      </c>
      <c r="F7">
        <v>483.4</v>
      </c>
      <c r="G7">
        <v>467.1</v>
      </c>
      <c r="H7">
        <v>480.7</v>
      </c>
      <c r="I7">
        <v>485.4</v>
      </c>
      <c r="J7">
        <v>469.1</v>
      </c>
      <c r="K7" s="15">
        <v>473.8</v>
      </c>
      <c r="L7">
        <v>473.7</v>
      </c>
      <c r="M7">
        <v>473.79999999999995</v>
      </c>
      <c r="N7">
        <v>455.2</v>
      </c>
      <c r="O7">
        <v>471.5</v>
      </c>
      <c r="P7">
        <v>478.9</v>
      </c>
      <c r="Q7">
        <v>459.4</v>
      </c>
      <c r="R7">
        <v>473.5</v>
      </c>
      <c r="S7">
        <v>475</v>
      </c>
      <c r="T7">
        <v>472.4</v>
      </c>
      <c r="U7" s="10">
        <v>475.3</v>
      </c>
      <c r="V7">
        <v>460.1</v>
      </c>
      <c r="W7">
        <v>491</v>
      </c>
      <c r="X7">
        <v>478.9</v>
      </c>
      <c r="Y7">
        <v>462.4</v>
      </c>
      <c r="Z7">
        <v>484</v>
      </c>
      <c r="AA7" s="10">
        <v>464.1</v>
      </c>
      <c r="AB7">
        <v>472.3</v>
      </c>
      <c r="AC7" s="10">
        <v>490.7</v>
      </c>
      <c r="AD7" s="10">
        <v>469.2</v>
      </c>
      <c r="AE7">
        <v>473</v>
      </c>
      <c r="AF7" s="10">
        <v>475.7</v>
      </c>
      <c r="AG7" s="10">
        <v>468.9</v>
      </c>
      <c r="AH7">
        <v>468.6</v>
      </c>
      <c r="AI7" s="10">
        <v>465.3</v>
      </c>
      <c r="AJ7">
        <v>463.3</v>
      </c>
      <c r="AK7">
        <v>474.1</v>
      </c>
    </row>
    <row r="8" spans="1:37">
      <c r="A8" s="1">
        <v>7</v>
      </c>
      <c r="B8">
        <v>471.3</v>
      </c>
      <c r="C8">
        <v>496.1</v>
      </c>
      <c r="D8">
        <v>482.5</v>
      </c>
      <c r="E8">
        <v>478.3</v>
      </c>
      <c r="F8">
        <v>465.4</v>
      </c>
      <c r="G8">
        <v>482.8</v>
      </c>
      <c r="H8">
        <v>477.5</v>
      </c>
      <c r="I8">
        <v>471.4</v>
      </c>
      <c r="J8">
        <v>467</v>
      </c>
      <c r="K8" s="15">
        <v>462.2</v>
      </c>
      <c r="L8">
        <v>458.7</v>
      </c>
      <c r="M8">
        <v>473.9</v>
      </c>
      <c r="N8">
        <v>466.6</v>
      </c>
      <c r="O8">
        <v>461.6</v>
      </c>
      <c r="P8">
        <v>470.6</v>
      </c>
      <c r="Q8">
        <v>461.5</v>
      </c>
      <c r="R8">
        <v>475.1</v>
      </c>
      <c r="S8">
        <v>470.3</v>
      </c>
      <c r="T8">
        <v>467.2</v>
      </c>
      <c r="U8" s="10">
        <v>472.7</v>
      </c>
      <c r="V8">
        <v>468.1</v>
      </c>
      <c r="W8">
        <v>466.1</v>
      </c>
      <c r="X8">
        <v>477.5</v>
      </c>
      <c r="Y8">
        <v>474.8</v>
      </c>
      <c r="Z8">
        <v>471.8</v>
      </c>
      <c r="AA8" s="10">
        <v>468.9</v>
      </c>
      <c r="AB8">
        <v>479.9</v>
      </c>
      <c r="AC8" s="10">
        <v>475.4</v>
      </c>
      <c r="AD8" s="10">
        <v>472.1</v>
      </c>
      <c r="AE8">
        <v>468.7</v>
      </c>
      <c r="AF8" s="10">
        <v>466.4</v>
      </c>
      <c r="AG8" s="10">
        <v>471.9</v>
      </c>
      <c r="AH8">
        <v>468.2</v>
      </c>
      <c r="AI8" s="10">
        <v>461.9</v>
      </c>
      <c r="AJ8">
        <v>464.3</v>
      </c>
      <c r="AK8">
        <v>471.6</v>
      </c>
    </row>
    <row r="9" spans="1:37">
      <c r="A9" s="1">
        <v>8</v>
      </c>
      <c r="B9">
        <v>476</v>
      </c>
      <c r="C9">
        <v>475</v>
      </c>
      <c r="D9">
        <v>485.1</v>
      </c>
      <c r="E9">
        <v>479.4</v>
      </c>
      <c r="F9">
        <v>472.4</v>
      </c>
      <c r="G9">
        <v>481.9</v>
      </c>
      <c r="H9">
        <v>481.3</v>
      </c>
      <c r="I9">
        <v>480.7</v>
      </c>
      <c r="J9">
        <v>478.2</v>
      </c>
      <c r="K9" s="15">
        <v>477.40000000000003</v>
      </c>
      <c r="L9">
        <v>472.9</v>
      </c>
      <c r="M9">
        <v>470.5</v>
      </c>
      <c r="N9">
        <v>456.4</v>
      </c>
      <c r="O9">
        <v>471.8</v>
      </c>
      <c r="P9">
        <v>467.5</v>
      </c>
      <c r="Q9">
        <v>463.8</v>
      </c>
      <c r="R9">
        <v>475.2</v>
      </c>
      <c r="S9">
        <v>473.1</v>
      </c>
      <c r="T9">
        <v>469.7</v>
      </c>
      <c r="U9" s="10">
        <v>480.8</v>
      </c>
      <c r="V9">
        <v>478.3</v>
      </c>
      <c r="W9">
        <v>476.7</v>
      </c>
      <c r="X9">
        <v>474.8</v>
      </c>
      <c r="Y9">
        <v>471.6</v>
      </c>
      <c r="Z9">
        <v>471</v>
      </c>
      <c r="AA9" s="10">
        <v>469.3</v>
      </c>
      <c r="AB9">
        <v>477.5</v>
      </c>
      <c r="AC9" s="10">
        <v>475.7</v>
      </c>
      <c r="AD9" s="10">
        <v>474.9</v>
      </c>
      <c r="AE9">
        <v>483.5</v>
      </c>
      <c r="AF9" s="10">
        <v>481.5</v>
      </c>
      <c r="AG9" s="10">
        <v>477.5</v>
      </c>
      <c r="AH9">
        <v>473.8</v>
      </c>
      <c r="AI9" s="10">
        <v>468.9</v>
      </c>
      <c r="AJ9">
        <v>469.5</v>
      </c>
      <c r="AK9">
        <v>482.6</v>
      </c>
    </row>
    <row r="10" spans="1:37">
      <c r="A10" s="1">
        <v>9</v>
      </c>
      <c r="B10">
        <v>488.5</v>
      </c>
      <c r="C10">
        <v>482.7</v>
      </c>
      <c r="D10">
        <v>489.6</v>
      </c>
      <c r="E10">
        <v>489.6</v>
      </c>
      <c r="F10">
        <v>463.3</v>
      </c>
      <c r="G10">
        <v>480.6</v>
      </c>
      <c r="H10">
        <v>481.9</v>
      </c>
      <c r="I10">
        <v>478.3</v>
      </c>
      <c r="J10">
        <v>475.1</v>
      </c>
      <c r="K10" s="15">
        <v>465</v>
      </c>
      <c r="L10">
        <v>478.59999999999997</v>
      </c>
      <c r="M10">
        <v>472.09999999999997</v>
      </c>
      <c r="N10">
        <v>414.8</v>
      </c>
      <c r="O10">
        <v>476.9</v>
      </c>
      <c r="P10">
        <v>464.3</v>
      </c>
      <c r="Q10">
        <v>469.9</v>
      </c>
      <c r="R10">
        <v>470.7</v>
      </c>
      <c r="S10">
        <v>472.1</v>
      </c>
      <c r="T10">
        <v>472.9</v>
      </c>
      <c r="U10" s="10">
        <v>471.1</v>
      </c>
      <c r="V10">
        <v>454.9</v>
      </c>
      <c r="W10">
        <v>482</v>
      </c>
      <c r="X10">
        <v>475.1</v>
      </c>
      <c r="Y10">
        <v>470.1</v>
      </c>
      <c r="Z10">
        <v>480</v>
      </c>
      <c r="AA10" s="10">
        <v>476.1</v>
      </c>
      <c r="AB10">
        <v>479.1</v>
      </c>
      <c r="AC10" s="10">
        <v>486.9</v>
      </c>
      <c r="AD10" s="10">
        <v>469.5</v>
      </c>
      <c r="AE10">
        <v>470</v>
      </c>
      <c r="AF10" s="10">
        <v>474.5</v>
      </c>
      <c r="AG10" s="10">
        <v>469.2</v>
      </c>
      <c r="AH10">
        <v>467.5</v>
      </c>
      <c r="AI10" s="10">
        <v>471.2</v>
      </c>
      <c r="AJ10">
        <v>466.6</v>
      </c>
      <c r="AK10">
        <v>476.3</v>
      </c>
    </row>
    <row r="11" spans="1:37">
      <c r="A11" s="1">
        <v>10</v>
      </c>
      <c r="B11">
        <v>463.3</v>
      </c>
      <c r="C11">
        <v>475</v>
      </c>
      <c r="D11">
        <v>467.1</v>
      </c>
      <c r="E11">
        <v>465.4</v>
      </c>
      <c r="F11">
        <v>473.1</v>
      </c>
      <c r="G11">
        <v>480.7</v>
      </c>
      <c r="H11">
        <v>478.4</v>
      </c>
      <c r="I11">
        <v>483.8</v>
      </c>
      <c r="J11">
        <v>476.2</v>
      </c>
      <c r="K11" s="15">
        <v>472.3</v>
      </c>
      <c r="L11">
        <v>464.2</v>
      </c>
      <c r="M11">
        <v>470.7</v>
      </c>
      <c r="N11">
        <v>439.3</v>
      </c>
      <c r="O11">
        <v>476.8</v>
      </c>
      <c r="P11">
        <v>472</v>
      </c>
      <c r="Q11">
        <v>472</v>
      </c>
      <c r="R11">
        <v>471.7</v>
      </c>
      <c r="S11">
        <v>475</v>
      </c>
      <c r="T11">
        <v>476.7</v>
      </c>
      <c r="U11" s="10">
        <v>473.9</v>
      </c>
      <c r="V11">
        <v>464.5</v>
      </c>
      <c r="W11">
        <v>492.8</v>
      </c>
      <c r="X11">
        <v>468.5</v>
      </c>
      <c r="Y11">
        <v>475.8</v>
      </c>
      <c r="Z11">
        <v>484.6</v>
      </c>
      <c r="AA11" s="10">
        <v>464.1</v>
      </c>
      <c r="AB11">
        <v>475.7</v>
      </c>
      <c r="AC11" s="10">
        <v>491.5</v>
      </c>
      <c r="AD11" s="10">
        <v>469.5</v>
      </c>
      <c r="AE11">
        <v>476.4</v>
      </c>
      <c r="AF11" s="10">
        <v>477.9</v>
      </c>
      <c r="AG11" s="10">
        <v>470.3</v>
      </c>
      <c r="AH11">
        <v>469.7</v>
      </c>
      <c r="AI11" s="10">
        <v>470.3</v>
      </c>
      <c r="AJ11">
        <v>472.1</v>
      </c>
      <c r="AK11" s="10">
        <v>475</v>
      </c>
    </row>
    <row r="12" spans="1:37">
      <c r="A12" s="1">
        <v>11</v>
      </c>
      <c r="B12">
        <v>476.6</v>
      </c>
      <c r="C12">
        <v>469.2</v>
      </c>
      <c r="D12">
        <v>463.9</v>
      </c>
      <c r="E12">
        <v>457.3</v>
      </c>
      <c r="F12">
        <v>482.2</v>
      </c>
      <c r="G12">
        <v>486.3</v>
      </c>
      <c r="H12">
        <v>472.8</v>
      </c>
      <c r="I12">
        <v>486.7</v>
      </c>
      <c r="J12">
        <v>481.5</v>
      </c>
      <c r="K12" s="15">
        <v>464.5</v>
      </c>
      <c r="L12">
        <v>473.7</v>
      </c>
      <c r="M12">
        <v>486</v>
      </c>
      <c r="N12">
        <v>482.7</v>
      </c>
      <c r="O12">
        <v>476.8</v>
      </c>
      <c r="P12">
        <v>481.9</v>
      </c>
      <c r="Q12">
        <v>475.2</v>
      </c>
      <c r="R12">
        <v>472.8</v>
      </c>
      <c r="S12">
        <v>480.3</v>
      </c>
      <c r="T12">
        <v>482.1</v>
      </c>
      <c r="U12" s="10">
        <v>481</v>
      </c>
      <c r="V12">
        <v>475.2</v>
      </c>
      <c r="W12">
        <v>500.2</v>
      </c>
      <c r="X12">
        <v>495.5</v>
      </c>
      <c r="Y12">
        <v>489.5</v>
      </c>
      <c r="Z12">
        <v>487</v>
      </c>
      <c r="AA12" s="10">
        <v>482.7</v>
      </c>
      <c r="AB12">
        <v>480</v>
      </c>
      <c r="AC12" s="10">
        <v>476.6</v>
      </c>
      <c r="AD12" s="10">
        <v>481</v>
      </c>
      <c r="AE12">
        <v>476.6</v>
      </c>
      <c r="AF12" s="10">
        <v>474</v>
      </c>
      <c r="AG12" s="10">
        <v>482</v>
      </c>
      <c r="AH12">
        <v>478.9</v>
      </c>
      <c r="AI12" s="10">
        <v>470.4</v>
      </c>
      <c r="AJ12">
        <v>479.4</v>
      </c>
      <c r="AK12">
        <v>475.1</v>
      </c>
    </row>
    <row r="13" spans="1:37">
      <c r="A13" s="1">
        <v>12</v>
      </c>
      <c r="B13">
        <v>458.6</v>
      </c>
      <c r="C13">
        <v>459.1</v>
      </c>
      <c r="D13">
        <v>469.4</v>
      </c>
      <c r="E13">
        <v>463.3</v>
      </c>
      <c r="F13">
        <v>470.3</v>
      </c>
      <c r="G13">
        <v>485.3</v>
      </c>
      <c r="H13">
        <v>476</v>
      </c>
      <c r="I13">
        <v>470.8</v>
      </c>
      <c r="J13">
        <v>471.2</v>
      </c>
      <c r="K13" s="15">
        <v>466.7</v>
      </c>
      <c r="L13">
        <v>460.3</v>
      </c>
      <c r="M13">
        <v>479.7</v>
      </c>
      <c r="N13">
        <v>474.4</v>
      </c>
      <c r="O13">
        <v>485</v>
      </c>
      <c r="P13">
        <v>479.6</v>
      </c>
      <c r="Q13">
        <v>468.4</v>
      </c>
      <c r="R13">
        <v>462.6</v>
      </c>
      <c r="S13">
        <v>476</v>
      </c>
      <c r="T13">
        <v>481.2</v>
      </c>
      <c r="U13" s="10">
        <v>474</v>
      </c>
      <c r="V13">
        <v>471</v>
      </c>
      <c r="W13">
        <v>460.8</v>
      </c>
      <c r="X13">
        <v>475.4</v>
      </c>
      <c r="Y13">
        <v>474.6</v>
      </c>
      <c r="Z13">
        <v>474.1</v>
      </c>
      <c r="AA13" s="10">
        <v>468.7</v>
      </c>
      <c r="AB13">
        <v>479.5</v>
      </c>
      <c r="AC13" s="10">
        <v>471.6</v>
      </c>
      <c r="AD13" s="10">
        <v>468</v>
      </c>
      <c r="AE13">
        <v>465.4</v>
      </c>
      <c r="AF13" s="10">
        <v>473.4</v>
      </c>
      <c r="AG13" s="10">
        <v>470.4</v>
      </c>
      <c r="AH13">
        <v>465.1</v>
      </c>
      <c r="AI13" s="10">
        <v>456.5</v>
      </c>
      <c r="AJ13">
        <v>481.5</v>
      </c>
      <c r="AK13">
        <v>474.1</v>
      </c>
    </row>
    <row r="14" spans="1:37">
      <c r="A14" s="1">
        <v>13</v>
      </c>
      <c r="B14">
        <v>446.3</v>
      </c>
      <c r="C14">
        <v>449.7</v>
      </c>
      <c r="D14">
        <v>465.3</v>
      </c>
      <c r="E14">
        <v>459.5</v>
      </c>
      <c r="F14">
        <v>478.9</v>
      </c>
      <c r="G14">
        <v>469.1</v>
      </c>
      <c r="H14">
        <v>482.1</v>
      </c>
      <c r="I14">
        <v>474.8</v>
      </c>
      <c r="J14">
        <v>478.3</v>
      </c>
      <c r="K14" s="15">
        <v>471</v>
      </c>
      <c r="L14">
        <v>464.7</v>
      </c>
      <c r="M14">
        <v>476.4</v>
      </c>
      <c r="N14">
        <v>460.9</v>
      </c>
      <c r="O14">
        <v>475.1</v>
      </c>
      <c r="P14">
        <v>466.1</v>
      </c>
      <c r="Q14">
        <v>452.9</v>
      </c>
      <c r="R14">
        <v>473.4</v>
      </c>
      <c r="S14">
        <v>482.7</v>
      </c>
      <c r="T14">
        <v>473.8</v>
      </c>
      <c r="U14" s="10">
        <v>479.8</v>
      </c>
      <c r="V14">
        <v>472.6</v>
      </c>
      <c r="W14">
        <v>462</v>
      </c>
      <c r="X14">
        <v>475</v>
      </c>
      <c r="Y14">
        <v>467.5</v>
      </c>
      <c r="Z14">
        <v>462.5</v>
      </c>
      <c r="AA14" s="10">
        <v>476.3</v>
      </c>
      <c r="AB14">
        <v>472.1</v>
      </c>
      <c r="AC14" s="10">
        <v>485.9</v>
      </c>
      <c r="AD14" s="10">
        <v>475.5</v>
      </c>
      <c r="AE14">
        <v>478.4</v>
      </c>
      <c r="AF14" s="10">
        <v>471.8</v>
      </c>
      <c r="AG14" s="10">
        <v>476.3</v>
      </c>
      <c r="AH14">
        <v>470.8</v>
      </c>
      <c r="AI14" s="10">
        <v>474.8</v>
      </c>
      <c r="AJ14">
        <v>475.3</v>
      </c>
      <c r="AK14">
        <v>467.9</v>
      </c>
    </row>
    <row r="15" spans="1:37">
      <c r="A15" s="1">
        <v>14</v>
      </c>
      <c r="B15">
        <v>465.8</v>
      </c>
      <c r="C15">
        <v>454</v>
      </c>
      <c r="D15">
        <v>453.9</v>
      </c>
      <c r="E15">
        <v>442</v>
      </c>
      <c r="F15">
        <v>467.7</v>
      </c>
      <c r="G15">
        <v>459.8</v>
      </c>
      <c r="H15">
        <v>470.2</v>
      </c>
      <c r="I15">
        <v>459.4</v>
      </c>
      <c r="J15">
        <v>466.9</v>
      </c>
      <c r="K15" s="15">
        <v>457.90000000000003</v>
      </c>
      <c r="L15">
        <v>469.5</v>
      </c>
      <c r="M15">
        <v>459.79999999999995</v>
      </c>
      <c r="N15">
        <v>450</v>
      </c>
      <c r="O15">
        <v>462</v>
      </c>
      <c r="P15">
        <v>453.7</v>
      </c>
      <c r="Q15">
        <v>439.8</v>
      </c>
      <c r="R15">
        <v>464.7</v>
      </c>
      <c r="S15">
        <v>456.5</v>
      </c>
      <c r="T15">
        <v>459.9</v>
      </c>
      <c r="U15" s="10">
        <v>472.9</v>
      </c>
      <c r="V15">
        <v>463</v>
      </c>
      <c r="W15">
        <v>456.3</v>
      </c>
      <c r="X15">
        <v>466</v>
      </c>
      <c r="Y15">
        <v>473.3</v>
      </c>
      <c r="Z15">
        <v>463.3</v>
      </c>
      <c r="AA15" s="10">
        <v>455.6</v>
      </c>
      <c r="AB15">
        <v>472.9</v>
      </c>
      <c r="AC15" s="10">
        <v>462.4</v>
      </c>
      <c r="AD15" s="10">
        <v>466.9</v>
      </c>
      <c r="AE15">
        <v>465.2</v>
      </c>
      <c r="AF15" s="10">
        <v>457.5</v>
      </c>
      <c r="AG15" s="10">
        <v>462.1</v>
      </c>
      <c r="AH15">
        <v>455.1</v>
      </c>
      <c r="AI15" s="10">
        <v>462.1</v>
      </c>
      <c r="AJ15">
        <v>460.6</v>
      </c>
      <c r="AK15" s="10">
        <v>469</v>
      </c>
    </row>
    <row r="16" spans="1:37">
      <c r="A16" s="1">
        <v>15</v>
      </c>
      <c r="B16">
        <v>449.5</v>
      </c>
      <c r="C16">
        <v>461.2</v>
      </c>
      <c r="D16">
        <v>461.2</v>
      </c>
      <c r="E16">
        <v>430.2</v>
      </c>
      <c r="F16">
        <v>466</v>
      </c>
      <c r="G16">
        <v>469.5</v>
      </c>
      <c r="H16">
        <v>467.2</v>
      </c>
      <c r="I16">
        <v>471.2</v>
      </c>
      <c r="J16">
        <v>464.9</v>
      </c>
      <c r="K16" s="15">
        <v>453.90000000000003</v>
      </c>
      <c r="L16">
        <v>462.9</v>
      </c>
      <c r="M16">
        <v>467.2</v>
      </c>
      <c r="N16">
        <v>430.7</v>
      </c>
      <c r="O16">
        <v>458.3</v>
      </c>
      <c r="P16">
        <v>466.2</v>
      </c>
      <c r="Q16">
        <v>465.2</v>
      </c>
      <c r="R16">
        <v>467.2</v>
      </c>
      <c r="S16">
        <v>462.4</v>
      </c>
      <c r="T16">
        <v>464.8</v>
      </c>
      <c r="U16" s="10">
        <v>469.7</v>
      </c>
      <c r="V16">
        <v>452.9</v>
      </c>
      <c r="W16">
        <v>470.2</v>
      </c>
      <c r="X16">
        <v>466.8</v>
      </c>
      <c r="Y16">
        <v>453.7</v>
      </c>
      <c r="Z16">
        <v>466.4</v>
      </c>
      <c r="AA16" s="10">
        <v>455.7</v>
      </c>
      <c r="AB16">
        <v>467</v>
      </c>
      <c r="AC16" s="10">
        <v>484.9</v>
      </c>
      <c r="AD16" s="10">
        <v>454.1</v>
      </c>
      <c r="AE16">
        <v>462.4</v>
      </c>
      <c r="AF16" s="10">
        <v>463.4</v>
      </c>
      <c r="AG16" s="10">
        <v>460.4</v>
      </c>
      <c r="AH16">
        <v>473.8</v>
      </c>
      <c r="AI16" s="10">
        <v>462</v>
      </c>
      <c r="AJ16">
        <v>468.5</v>
      </c>
      <c r="AK16">
        <v>467.5</v>
      </c>
    </row>
    <row r="17" spans="1:37">
      <c r="A17" s="1">
        <v>16</v>
      </c>
      <c r="B17">
        <v>466.9</v>
      </c>
      <c r="C17">
        <v>465.7</v>
      </c>
      <c r="D17">
        <v>465.6</v>
      </c>
      <c r="E17">
        <v>442.5</v>
      </c>
      <c r="F17">
        <v>471.3</v>
      </c>
      <c r="G17">
        <v>476.7</v>
      </c>
      <c r="H17">
        <v>474</v>
      </c>
      <c r="I17">
        <v>473.4</v>
      </c>
      <c r="J17">
        <v>473.4</v>
      </c>
      <c r="K17" s="15">
        <v>468.5</v>
      </c>
      <c r="L17">
        <v>469.09999999999997</v>
      </c>
      <c r="M17">
        <v>464.79999999999995</v>
      </c>
      <c r="N17">
        <v>426.6</v>
      </c>
      <c r="O17">
        <v>471.8</v>
      </c>
      <c r="P17">
        <v>465.9</v>
      </c>
      <c r="Q17">
        <v>466.3</v>
      </c>
      <c r="R17">
        <v>463.4</v>
      </c>
      <c r="S17">
        <v>467.3</v>
      </c>
      <c r="T17">
        <v>466.9</v>
      </c>
      <c r="U17" s="10">
        <v>467.3</v>
      </c>
      <c r="V17">
        <v>459</v>
      </c>
      <c r="W17">
        <v>475.2</v>
      </c>
      <c r="X17">
        <v>470.8</v>
      </c>
      <c r="Y17">
        <v>465.7</v>
      </c>
      <c r="Z17">
        <v>471.3</v>
      </c>
      <c r="AA17" s="10">
        <v>471.4</v>
      </c>
      <c r="AB17">
        <v>475.3</v>
      </c>
      <c r="AC17" s="10">
        <v>450.4</v>
      </c>
      <c r="AD17" s="10">
        <v>466.4</v>
      </c>
      <c r="AE17">
        <v>467.9</v>
      </c>
      <c r="AF17" s="10">
        <v>471.1</v>
      </c>
      <c r="AG17" s="10">
        <v>463.7</v>
      </c>
      <c r="AH17">
        <v>456.7</v>
      </c>
      <c r="AI17" s="10">
        <v>462.4</v>
      </c>
      <c r="AJ17">
        <v>471.9</v>
      </c>
      <c r="AK17">
        <v>473.7</v>
      </c>
    </row>
    <row r="18" spans="1:37">
      <c r="A18" s="1">
        <v>17</v>
      </c>
      <c r="B18">
        <v>451.9</v>
      </c>
      <c r="C18">
        <v>477.2</v>
      </c>
      <c r="D18">
        <v>468.9</v>
      </c>
      <c r="E18">
        <v>464.7</v>
      </c>
      <c r="F18">
        <v>480.1</v>
      </c>
      <c r="G18">
        <v>474.8</v>
      </c>
      <c r="H18">
        <v>465</v>
      </c>
      <c r="I18">
        <v>457.7</v>
      </c>
      <c r="J18">
        <v>477.1</v>
      </c>
      <c r="K18">
        <v>466.40000000000003</v>
      </c>
      <c r="L18">
        <v>461.8</v>
      </c>
      <c r="M18">
        <v>475.4</v>
      </c>
      <c r="N18">
        <v>471.2</v>
      </c>
      <c r="O18">
        <v>466.7</v>
      </c>
      <c r="P18">
        <v>462.8</v>
      </c>
      <c r="Q18">
        <v>452.6</v>
      </c>
      <c r="R18">
        <v>464.7</v>
      </c>
      <c r="S18">
        <v>471.6</v>
      </c>
      <c r="T18">
        <v>468.4</v>
      </c>
      <c r="U18" s="10">
        <v>469.7</v>
      </c>
      <c r="V18">
        <v>467.4</v>
      </c>
      <c r="W18">
        <v>485.2</v>
      </c>
      <c r="X18">
        <v>479.4</v>
      </c>
      <c r="Y18">
        <v>474.5</v>
      </c>
      <c r="Z18">
        <v>473.1</v>
      </c>
      <c r="AA18" s="10">
        <v>469.5</v>
      </c>
      <c r="AB18">
        <v>469.2</v>
      </c>
      <c r="AC18" s="10">
        <v>467.2</v>
      </c>
      <c r="AD18" s="10">
        <v>463.1</v>
      </c>
      <c r="AE18">
        <v>476</v>
      </c>
      <c r="AF18" s="10">
        <v>473.1</v>
      </c>
      <c r="AG18" s="10">
        <v>469.4</v>
      </c>
      <c r="AH18">
        <v>468.7</v>
      </c>
      <c r="AI18" s="10">
        <v>464.4</v>
      </c>
      <c r="AJ18">
        <v>464.3</v>
      </c>
      <c r="AK18">
        <v>462.8</v>
      </c>
    </row>
    <row r="19" spans="1:37">
      <c r="A19" s="1">
        <v>18</v>
      </c>
      <c r="B19">
        <v>460.8</v>
      </c>
      <c r="C19">
        <v>468</v>
      </c>
      <c r="D19">
        <v>465.4</v>
      </c>
      <c r="E19">
        <v>447.3</v>
      </c>
      <c r="F19">
        <v>473.9</v>
      </c>
      <c r="G19">
        <v>454.5</v>
      </c>
      <c r="H19">
        <v>468.4</v>
      </c>
      <c r="I19">
        <v>468.3</v>
      </c>
      <c r="J19">
        <v>459.6</v>
      </c>
      <c r="K19" s="15">
        <v>449.7</v>
      </c>
      <c r="L19">
        <v>467.4</v>
      </c>
      <c r="M19">
        <v>455.4</v>
      </c>
      <c r="N19">
        <v>438.8</v>
      </c>
      <c r="O19">
        <v>456.4</v>
      </c>
      <c r="P19">
        <v>459.4</v>
      </c>
      <c r="Q19">
        <v>467.5</v>
      </c>
      <c r="R19">
        <v>453.7</v>
      </c>
      <c r="S19">
        <v>456.7</v>
      </c>
      <c r="T19">
        <v>464.4</v>
      </c>
      <c r="U19" s="10">
        <v>459.8</v>
      </c>
      <c r="V19">
        <v>459.1</v>
      </c>
      <c r="W19">
        <v>479.8</v>
      </c>
      <c r="X19">
        <v>464</v>
      </c>
      <c r="Y19">
        <v>452</v>
      </c>
      <c r="Z19">
        <v>472.9</v>
      </c>
      <c r="AA19" s="10">
        <v>462.8</v>
      </c>
      <c r="AB19">
        <v>451.7</v>
      </c>
      <c r="AC19" s="10">
        <v>474.9</v>
      </c>
      <c r="AD19" s="10">
        <v>463.2</v>
      </c>
      <c r="AE19">
        <v>461.1</v>
      </c>
      <c r="AF19" s="10">
        <v>462.2</v>
      </c>
      <c r="AG19" s="10">
        <v>453.4</v>
      </c>
      <c r="AH19">
        <v>438</v>
      </c>
      <c r="AI19" s="10">
        <v>458.3</v>
      </c>
      <c r="AJ19" s="10">
        <v>452</v>
      </c>
      <c r="AK19">
        <v>467.1</v>
      </c>
    </row>
    <row r="20" spans="1:37">
      <c r="A20" s="1">
        <v>19</v>
      </c>
      <c r="B20">
        <v>456</v>
      </c>
      <c r="C20">
        <v>478.2</v>
      </c>
      <c r="D20">
        <v>478.1</v>
      </c>
      <c r="E20">
        <v>446.3</v>
      </c>
      <c r="F20">
        <v>463.6</v>
      </c>
      <c r="G20">
        <v>471.2</v>
      </c>
      <c r="H20">
        <v>472.6</v>
      </c>
      <c r="I20">
        <v>461.7</v>
      </c>
      <c r="J20">
        <v>468.1</v>
      </c>
      <c r="K20" s="15">
        <v>467.3</v>
      </c>
      <c r="L20">
        <v>458.8</v>
      </c>
      <c r="M20">
        <v>461</v>
      </c>
      <c r="N20">
        <v>431</v>
      </c>
      <c r="O20">
        <v>461.6</v>
      </c>
      <c r="P20">
        <v>465.3</v>
      </c>
      <c r="Q20">
        <v>473.9</v>
      </c>
      <c r="R20">
        <v>467.6</v>
      </c>
      <c r="S20">
        <v>464.8</v>
      </c>
      <c r="T20">
        <v>463.5</v>
      </c>
      <c r="U20" s="10">
        <v>465.2</v>
      </c>
      <c r="V20">
        <v>434.7</v>
      </c>
      <c r="W20">
        <v>470.8</v>
      </c>
      <c r="X20">
        <v>468.7</v>
      </c>
      <c r="Y20">
        <v>443.4</v>
      </c>
      <c r="Z20">
        <v>476</v>
      </c>
      <c r="AA20" s="10">
        <v>469.8</v>
      </c>
      <c r="AB20">
        <v>468.6</v>
      </c>
      <c r="AC20" s="10">
        <v>485.3</v>
      </c>
      <c r="AD20" s="10">
        <v>464.9</v>
      </c>
      <c r="AE20">
        <v>462.8</v>
      </c>
      <c r="AF20" s="10">
        <v>466.8</v>
      </c>
      <c r="AG20" s="10">
        <v>471.5</v>
      </c>
      <c r="AH20">
        <v>470.5</v>
      </c>
      <c r="AI20" s="10">
        <v>462.6</v>
      </c>
      <c r="AJ20">
        <v>469.7</v>
      </c>
      <c r="AK20">
        <v>466.5</v>
      </c>
    </row>
    <row r="21" spans="1:37">
      <c r="A21" s="1">
        <v>20</v>
      </c>
      <c r="B21">
        <v>476.7</v>
      </c>
      <c r="C21">
        <v>484.1</v>
      </c>
      <c r="D21">
        <v>484.1</v>
      </c>
      <c r="E21">
        <v>457.4</v>
      </c>
      <c r="F21">
        <v>475.2</v>
      </c>
      <c r="G21">
        <v>470.2</v>
      </c>
      <c r="H21">
        <v>474.9</v>
      </c>
      <c r="I21">
        <v>467.9</v>
      </c>
      <c r="J21">
        <v>467.9</v>
      </c>
      <c r="K21" s="15">
        <v>464.5</v>
      </c>
      <c r="L21">
        <v>468</v>
      </c>
      <c r="M21">
        <v>465.59999999999997</v>
      </c>
      <c r="N21">
        <v>430.7</v>
      </c>
      <c r="O21">
        <v>464.1</v>
      </c>
      <c r="P21">
        <v>466.9</v>
      </c>
      <c r="Q21">
        <v>470</v>
      </c>
      <c r="R21">
        <v>463.1</v>
      </c>
      <c r="S21">
        <v>465.5</v>
      </c>
      <c r="T21">
        <v>468.2</v>
      </c>
      <c r="U21" s="10">
        <v>468.3</v>
      </c>
      <c r="V21">
        <v>461.7</v>
      </c>
      <c r="W21">
        <v>474.8</v>
      </c>
      <c r="X21">
        <v>468.2</v>
      </c>
      <c r="Y21">
        <v>463.6</v>
      </c>
      <c r="Z21">
        <v>486.1</v>
      </c>
      <c r="AA21" s="10">
        <v>451</v>
      </c>
      <c r="AB21">
        <v>466.9</v>
      </c>
      <c r="AC21" s="10">
        <v>482.8</v>
      </c>
      <c r="AD21" s="10">
        <v>455.7</v>
      </c>
      <c r="AE21">
        <v>464.2</v>
      </c>
      <c r="AF21" s="10">
        <v>462.5</v>
      </c>
      <c r="AG21" s="10">
        <v>458.3</v>
      </c>
      <c r="AH21">
        <v>462.1</v>
      </c>
      <c r="AI21" s="10">
        <v>464</v>
      </c>
      <c r="AJ21">
        <v>464.5</v>
      </c>
      <c r="AK21" s="10">
        <v>468</v>
      </c>
    </row>
    <row r="22" spans="1:37">
      <c r="A22" s="1">
        <v>21</v>
      </c>
      <c r="B22">
        <v>472.6</v>
      </c>
      <c r="C22">
        <v>458.2</v>
      </c>
      <c r="D22">
        <v>458.1</v>
      </c>
      <c r="E22">
        <v>458.1</v>
      </c>
      <c r="F22">
        <v>471.5</v>
      </c>
      <c r="G22">
        <v>471</v>
      </c>
      <c r="H22">
        <v>467.8</v>
      </c>
      <c r="I22">
        <v>479.1</v>
      </c>
      <c r="J22">
        <v>473.8</v>
      </c>
      <c r="K22" s="15">
        <v>465.7</v>
      </c>
      <c r="L22">
        <v>461.7</v>
      </c>
      <c r="M22">
        <v>455.79999999999995</v>
      </c>
      <c r="N22">
        <v>453</v>
      </c>
      <c r="O22">
        <v>464.7</v>
      </c>
      <c r="P22">
        <v>470.3</v>
      </c>
      <c r="Q22">
        <v>464.7</v>
      </c>
      <c r="R22">
        <v>464</v>
      </c>
      <c r="S22">
        <v>462.4</v>
      </c>
      <c r="T22">
        <v>461.2</v>
      </c>
      <c r="U22" s="10">
        <v>474.6</v>
      </c>
      <c r="V22">
        <v>472.6</v>
      </c>
      <c r="W22">
        <v>468.5</v>
      </c>
      <c r="X22">
        <v>467.3</v>
      </c>
      <c r="Y22">
        <v>464.1</v>
      </c>
      <c r="Z22">
        <v>463.2</v>
      </c>
      <c r="AA22" s="10">
        <v>461.7</v>
      </c>
      <c r="AB22">
        <v>471.7</v>
      </c>
      <c r="AC22" s="10">
        <v>471.2</v>
      </c>
      <c r="AD22" s="10">
        <v>469.5</v>
      </c>
      <c r="AE22">
        <v>467.8</v>
      </c>
      <c r="AF22" s="10">
        <v>464.2</v>
      </c>
      <c r="AG22" s="10">
        <v>462.6</v>
      </c>
      <c r="AH22">
        <v>460.8</v>
      </c>
      <c r="AI22" s="10">
        <v>454.7</v>
      </c>
      <c r="AJ22" s="10">
        <v>456</v>
      </c>
      <c r="AK22">
        <v>455.3</v>
      </c>
    </row>
    <row r="23" spans="1:37">
      <c r="A23" s="1">
        <v>22</v>
      </c>
      <c r="B23">
        <v>472.4</v>
      </c>
      <c r="C23">
        <v>461.1</v>
      </c>
      <c r="D23">
        <v>461.1</v>
      </c>
      <c r="E23">
        <v>461.1</v>
      </c>
      <c r="F23">
        <v>463.1</v>
      </c>
      <c r="G23">
        <v>462.2</v>
      </c>
      <c r="H23">
        <v>461.5</v>
      </c>
      <c r="I23">
        <v>474.3</v>
      </c>
      <c r="J23">
        <v>468.4</v>
      </c>
      <c r="K23" s="15">
        <v>457.8</v>
      </c>
      <c r="L23">
        <v>469.2</v>
      </c>
      <c r="M23">
        <v>464</v>
      </c>
      <c r="N23">
        <v>457.6</v>
      </c>
      <c r="O23">
        <v>453.9</v>
      </c>
      <c r="P23">
        <v>467.6</v>
      </c>
      <c r="Q23">
        <v>458.3</v>
      </c>
      <c r="R23">
        <v>449.1</v>
      </c>
      <c r="S23">
        <v>465.9</v>
      </c>
      <c r="T23">
        <v>462.1</v>
      </c>
      <c r="U23" s="10">
        <v>465.4</v>
      </c>
      <c r="V23">
        <v>463.5</v>
      </c>
      <c r="W23">
        <v>457.3</v>
      </c>
      <c r="X23">
        <v>469.4</v>
      </c>
      <c r="Y23">
        <v>467</v>
      </c>
      <c r="Z23">
        <v>462.4</v>
      </c>
      <c r="AA23" s="10">
        <v>454.9</v>
      </c>
      <c r="AB23">
        <v>454.7</v>
      </c>
      <c r="AC23" s="10">
        <v>485.7</v>
      </c>
      <c r="AD23" s="10">
        <v>478.5</v>
      </c>
      <c r="AE23">
        <v>475.3</v>
      </c>
      <c r="AF23" s="10">
        <v>470.5</v>
      </c>
      <c r="AG23" s="10">
        <v>464.9</v>
      </c>
      <c r="AH23">
        <v>460.9</v>
      </c>
      <c r="AI23" s="10">
        <v>450.4</v>
      </c>
      <c r="AJ23">
        <v>477.1</v>
      </c>
      <c r="AK23">
        <v>468.5</v>
      </c>
    </row>
    <row r="24" spans="1:37">
      <c r="A24" s="1">
        <v>23</v>
      </c>
      <c r="B24">
        <v>479.3</v>
      </c>
      <c r="C24">
        <v>467.3</v>
      </c>
      <c r="D24">
        <v>482.2</v>
      </c>
      <c r="E24">
        <v>467</v>
      </c>
      <c r="F24">
        <v>463.4</v>
      </c>
      <c r="G24">
        <v>463.8</v>
      </c>
      <c r="H24">
        <v>472.9</v>
      </c>
      <c r="I24">
        <v>463.2</v>
      </c>
      <c r="J24">
        <v>469.8</v>
      </c>
      <c r="K24" s="15">
        <v>456.5</v>
      </c>
      <c r="L24">
        <v>472.3</v>
      </c>
      <c r="M24">
        <v>466.09999999999997</v>
      </c>
      <c r="N24">
        <v>448.8</v>
      </c>
      <c r="O24">
        <v>472.3</v>
      </c>
      <c r="P24">
        <v>472.3</v>
      </c>
      <c r="Q24">
        <v>454.4</v>
      </c>
      <c r="R24">
        <v>466.4</v>
      </c>
      <c r="S24">
        <v>466.8</v>
      </c>
      <c r="T24">
        <v>454.3</v>
      </c>
      <c r="U24" s="10">
        <v>466.2</v>
      </c>
      <c r="V24">
        <v>468</v>
      </c>
      <c r="W24">
        <v>455.3</v>
      </c>
      <c r="X24">
        <v>466.8</v>
      </c>
      <c r="Y24">
        <v>467.9</v>
      </c>
      <c r="Z24">
        <v>454.3</v>
      </c>
      <c r="AA24" s="10">
        <v>446.9</v>
      </c>
      <c r="AB24">
        <v>466.7</v>
      </c>
      <c r="AC24" s="10">
        <v>456.6</v>
      </c>
      <c r="AD24" s="10">
        <v>466.5</v>
      </c>
      <c r="AE24">
        <v>466.9</v>
      </c>
      <c r="AF24" s="10">
        <v>466.1</v>
      </c>
      <c r="AG24" s="10">
        <v>451.2</v>
      </c>
      <c r="AH24">
        <v>464.9</v>
      </c>
      <c r="AI24" s="10">
        <v>450.7</v>
      </c>
      <c r="AJ24">
        <v>462.7</v>
      </c>
      <c r="AK24">
        <v>468.2</v>
      </c>
    </row>
    <row r="25" spans="1:37">
      <c r="A25" s="1">
        <v>24</v>
      </c>
      <c r="B25">
        <v>479</v>
      </c>
      <c r="C25">
        <v>476.4</v>
      </c>
      <c r="D25">
        <v>476.3</v>
      </c>
      <c r="E25">
        <v>473.9</v>
      </c>
      <c r="F25">
        <v>466</v>
      </c>
      <c r="G25">
        <v>454.2</v>
      </c>
      <c r="H25">
        <v>469.4</v>
      </c>
      <c r="I25">
        <v>468.9</v>
      </c>
      <c r="J25">
        <v>467.6</v>
      </c>
      <c r="K25" s="15">
        <v>464.40000000000003</v>
      </c>
      <c r="L25">
        <v>464</v>
      </c>
      <c r="M25">
        <v>461.59999999999997</v>
      </c>
      <c r="N25">
        <v>460.5</v>
      </c>
      <c r="O25">
        <v>459.9</v>
      </c>
      <c r="P25">
        <v>458.6</v>
      </c>
      <c r="Q25">
        <v>455.2</v>
      </c>
      <c r="R25">
        <v>451.9</v>
      </c>
      <c r="S25">
        <v>463.6</v>
      </c>
      <c r="T25">
        <v>462.9</v>
      </c>
      <c r="U25" s="10">
        <v>465.5</v>
      </c>
      <c r="V25">
        <v>464.9</v>
      </c>
      <c r="W25">
        <v>464.3</v>
      </c>
      <c r="X25">
        <v>462.7</v>
      </c>
      <c r="Y25">
        <v>461.6</v>
      </c>
      <c r="Z25">
        <v>461</v>
      </c>
      <c r="AA25" s="10">
        <v>460.1</v>
      </c>
      <c r="AB25">
        <v>459</v>
      </c>
      <c r="AC25" s="10">
        <v>457.6</v>
      </c>
      <c r="AD25" s="10">
        <v>454.4</v>
      </c>
      <c r="AE25">
        <v>453.6</v>
      </c>
      <c r="AF25" s="10">
        <v>452.8</v>
      </c>
      <c r="AG25" s="10">
        <v>466.7</v>
      </c>
      <c r="AH25">
        <v>466.1</v>
      </c>
      <c r="AI25" s="10">
        <v>462.1</v>
      </c>
      <c r="AJ25">
        <v>464.6</v>
      </c>
      <c r="AK25">
        <v>461.8</v>
      </c>
    </row>
    <row r="26" spans="1:37">
      <c r="A26" s="1">
        <v>25</v>
      </c>
      <c r="B26">
        <v>446</v>
      </c>
      <c r="C26">
        <v>460.4</v>
      </c>
      <c r="D26">
        <v>460.4</v>
      </c>
      <c r="E26">
        <v>455.6</v>
      </c>
      <c r="F26">
        <v>464</v>
      </c>
      <c r="G26">
        <v>463.4</v>
      </c>
      <c r="H26">
        <v>462.2</v>
      </c>
      <c r="I26">
        <v>461.6</v>
      </c>
      <c r="J26">
        <v>457.5</v>
      </c>
      <c r="K26" s="15">
        <v>455.7</v>
      </c>
      <c r="L26">
        <v>468.3</v>
      </c>
      <c r="M26">
        <v>467.79999999999995</v>
      </c>
      <c r="N26">
        <v>463.9</v>
      </c>
      <c r="O26">
        <v>463.4</v>
      </c>
      <c r="P26">
        <v>462.1</v>
      </c>
      <c r="Q26">
        <v>458.8</v>
      </c>
      <c r="R26">
        <v>458</v>
      </c>
      <c r="S26">
        <v>468.2</v>
      </c>
      <c r="T26">
        <v>467.5</v>
      </c>
      <c r="U26" s="10">
        <v>469.8</v>
      </c>
      <c r="V26">
        <v>469.2</v>
      </c>
      <c r="W26">
        <v>468</v>
      </c>
      <c r="X26">
        <v>467.3</v>
      </c>
      <c r="Y26">
        <v>466.8</v>
      </c>
      <c r="Z26">
        <v>465.9</v>
      </c>
      <c r="AA26" s="10">
        <v>464.9</v>
      </c>
      <c r="AB26">
        <v>464.4</v>
      </c>
      <c r="AC26" s="10">
        <v>463.7</v>
      </c>
      <c r="AD26" s="10">
        <v>462.9</v>
      </c>
      <c r="AE26">
        <v>461.7</v>
      </c>
      <c r="AF26" s="10">
        <v>460.7</v>
      </c>
      <c r="AG26" s="10">
        <v>460.1</v>
      </c>
      <c r="AH26">
        <v>459.5</v>
      </c>
      <c r="AI26" s="10">
        <v>455.4</v>
      </c>
      <c r="AJ26">
        <v>457.9</v>
      </c>
      <c r="AK26">
        <v>457.2</v>
      </c>
    </row>
    <row r="27" spans="1:37">
      <c r="A27" s="1">
        <v>26</v>
      </c>
      <c r="B27">
        <v>459.9</v>
      </c>
      <c r="C27">
        <v>474.5</v>
      </c>
      <c r="D27">
        <v>467.2</v>
      </c>
      <c r="E27">
        <v>454</v>
      </c>
      <c r="F27">
        <v>461.4</v>
      </c>
      <c r="G27">
        <v>472.1</v>
      </c>
      <c r="H27">
        <v>456.1</v>
      </c>
      <c r="I27">
        <v>476.3</v>
      </c>
      <c r="J27">
        <v>465.6</v>
      </c>
      <c r="K27" s="15">
        <v>452.2</v>
      </c>
      <c r="L27">
        <v>467.7</v>
      </c>
      <c r="M27">
        <v>458.2</v>
      </c>
      <c r="N27">
        <v>448.7</v>
      </c>
      <c r="O27">
        <v>459.4</v>
      </c>
      <c r="P27">
        <v>447.9</v>
      </c>
      <c r="Q27">
        <v>455.2</v>
      </c>
      <c r="R27">
        <v>450</v>
      </c>
      <c r="S27">
        <v>461.8</v>
      </c>
      <c r="T27">
        <v>465.5</v>
      </c>
      <c r="U27" s="10">
        <v>461.6</v>
      </c>
      <c r="V27">
        <v>453.5</v>
      </c>
      <c r="W27">
        <v>448.3</v>
      </c>
      <c r="X27">
        <v>466.9</v>
      </c>
      <c r="Y27">
        <v>457.6</v>
      </c>
      <c r="Z27">
        <v>455.6</v>
      </c>
      <c r="AA27" s="10">
        <v>468.6</v>
      </c>
      <c r="AB27">
        <v>465.7</v>
      </c>
      <c r="AC27" s="10">
        <v>461.4</v>
      </c>
      <c r="AD27" s="10">
        <v>458.8</v>
      </c>
      <c r="AE27">
        <v>467.6</v>
      </c>
      <c r="AF27" s="10">
        <v>460.6</v>
      </c>
      <c r="AG27" s="10">
        <v>468.1</v>
      </c>
      <c r="AH27">
        <v>464.9</v>
      </c>
      <c r="AI27" s="10">
        <v>453.4</v>
      </c>
      <c r="AJ27" s="10">
        <v>469</v>
      </c>
      <c r="AK27">
        <v>464.2</v>
      </c>
    </row>
    <row r="28" spans="1:37">
      <c r="A28" s="1">
        <v>27</v>
      </c>
      <c r="B28">
        <v>469.2</v>
      </c>
      <c r="C28">
        <v>471.7</v>
      </c>
      <c r="D28">
        <v>458.2</v>
      </c>
      <c r="E28">
        <v>447.9</v>
      </c>
      <c r="F28">
        <v>473.1</v>
      </c>
      <c r="G28">
        <v>476</v>
      </c>
      <c r="H28">
        <v>469.7</v>
      </c>
      <c r="I28">
        <v>475.2</v>
      </c>
      <c r="J28">
        <v>468.2</v>
      </c>
      <c r="K28" s="15">
        <v>461.7</v>
      </c>
      <c r="L28">
        <v>469.2</v>
      </c>
      <c r="M28">
        <v>460.4</v>
      </c>
      <c r="N28">
        <v>451.5</v>
      </c>
      <c r="O28">
        <v>468.2</v>
      </c>
      <c r="P28">
        <v>465.1</v>
      </c>
      <c r="Q28">
        <v>468.9</v>
      </c>
      <c r="R28">
        <v>460.5</v>
      </c>
      <c r="S28">
        <v>454.5</v>
      </c>
      <c r="T28">
        <v>469.6</v>
      </c>
      <c r="U28" s="10">
        <v>469.1</v>
      </c>
      <c r="V28">
        <v>463.5</v>
      </c>
      <c r="W28">
        <v>483.7</v>
      </c>
      <c r="X28">
        <v>481.3</v>
      </c>
      <c r="Y28">
        <v>478.5</v>
      </c>
      <c r="Z28">
        <v>478.1</v>
      </c>
      <c r="AA28" s="10">
        <v>475.1</v>
      </c>
      <c r="AB28">
        <v>472.4</v>
      </c>
      <c r="AC28" s="10">
        <v>466.1</v>
      </c>
      <c r="AD28" s="10">
        <v>463.1</v>
      </c>
      <c r="AE28">
        <v>459.2</v>
      </c>
      <c r="AF28" s="10">
        <v>456.8</v>
      </c>
      <c r="AG28" s="10">
        <v>474.8</v>
      </c>
      <c r="AH28">
        <v>473.8</v>
      </c>
      <c r="AI28" s="10">
        <v>466.9</v>
      </c>
      <c r="AJ28">
        <v>467.4</v>
      </c>
      <c r="AK28">
        <v>463.6</v>
      </c>
    </row>
    <row r="29" spans="1:37">
      <c r="A29" s="1">
        <v>28</v>
      </c>
      <c r="B29">
        <v>470.8</v>
      </c>
      <c r="C29">
        <v>462.6</v>
      </c>
      <c r="D29">
        <v>450.3</v>
      </c>
      <c r="E29">
        <v>473</v>
      </c>
      <c r="F29">
        <v>466</v>
      </c>
      <c r="G29">
        <v>466</v>
      </c>
      <c r="H29">
        <v>466</v>
      </c>
      <c r="I29">
        <v>466</v>
      </c>
      <c r="J29">
        <v>460.9</v>
      </c>
      <c r="K29" s="15">
        <v>463.2</v>
      </c>
      <c r="L29">
        <v>455.2</v>
      </c>
      <c r="M29">
        <v>465.59999999999997</v>
      </c>
      <c r="N29">
        <v>452.2</v>
      </c>
      <c r="O29">
        <v>465.1</v>
      </c>
      <c r="P29">
        <v>458.3</v>
      </c>
      <c r="Q29">
        <v>449</v>
      </c>
      <c r="R29">
        <v>468.1</v>
      </c>
      <c r="S29">
        <v>460.5</v>
      </c>
      <c r="T29">
        <v>463.8</v>
      </c>
      <c r="U29" s="10">
        <v>459.4</v>
      </c>
      <c r="V29">
        <v>454.2</v>
      </c>
      <c r="W29">
        <v>450.6</v>
      </c>
      <c r="X29">
        <v>463.9</v>
      </c>
      <c r="Y29">
        <v>460.5</v>
      </c>
      <c r="Z29">
        <v>454.1</v>
      </c>
      <c r="AA29" s="10">
        <v>451.3</v>
      </c>
      <c r="AB29">
        <v>468.9</v>
      </c>
      <c r="AC29" s="10">
        <v>465.9</v>
      </c>
      <c r="AD29" s="10">
        <v>459.5</v>
      </c>
      <c r="AE29">
        <v>455.1</v>
      </c>
      <c r="AF29" s="10">
        <v>467.9</v>
      </c>
      <c r="AG29" s="10">
        <v>460.3</v>
      </c>
      <c r="AH29">
        <v>457.7</v>
      </c>
      <c r="AI29" s="10">
        <v>451.4</v>
      </c>
      <c r="AJ29">
        <v>451.5</v>
      </c>
      <c r="AK29">
        <v>467.1</v>
      </c>
    </row>
    <row r="30" spans="1:37">
      <c r="A30" s="1">
        <v>29</v>
      </c>
      <c r="B30">
        <v>442</v>
      </c>
      <c r="C30">
        <v>467.6</v>
      </c>
      <c r="D30">
        <v>437.3</v>
      </c>
      <c r="E30">
        <v>468.6</v>
      </c>
      <c r="F30">
        <v>459.1</v>
      </c>
      <c r="G30">
        <v>466.2</v>
      </c>
      <c r="H30">
        <v>471.6</v>
      </c>
      <c r="I30">
        <v>470.6</v>
      </c>
      <c r="J30">
        <v>466.7</v>
      </c>
      <c r="K30" s="15">
        <v>464.6</v>
      </c>
      <c r="L30">
        <v>431.59999999999997</v>
      </c>
      <c r="M30">
        <v>466.79999999999995</v>
      </c>
      <c r="N30">
        <v>435.1</v>
      </c>
      <c r="O30">
        <v>461.3</v>
      </c>
      <c r="P30">
        <v>428.4</v>
      </c>
      <c r="Q30">
        <v>453.5</v>
      </c>
      <c r="R30">
        <v>466.1</v>
      </c>
      <c r="S30">
        <v>469.6</v>
      </c>
      <c r="T30">
        <v>461.4</v>
      </c>
      <c r="U30" s="10">
        <v>460</v>
      </c>
      <c r="V30">
        <v>453.7</v>
      </c>
      <c r="W30">
        <v>477</v>
      </c>
      <c r="X30">
        <v>467.3</v>
      </c>
      <c r="Y30">
        <v>467.5</v>
      </c>
      <c r="Z30">
        <v>474.1</v>
      </c>
      <c r="AA30" s="10">
        <v>447.1</v>
      </c>
      <c r="AB30">
        <v>466.6</v>
      </c>
      <c r="AC30" s="10">
        <v>479.2</v>
      </c>
      <c r="AD30" s="10">
        <v>469.4</v>
      </c>
      <c r="AE30">
        <v>444.1</v>
      </c>
      <c r="AF30" s="10">
        <v>463.8</v>
      </c>
      <c r="AG30" s="10">
        <v>463.2</v>
      </c>
      <c r="AH30">
        <v>466.7</v>
      </c>
      <c r="AI30" s="10">
        <v>464.1</v>
      </c>
      <c r="AJ30">
        <v>438.6</v>
      </c>
      <c r="AK30">
        <v>465.2</v>
      </c>
    </row>
    <row r="31" spans="1:37">
      <c r="A31" s="1">
        <v>30</v>
      </c>
      <c r="B31">
        <v>456.8</v>
      </c>
      <c r="C31">
        <v>473.7</v>
      </c>
      <c r="D31">
        <v>473.6</v>
      </c>
      <c r="E31">
        <v>449.2</v>
      </c>
      <c r="F31">
        <v>465.5</v>
      </c>
      <c r="G31">
        <v>463.8</v>
      </c>
      <c r="H31">
        <v>467.3</v>
      </c>
      <c r="I31">
        <v>472.4</v>
      </c>
      <c r="J31">
        <v>467.2</v>
      </c>
      <c r="K31" s="15">
        <v>460.2</v>
      </c>
      <c r="L31">
        <v>437.3</v>
      </c>
      <c r="M31">
        <v>461.7</v>
      </c>
      <c r="N31">
        <v>436</v>
      </c>
      <c r="O31">
        <v>459.4</v>
      </c>
      <c r="P31">
        <v>435.7</v>
      </c>
      <c r="Q31">
        <v>459.3</v>
      </c>
      <c r="R31">
        <v>453.1</v>
      </c>
      <c r="S31">
        <v>460.7</v>
      </c>
      <c r="T31">
        <v>464.4</v>
      </c>
      <c r="U31" s="10">
        <v>465.7</v>
      </c>
      <c r="V31">
        <v>460.7</v>
      </c>
      <c r="W31">
        <v>479.9</v>
      </c>
      <c r="X31">
        <v>465.3</v>
      </c>
      <c r="Y31">
        <v>450.4</v>
      </c>
      <c r="Z31">
        <v>476.8</v>
      </c>
      <c r="AA31" s="10">
        <v>453.3</v>
      </c>
      <c r="AB31">
        <v>464.8</v>
      </c>
      <c r="AC31" s="10">
        <v>470.2</v>
      </c>
      <c r="AD31" s="10">
        <v>454.1</v>
      </c>
      <c r="AE31">
        <v>466.9</v>
      </c>
      <c r="AF31" s="10">
        <v>467.2</v>
      </c>
      <c r="AG31" s="10">
        <v>463.4</v>
      </c>
      <c r="AH31">
        <v>462.4</v>
      </c>
      <c r="AI31" s="10">
        <v>459.9</v>
      </c>
      <c r="AJ31">
        <v>454.7</v>
      </c>
      <c r="AK31">
        <v>466.6</v>
      </c>
    </row>
    <row r="32" spans="1:37">
      <c r="A32" s="1">
        <v>31</v>
      </c>
      <c r="B32">
        <v>450.4</v>
      </c>
      <c r="C32">
        <v>473.9</v>
      </c>
      <c r="D32">
        <v>473.8</v>
      </c>
      <c r="E32">
        <v>462.5</v>
      </c>
      <c r="F32">
        <v>460.6</v>
      </c>
      <c r="G32">
        <v>452.3</v>
      </c>
      <c r="H32">
        <v>472</v>
      </c>
      <c r="I32">
        <v>458.2</v>
      </c>
      <c r="J32">
        <v>465.6</v>
      </c>
      <c r="K32">
        <v>463</v>
      </c>
      <c r="L32">
        <v>460.3</v>
      </c>
      <c r="M32">
        <v>467.2</v>
      </c>
      <c r="N32">
        <v>451.4</v>
      </c>
      <c r="O32">
        <v>463.2</v>
      </c>
      <c r="P32">
        <v>450.2</v>
      </c>
      <c r="Q32">
        <v>468.2</v>
      </c>
      <c r="R32">
        <v>462.6</v>
      </c>
      <c r="S32">
        <v>461.7</v>
      </c>
      <c r="T32">
        <v>467.2</v>
      </c>
      <c r="U32" s="10">
        <v>465.5</v>
      </c>
      <c r="V32">
        <v>443.5</v>
      </c>
      <c r="W32">
        <v>479.6</v>
      </c>
      <c r="X32">
        <v>462.6</v>
      </c>
      <c r="Y32">
        <v>438.9</v>
      </c>
      <c r="Z32">
        <v>473</v>
      </c>
      <c r="AA32" s="10">
        <v>447.3</v>
      </c>
      <c r="AB32">
        <v>467.6</v>
      </c>
      <c r="AC32" s="10">
        <v>480.6</v>
      </c>
      <c r="AD32" s="10">
        <v>461.6</v>
      </c>
      <c r="AE32">
        <v>463.9</v>
      </c>
      <c r="AF32" s="10">
        <v>466.3</v>
      </c>
      <c r="AG32" s="10">
        <v>464.3</v>
      </c>
      <c r="AH32">
        <v>447.7</v>
      </c>
      <c r="AI32" s="10">
        <v>462.1</v>
      </c>
      <c r="AJ32" s="10">
        <v>454</v>
      </c>
      <c r="AK32">
        <v>464.5</v>
      </c>
    </row>
    <row r="33" spans="1:37">
      <c r="A33" s="1">
        <v>32</v>
      </c>
      <c r="B33">
        <v>467.7</v>
      </c>
      <c r="C33">
        <v>467.7</v>
      </c>
      <c r="D33">
        <v>467.7</v>
      </c>
      <c r="E33">
        <v>473.5</v>
      </c>
      <c r="F33">
        <v>465.1</v>
      </c>
      <c r="G33">
        <v>465.1</v>
      </c>
      <c r="H33">
        <v>471.6</v>
      </c>
      <c r="I33">
        <v>474</v>
      </c>
      <c r="J33">
        <v>466.7</v>
      </c>
      <c r="K33">
        <v>467.8</v>
      </c>
      <c r="L33">
        <v>463.59999999999997</v>
      </c>
      <c r="M33">
        <v>465.59999999999997</v>
      </c>
      <c r="N33">
        <v>423.6</v>
      </c>
      <c r="O33">
        <v>462</v>
      </c>
      <c r="P33">
        <v>428.2</v>
      </c>
      <c r="Q33">
        <v>459</v>
      </c>
      <c r="R33">
        <v>459.3</v>
      </c>
      <c r="S33">
        <v>465</v>
      </c>
      <c r="T33">
        <v>469.3</v>
      </c>
      <c r="U33" s="10">
        <v>469.6</v>
      </c>
      <c r="V33">
        <v>457.6</v>
      </c>
      <c r="W33">
        <v>475.9</v>
      </c>
      <c r="X33">
        <v>459.3</v>
      </c>
      <c r="Y33">
        <v>452.8</v>
      </c>
      <c r="Z33">
        <v>473.9</v>
      </c>
      <c r="AA33" s="10">
        <v>447.7</v>
      </c>
      <c r="AB33">
        <v>463.5</v>
      </c>
      <c r="AC33" s="10">
        <v>481.6</v>
      </c>
      <c r="AD33" s="10">
        <v>469</v>
      </c>
      <c r="AE33">
        <v>460.6</v>
      </c>
      <c r="AF33" s="10">
        <v>464</v>
      </c>
      <c r="AG33" s="10">
        <v>462.7</v>
      </c>
      <c r="AH33">
        <v>459.6</v>
      </c>
      <c r="AI33" s="10">
        <v>459.1</v>
      </c>
      <c r="AJ33">
        <v>457.7</v>
      </c>
      <c r="AK33">
        <v>469.4</v>
      </c>
    </row>
    <row r="34" spans="1:37">
      <c r="A34" s="1">
        <v>33</v>
      </c>
      <c r="B34">
        <v>452.5</v>
      </c>
      <c r="C34">
        <v>481.6</v>
      </c>
      <c r="D34">
        <v>460.4</v>
      </c>
      <c r="E34">
        <v>444.6</v>
      </c>
      <c r="F34">
        <v>454.8</v>
      </c>
      <c r="G34">
        <v>469.2</v>
      </c>
      <c r="H34">
        <v>456.3</v>
      </c>
      <c r="I34">
        <v>479.5</v>
      </c>
      <c r="J34">
        <v>471.5</v>
      </c>
      <c r="K34">
        <v>462.8</v>
      </c>
      <c r="L34">
        <v>458.59999999999997</v>
      </c>
      <c r="M34">
        <v>467.29999999999995</v>
      </c>
      <c r="N34">
        <v>461.6</v>
      </c>
      <c r="O34">
        <v>459.1</v>
      </c>
      <c r="P34">
        <v>452.1</v>
      </c>
      <c r="Q34">
        <v>443.3</v>
      </c>
      <c r="R34">
        <v>460.7</v>
      </c>
      <c r="S34">
        <v>458.2</v>
      </c>
      <c r="T34" s="10">
        <v>466</v>
      </c>
      <c r="U34" s="10">
        <v>465.2</v>
      </c>
      <c r="V34">
        <v>453.5</v>
      </c>
      <c r="W34">
        <v>474.3</v>
      </c>
      <c r="X34">
        <v>472.1</v>
      </c>
      <c r="Y34">
        <v>466.7</v>
      </c>
      <c r="Z34">
        <v>463.7</v>
      </c>
      <c r="AA34" s="10">
        <v>460.5</v>
      </c>
      <c r="AB34">
        <v>456.3</v>
      </c>
      <c r="AC34" s="10">
        <v>451.7</v>
      </c>
      <c r="AD34" s="10">
        <v>468.2</v>
      </c>
      <c r="AE34">
        <v>465.9</v>
      </c>
      <c r="AF34" s="10">
        <v>464.1</v>
      </c>
      <c r="AG34" s="10">
        <v>462.1</v>
      </c>
      <c r="AH34">
        <v>458.6</v>
      </c>
      <c r="AI34" s="10">
        <v>450</v>
      </c>
      <c r="AJ34">
        <v>450.1</v>
      </c>
      <c r="AK34">
        <v>445.6</v>
      </c>
    </row>
    <row r="35" spans="1:37">
      <c r="A35" s="1">
        <v>34</v>
      </c>
      <c r="B35">
        <v>456.4</v>
      </c>
      <c r="C35">
        <v>456.2</v>
      </c>
      <c r="D35">
        <v>448.3</v>
      </c>
      <c r="E35">
        <v>440.3</v>
      </c>
      <c r="F35">
        <v>466.5</v>
      </c>
      <c r="G35">
        <v>461.3</v>
      </c>
      <c r="H35">
        <v>454.9</v>
      </c>
      <c r="I35">
        <v>473.1</v>
      </c>
      <c r="J35">
        <v>466.7</v>
      </c>
      <c r="K35">
        <v>464.5</v>
      </c>
      <c r="L35">
        <v>460.5</v>
      </c>
      <c r="M35">
        <v>475.09999999999997</v>
      </c>
      <c r="N35">
        <v>470.4</v>
      </c>
      <c r="O35">
        <v>464.9</v>
      </c>
      <c r="P35">
        <v>469.2</v>
      </c>
      <c r="Q35">
        <v>461</v>
      </c>
      <c r="R35">
        <v>456.8</v>
      </c>
      <c r="S35">
        <v>467.2</v>
      </c>
      <c r="T35">
        <v>456.6</v>
      </c>
      <c r="U35" s="10">
        <v>467.8</v>
      </c>
      <c r="V35">
        <v>463.8</v>
      </c>
      <c r="W35">
        <v>456</v>
      </c>
      <c r="X35">
        <v>470.3</v>
      </c>
      <c r="Y35">
        <v>465.2</v>
      </c>
      <c r="Z35">
        <v>461.7</v>
      </c>
      <c r="AA35" s="10">
        <v>453.8</v>
      </c>
      <c r="AB35">
        <v>461</v>
      </c>
      <c r="AC35" s="10">
        <v>454</v>
      </c>
      <c r="AD35" s="10">
        <v>468.2</v>
      </c>
      <c r="AE35">
        <v>466.4</v>
      </c>
      <c r="AF35" s="10">
        <v>458.3</v>
      </c>
      <c r="AG35" s="10">
        <v>463.8</v>
      </c>
      <c r="AH35">
        <v>459.1</v>
      </c>
      <c r="AI35" s="10">
        <v>469.2</v>
      </c>
      <c r="AJ35">
        <v>467.1</v>
      </c>
      <c r="AK35">
        <v>463.2</v>
      </c>
    </row>
    <row r="36" spans="1:37">
      <c r="A36" s="1">
        <v>35</v>
      </c>
      <c r="B36">
        <v>454.5</v>
      </c>
      <c r="C36">
        <v>467.3</v>
      </c>
      <c r="D36">
        <v>459.7</v>
      </c>
      <c r="E36">
        <v>450.8</v>
      </c>
      <c r="F36">
        <v>469</v>
      </c>
      <c r="G36">
        <v>459.9</v>
      </c>
      <c r="H36">
        <v>452.5</v>
      </c>
      <c r="I36">
        <v>465.9</v>
      </c>
      <c r="J36">
        <v>456.9</v>
      </c>
      <c r="K36">
        <v>450.90000000000003</v>
      </c>
      <c r="L36">
        <v>466.09999999999997</v>
      </c>
      <c r="M36">
        <v>460.4</v>
      </c>
      <c r="N36">
        <v>451</v>
      </c>
      <c r="O36">
        <v>446.4</v>
      </c>
      <c r="P36">
        <v>460.5</v>
      </c>
      <c r="Q36">
        <v>452.7</v>
      </c>
      <c r="R36">
        <v>458.6</v>
      </c>
      <c r="S36">
        <v>470.1</v>
      </c>
      <c r="T36">
        <v>465.7</v>
      </c>
      <c r="U36" s="10">
        <v>464.5</v>
      </c>
      <c r="V36">
        <v>458.5</v>
      </c>
      <c r="W36">
        <v>450.8</v>
      </c>
      <c r="X36">
        <v>462</v>
      </c>
      <c r="Y36">
        <v>455.8</v>
      </c>
      <c r="Z36">
        <v>451.7</v>
      </c>
      <c r="AA36" s="10">
        <v>479.2</v>
      </c>
      <c r="AB36">
        <v>473.1</v>
      </c>
      <c r="AC36" s="10">
        <v>468.1</v>
      </c>
      <c r="AD36" s="10">
        <v>460.3</v>
      </c>
      <c r="AE36">
        <v>466.7</v>
      </c>
      <c r="AF36" s="10">
        <v>461.6</v>
      </c>
      <c r="AG36" s="10">
        <v>468.1</v>
      </c>
      <c r="AH36">
        <v>466</v>
      </c>
      <c r="AI36" s="10">
        <v>456</v>
      </c>
      <c r="AJ36" s="10">
        <v>453</v>
      </c>
      <c r="AK36">
        <v>465.4</v>
      </c>
    </row>
    <row r="37" spans="1:37">
      <c r="A37" s="1">
        <v>36</v>
      </c>
      <c r="B37">
        <v>452.8</v>
      </c>
      <c r="C37">
        <v>475.2</v>
      </c>
      <c r="D37">
        <v>475.1</v>
      </c>
      <c r="E37">
        <v>468.7</v>
      </c>
      <c r="F37">
        <v>462.7</v>
      </c>
      <c r="G37">
        <v>453.8</v>
      </c>
      <c r="H37">
        <v>471.4</v>
      </c>
      <c r="I37">
        <v>461.7</v>
      </c>
      <c r="J37">
        <v>458.2</v>
      </c>
      <c r="K37">
        <v>452.3</v>
      </c>
      <c r="L37">
        <v>446.7</v>
      </c>
      <c r="M37">
        <v>464.9</v>
      </c>
      <c r="N37">
        <v>456</v>
      </c>
      <c r="O37">
        <v>463.9</v>
      </c>
      <c r="P37">
        <v>458.5</v>
      </c>
      <c r="Q37">
        <v>449.8</v>
      </c>
      <c r="R37">
        <v>464.5</v>
      </c>
      <c r="S37">
        <v>460.1</v>
      </c>
      <c r="T37">
        <v>456.6</v>
      </c>
      <c r="U37" s="10">
        <v>455.8</v>
      </c>
      <c r="V37">
        <v>470.8</v>
      </c>
      <c r="W37">
        <v>470.3</v>
      </c>
      <c r="X37">
        <v>468.1</v>
      </c>
      <c r="Y37">
        <v>467.7</v>
      </c>
      <c r="Z37">
        <v>467.1</v>
      </c>
      <c r="AA37" s="10">
        <v>466.4</v>
      </c>
      <c r="AB37">
        <v>466.1</v>
      </c>
      <c r="AC37" s="10">
        <v>462.4</v>
      </c>
      <c r="AD37" s="10">
        <v>461.5</v>
      </c>
      <c r="AE37">
        <v>460.7</v>
      </c>
      <c r="AF37" s="10">
        <v>460</v>
      </c>
      <c r="AG37" s="10">
        <v>453.5</v>
      </c>
      <c r="AH37">
        <v>452.7</v>
      </c>
      <c r="AI37" s="10">
        <v>461.3</v>
      </c>
      <c r="AJ37">
        <v>463.8</v>
      </c>
      <c r="AK37">
        <v>463.2</v>
      </c>
    </row>
    <row r="38" spans="1:37">
      <c r="A38" s="1">
        <v>37</v>
      </c>
      <c r="B38">
        <v>464.6</v>
      </c>
      <c r="C38">
        <v>470.4</v>
      </c>
      <c r="D38">
        <v>463.3</v>
      </c>
      <c r="E38">
        <v>475.2</v>
      </c>
      <c r="F38">
        <v>465.4</v>
      </c>
      <c r="G38">
        <v>461.6</v>
      </c>
      <c r="H38">
        <v>460.6</v>
      </c>
      <c r="I38">
        <v>457.7</v>
      </c>
      <c r="J38">
        <v>453.2</v>
      </c>
      <c r="K38">
        <v>451.40000000000003</v>
      </c>
      <c r="L38">
        <v>450.8</v>
      </c>
      <c r="M38">
        <v>458.9</v>
      </c>
      <c r="N38">
        <v>456.6</v>
      </c>
      <c r="O38">
        <v>452.8</v>
      </c>
      <c r="P38">
        <v>470.8</v>
      </c>
      <c r="Q38">
        <v>467.5</v>
      </c>
      <c r="R38">
        <v>466.5</v>
      </c>
      <c r="S38">
        <v>463.9</v>
      </c>
      <c r="T38">
        <v>463.2</v>
      </c>
      <c r="U38" s="10">
        <v>465.3</v>
      </c>
      <c r="V38">
        <v>461.7</v>
      </c>
      <c r="W38">
        <v>457.4</v>
      </c>
      <c r="X38">
        <v>456.5</v>
      </c>
      <c r="Y38">
        <v>454.3</v>
      </c>
      <c r="Z38">
        <v>452.1</v>
      </c>
      <c r="AA38" s="10">
        <v>450.9</v>
      </c>
      <c r="AB38">
        <v>466.8</v>
      </c>
      <c r="AC38" s="10">
        <v>462</v>
      </c>
      <c r="AD38" s="10">
        <v>461</v>
      </c>
      <c r="AE38">
        <v>460.2</v>
      </c>
      <c r="AF38" s="10">
        <v>465.8</v>
      </c>
      <c r="AG38" s="10">
        <v>464.9</v>
      </c>
      <c r="AH38">
        <v>462.9</v>
      </c>
      <c r="AI38" s="10">
        <v>458.7</v>
      </c>
      <c r="AJ38">
        <v>460.7</v>
      </c>
      <c r="AK38">
        <v>459.9</v>
      </c>
    </row>
    <row r="39" spans="1:37">
      <c r="A39" s="1">
        <v>38</v>
      </c>
      <c r="B39">
        <v>459.7</v>
      </c>
      <c r="C39">
        <v>465.8</v>
      </c>
      <c r="D39">
        <v>465.8</v>
      </c>
      <c r="E39">
        <v>452.6</v>
      </c>
      <c r="F39">
        <v>453</v>
      </c>
      <c r="G39">
        <v>469.1</v>
      </c>
      <c r="H39">
        <v>460.6</v>
      </c>
      <c r="I39">
        <v>473</v>
      </c>
      <c r="J39">
        <v>464.8</v>
      </c>
      <c r="K39">
        <v>457.2</v>
      </c>
      <c r="L39">
        <v>466.4</v>
      </c>
      <c r="M39">
        <v>458.9</v>
      </c>
      <c r="N39">
        <v>446.9</v>
      </c>
      <c r="O39">
        <v>463.4</v>
      </c>
      <c r="P39">
        <v>467.7</v>
      </c>
      <c r="Q39">
        <v>457.9</v>
      </c>
      <c r="R39">
        <v>462.9</v>
      </c>
      <c r="S39">
        <v>472.1</v>
      </c>
      <c r="T39">
        <v>471.7</v>
      </c>
      <c r="U39" s="10">
        <v>467.7</v>
      </c>
      <c r="V39">
        <v>460.7</v>
      </c>
      <c r="W39">
        <v>453.5</v>
      </c>
      <c r="X39">
        <v>466.6</v>
      </c>
      <c r="Y39">
        <v>461.1</v>
      </c>
      <c r="Z39">
        <v>455.7</v>
      </c>
      <c r="AA39" s="10">
        <v>449.3</v>
      </c>
      <c r="AB39">
        <v>470.5</v>
      </c>
      <c r="AC39" s="10">
        <v>466.4</v>
      </c>
      <c r="AD39" s="10">
        <v>461.4</v>
      </c>
      <c r="AE39">
        <v>455.8</v>
      </c>
      <c r="AF39" s="10">
        <v>468.5</v>
      </c>
      <c r="AG39" s="10">
        <v>465.9</v>
      </c>
      <c r="AH39">
        <v>461.1</v>
      </c>
      <c r="AI39" s="10">
        <v>454</v>
      </c>
      <c r="AJ39">
        <v>454.2</v>
      </c>
      <c r="AK39">
        <v>449.7</v>
      </c>
    </row>
    <row r="40" spans="1:37">
      <c r="A40" s="1">
        <v>39</v>
      </c>
      <c r="B40">
        <v>450.4</v>
      </c>
      <c r="C40">
        <v>473.3</v>
      </c>
      <c r="D40">
        <v>462</v>
      </c>
      <c r="E40">
        <v>468.6</v>
      </c>
      <c r="F40">
        <v>465.5</v>
      </c>
      <c r="G40">
        <v>465.9</v>
      </c>
      <c r="H40">
        <v>472.2</v>
      </c>
      <c r="I40">
        <v>468</v>
      </c>
      <c r="J40">
        <v>468.2</v>
      </c>
      <c r="K40">
        <v>459.6</v>
      </c>
      <c r="L40">
        <v>463.5</v>
      </c>
      <c r="M40">
        <v>462.9</v>
      </c>
      <c r="N40">
        <v>427.5</v>
      </c>
      <c r="O40">
        <v>466.3</v>
      </c>
      <c r="P40">
        <v>462.1</v>
      </c>
      <c r="Q40">
        <v>467.9</v>
      </c>
      <c r="R40">
        <v>439.1</v>
      </c>
      <c r="S40">
        <v>463.4</v>
      </c>
      <c r="T40">
        <v>458.2</v>
      </c>
      <c r="U40" s="10">
        <v>465.9</v>
      </c>
      <c r="V40">
        <v>458.4</v>
      </c>
      <c r="W40">
        <v>476.4</v>
      </c>
      <c r="X40">
        <v>468.4</v>
      </c>
      <c r="Y40">
        <v>457</v>
      </c>
      <c r="Z40">
        <v>448.2</v>
      </c>
      <c r="AA40" s="10">
        <v>440.1</v>
      </c>
      <c r="AB40">
        <v>470</v>
      </c>
      <c r="AC40" s="10">
        <v>475.1</v>
      </c>
      <c r="AD40" s="10">
        <v>467</v>
      </c>
      <c r="AE40">
        <v>454.7</v>
      </c>
      <c r="AF40" s="10">
        <v>449.7</v>
      </c>
      <c r="AG40" s="10">
        <v>462.2</v>
      </c>
      <c r="AH40">
        <v>455.7</v>
      </c>
      <c r="AI40" s="10">
        <v>462.5</v>
      </c>
      <c r="AJ40">
        <v>464.6</v>
      </c>
      <c r="AK40">
        <v>473.3</v>
      </c>
    </row>
    <row r="41" spans="1:37">
      <c r="A41" s="1">
        <v>40</v>
      </c>
      <c r="B41">
        <v>449.1</v>
      </c>
      <c r="C41">
        <v>472.5</v>
      </c>
      <c r="D41">
        <v>461.8</v>
      </c>
      <c r="E41">
        <v>465.7</v>
      </c>
      <c r="F41">
        <v>460.8</v>
      </c>
      <c r="G41">
        <v>467.9</v>
      </c>
      <c r="H41">
        <v>472.8</v>
      </c>
      <c r="I41">
        <v>467.3</v>
      </c>
      <c r="J41">
        <v>467.2</v>
      </c>
      <c r="K41">
        <v>465.2</v>
      </c>
      <c r="L41">
        <v>469.9</v>
      </c>
      <c r="M41">
        <v>464.9</v>
      </c>
      <c r="N41">
        <v>386.2</v>
      </c>
      <c r="O41">
        <v>464.2</v>
      </c>
      <c r="P41">
        <v>460.7</v>
      </c>
      <c r="Q41">
        <v>469</v>
      </c>
      <c r="R41">
        <v>455.7</v>
      </c>
      <c r="S41">
        <v>459.1</v>
      </c>
      <c r="T41">
        <v>456.3</v>
      </c>
      <c r="U41" s="10">
        <v>464.1</v>
      </c>
      <c r="V41">
        <v>468.7</v>
      </c>
      <c r="W41">
        <v>481.1</v>
      </c>
      <c r="X41">
        <v>468.2</v>
      </c>
      <c r="Y41">
        <v>470.1</v>
      </c>
      <c r="Z41">
        <v>484.8</v>
      </c>
      <c r="AA41" s="10">
        <v>457.7</v>
      </c>
      <c r="AB41">
        <v>466.8</v>
      </c>
      <c r="AC41" s="10">
        <v>479.9</v>
      </c>
      <c r="AD41" s="10">
        <v>468.4</v>
      </c>
      <c r="AE41">
        <v>460.6</v>
      </c>
      <c r="AF41" s="10">
        <v>460.4</v>
      </c>
      <c r="AG41" s="10">
        <v>463.9</v>
      </c>
      <c r="AH41">
        <v>463.7</v>
      </c>
      <c r="AI41" s="10">
        <v>462.2</v>
      </c>
      <c r="AJ41">
        <v>475.1</v>
      </c>
      <c r="AK41">
        <v>467.3</v>
      </c>
    </row>
    <row r="42" spans="1:37">
      <c r="A42" s="1">
        <v>41</v>
      </c>
      <c r="B42">
        <v>461.1</v>
      </c>
      <c r="C42">
        <v>450</v>
      </c>
      <c r="D42">
        <v>468.6</v>
      </c>
      <c r="E42">
        <v>468.6</v>
      </c>
      <c r="F42">
        <v>470.1</v>
      </c>
      <c r="G42">
        <v>470.1</v>
      </c>
      <c r="H42">
        <v>469.6</v>
      </c>
      <c r="I42">
        <v>469.2</v>
      </c>
      <c r="J42">
        <v>468.8</v>
      </c>
      <c r="K42">
        <v>468.2</v>
      </c>
      <c r="L42">
        <v>467.9</v>
      </c>
      <c r="M42">
        <v>467.5</v>
      </c>
      <c r="N42">
        <v>466.4</v>
      </c>
      <c r="O42">
        <v>465.9</v>
      </c>
      <c r="P42">
        <v>465.3</v>
      </c>
      <c r="Q42">
        <v>459.5</v>
      </c>
      <c r="R42">
        <v>455.7</v>
      </c>
      <c r="S42">
        <v>454.5</v>
      </c>
      <c r="T42">
        <v>453.7</v>
      </c>
      <c r="U42" s="10">
        <v>455</v>
      </c>
      <c r="V42">
        <v>454.4</v>
      </c>
      <c r="W42">
        <v>453.1</v>
      </c>
      <c r="X42">
        <v>466.7</v>
      </c>
      <c r="Y42">
        <v>463.4</v>
      </c>
      <c r="Z42">
        <v>462.8</v>
      </c>
      <c r="AA42" s="10">
        <v>459.9</v>
      </c>
      <c r="AB42">
        <v>459.6</v>
      </c>
      <c r="AC42" s="10">
        <v>456.7</v>
      </c>
      <c r="AD42" s="10">
        <v>452.5</v>
      </c>
      <c r="AE42">
        <v>451.7</v>
      </c>
      <c r="AF42" s="10">
        <v>464.3</v>
      </c>
      <c r="AG42" s="10">
        <v>463.8</v>
      </c>
      <c r="AH42">
        <v>463</v>
      </c>
      <c r="AI42" s="10">
        <v>464.9</v>
      </c>
      <c r="AJ42">
        <v>467.5</v>
      </c>
      <c r="AK42">
        <v>466.9</v>
      </c>
    </row>
    <row r="43" spans="1:37">
      <c r="A43" s="1">
        <v>42</v>
      </c>
      <c r="B43">
        <v>467.6</v>
      </c>
      <c r="C43">
        <v>458.6</v>
      </c>
      <c r="D43">
        <v>465.3</v>
      </c>
      <c r="E43">
        <v>465.3</v>
      </c>
      <c r="F43">
        <v>458.4</v>
      </c>
      <c r="G43">
        <v>470.1</v>
      </c>
      <c r="H43">
        <v>460.1</v>
      </c>
      <c r="I43">
        <v>475.4</v>
      </c>
      <c r="J43">
        <v>467</v>
      </c>
      <c r="K43">
        <v>457.40000000000003</v>
      </c>
      <c r="L43">
        <v>465.8</v>
      </c>
      <c r="M43">
        <v>455.5</v>
      </c>
      <c r="N43">
        <v>447.3</v>
      </c>
      <c r="O43">
        <v>460.4</v>
      </c>
      <c r="P43">
        <v>463.8</v>
      </c>
      <c r="Q43">
        <v>451.8</v>
      </c>
      <c r="R43">
        <v>461.7</v>
      </c>
      <c r="S43">
        <v>453.4</v>
      </c>
      <c r="T43" s="10">
        <v>462</v>
      </c>
      <c r="U43" s="10">
        <v>459.4</v>
      </c>
      <c r="V43">
        <v>448.7</v>
      </c>
      <c r="W43">
        <v>485.9</v>
      </c>
      <c r="X43">
        <v>477.7</v>
      </c>
      <c r="Y43">
        <v>476.1</v>
      </c>
      <c r="Z43">
        <v>471</v>
      </c>
      <c r="AA43" s="10">
        <v>466</v>
      </c>
      <c r="AB43">
        <v>463.1</v>
      </c>
      <c r="AC43" s="10">
        <v>458.9</v>
      </c>
      <c r="AD43" s="10">
        <v>455.8</v>
      </c>
      <c r="AE43">
        <v>463.8</v>
      </c>
      <c r="AF43" s="10">
        <v>459.3</v>
      </c>
      <c r="AG43" s="10">
        <v>467.2</v>
      </c>
      <c r="AH43">
        <v>464.1</v>
      </c>
      <c r="AI43" s="10">
        <v>457.6</v>
      </c>
      <c r="AJ43">
        <v>455.3</v>
      </c>
      <c r="AK43">
        <v>462.6</v>
      </c>
    </row>
    <row r="44" spans="1:37">
      <c r="A44" s="1">
        <v>43</v>
      </c>
      <c r="B44">
        <v>461.9</v>
      </c>
      <c r="C44">
        <v>451.8</v>
      </c>
      <c r="D44">
        <v>451.8</v>
      </c>
      <c r="E44">
        <v>451.8</v>
      </c>
      <c r="F44">
        <v>457.6</v>
      </c>
      <c r="G44">
        <v>451.2</v>
      </c>
      <c r="H44">
        <v>472.6</v>
      </c>
      <c r="I44">
        <v>472.5</v>
      </c>
      <c r="J44">
        <v>468.7</v>
      </c>
      <c r="K44">
        <v>463.2</v>
      </c>
      <c r="L44">
        <v>455.4</v>
      </c>
      <c r="M44">
        <v>466.59999999999997</v>
      </c>
      <c r="N44">
        <v>462.5</v>
      </c>
      <c r="O44">
        <v>459.7</v>
      </c>
      <c r="P44">
        <v>451.9</v>
      </c>
      <c r="Q44">
        <v>443.4</v>
      </c>
      <c r="R44">
        <v>459.1</v>
      </c>
      <c r="S44">
        <v>469.2</v>
      </c>
      <c r="T44">
        <v>464.2</v>
      </c>
      <c r="U44" s="10">
        <v>461.8</v>
      </c>
      <c r="V44">
        <v>457</v>
      </c>
      <c r="W44">
        <v>451.9</v>
      </c>
      <c r="X44">
        <v>466.1</v>
      </c>
      <c r="Y44">
        <v>464.1</v>
      </c>
      <c r="Z44">
        <v>462.8</v>
      </c>
      <c r="AA44" s="10">
        <v>455.6</v>
      </c>
      <c r="AB44">
        <v>451.4</v>
      </c>
      <c r="AC44" s="10">
        <v>446.1</v>
      </c>
      <c r="AD44" s="10">
        <v>462.5</v>
      </c>
      <c r="AE44">
        <v>460.5</v>
      </c>
      <c r="AF44" s="10">
        <v>457.5</v>
      </c>
      <c r="AG44" s="10">
        <v>461.4</v>
      </c>
      <c r="AH44">
        <v>455.3</v>
      </c>
      <c r="AI44" s="10">
        <v>447.8</v>
      </c>
      <c r="AJ44">
        <v>445.8</v>
      </c>
      <c r="AK44">
        <v>463.8</v>
      </c>
    </row>
    <row r="45" spans="1:37">
      <c r="A45" s="1">
        <v>44</v>
      </c>
      <c r="B45">
        <v>475.2</v>
      </c>
      <c r="C45">
        <v>456.3</v>
      </c>
      <c r="D45">
        <v>448.2</v>
      </c>
      <c r="E45">
        <v>444.3</v>
      </c>
      <c r="F45">
        <v>466.8</v>
      </c>
      <c r="G45">
        <v>461.6</v>
      </c>
      <c r="H45">
        <v>458.4</v>
      </c>
      <c r="I45">
        <v>466.3</v>
      </c>
      <c r="J45">
        <v>460.6</v>
      </c>
      <c r="K45">
        <v>455.8</v>
      </c>
      <c r="L45">
        <v>451.5</v>
      </c>
      <c r="M45">
        <v>467.09999999999997</v>
      </c>
      <c r="N45">
        <v>457.3</v>
      </c>
      <c r="O45">
        <v>449.6</v>
      </c>
      <c r="P45">
        <v>464.9</v>
      </c>
      <c r="Q45">
        <v>454.5</v>
      </c>
      <c r="R45">
        <v>449.8</v>
      </c>
      <c r="S45">
        <v>454</v>
      </c>
      <c r="T45">
        <v>466.7</v>
      </c>
      <c r="U45" s="10">
        <v>460.5</v>
      </c>
      <c r="V45">
        <v>454.5</v>
      </c>
      <c r="W45">
        <v>450</v>
      </c>
      <c r="X45">
        <v>467.2</v>
      </c>
      <c r="Y45">
        <v>464.3</v>
      </c>
      <c r="Z45">
        <v>461.9</v>
      </c>
      <c r="AA45" s="10">
        <v>455.9</v>
      </c>
      <c r="AB45">
        <v>454.4</v>
      </c>
      <c r="AC45" s="10">
        <v>449.8</v>
      </c>
      <c r="AD45" s="10">
        <v>465.7</v>
      </c>
      <c r="AE45">
        <v>462.8</v>
      </c>
      <c r="AF45" s="10">
        <v>459.9</v>
      </c>
      <c r="AG45" s="10">
        <v>467.1</v>
      </c>
      <c r="AH45">
        <v>464.5</v>
      </c>
      <c r="AI45" s="10">
        <v>459.2</v>
      </c>
      <c r="AJ45" s="10">
        <v>461</v>
      </c>
      <c r="AK45" s="10">
        <v>458</v>
      </c>
    </row>
    <row r="46" spans="1:37">
      <c r="A46" s="1">
        <v>45</v>
      </c>
      <c r="B46">
        <v>464.6</v>
      </c>
      <c r="C46">
        <v>472.3</v>
      </c>
      <c r="D46">
        <v>452.9</v>
      </c>
      <c r="E46">
        <v>470.6</v>
      </c>
      <c r="F46">
        <v>460.5</v>
      </c>
      <c r="G46">
        <v>473.4</v>
      </c>
      <c r="H46">
        <v>461.5</v>
      </c>
      <c r="I46">
        <v>467.6</v>
      </c>
      <c r="J46">
        <v>453.6</v>
      </c>
      <c r="K46">
        <v>465.2</v>
      </c>
      <c r="L46">
        <v>457.3</v>
      </c>
      <c r="M46">
        <v>470.2</v>
      </c>
      <c r="N46">
        <v>459.7</v>
      </c>
      <c r="O46">
        <v>452.5</v>
      </c>
      <c r="P46">
        <v>463.5</v>
      </c>
      <c r="Q46">
        <v>464.8</v>
      </c>
      <c r="R46">
        <v>456.4</v>
      </c>
      <c r="S46">
        <v>469.4</v>
      </c>
      <c r="T46">
        <v>464.4</v>
      </c>
      <c r="U46" s="10">
        <v>467.6</v>
      </c>
      <c r="V46">
        <v>456.1</v>
      </c>
      <c r="W46">
        <v>478.1</v>
      </c>
      <c r="X46">
        <v>472.8</v>
      </c>
      <c r="Y46">
        <v>462.4</v>
      </c>
      <c r="Z46">
        <v>476.6</v>
      </c>
      <c r="AA46" s="10">
        <v>469.7</v>
      </c>
      <c r="AB46">
        <v>458.9</v>
      </c>
      <c r="AC46" s="10">
        <v>473.1</v>
      </c>
      <c r="AD46" s="10">
        <v>464.7</v>
      </c>
      <c r="AE46">
        <v>464.5</v>
      </c>
      <c r="AF46" s="10">
        <v>456.6</v>
      </c>
      <c r="AG46" s="10">
        <v>461.4</v>
      </c>
      <c r="AH46">
        <v>454.8</v>
      </c>
      <c r="AI46" s="10">
        <v>458.6</v>
      </c>
      <c r="AJ46">
        <v>456.9</v>
      </c>
      <c r="AK46">
        <v>463.4</v>
      </c>
    </row>
    <row r="47" spans="1:37">
      <c r="A47" s="1">
        <v>46</v>
      </c>
      <c r="B47">
        <v>460.2</v>
      </c>
      <c r="C47">
        <v>456.1</v>
      </c>
      <c r="D47">
        <v>456.1</v>
      </c>
      <c r="E47">
        <v>451.7</v>
      </c>
      <c r="F47">
        <v>463.5</v>
      </c>
      <c r="G47">
        <v>454.5</v>
      </c>
      <c r="H47">
        <v>474.6</v>
      </c>
      <c r="I47">
        <v>474.6</v>
      </c>
      <c r="J47">
        <v>472.8</v>
      </c>
      <c r="K47">
        <v>472.1</v>
      </c>
      <c r="L47">
        <v>471.59999999999997</v>
      </c>
      <c r="M47">
        <v>471</v>
      </c>
      <c r="N47">
        <v>468.9</v>
      </c>
      <c r="O47">
        <v>466.2</v>
      </c>
      <c r="P47">
        <v>464.5</v>
      </c>
      <c r="Q47">
        <v>458.4</v>
      </c>
      <c r="R47">
        <v>457.3</v>
      </c>
      <c r="S47">
        <v>467.1</v>
      </c>
      <c r="T47">
        <v>466.4</v>
      </c>
      <c r="U47" s="10">
        <v>468.4</v>
      </c>
      <c r="V47">
        <v>467.6</v>
      </c>
      <c r="W47">
        <v>466.1</v>
      </c>
      <c r="X47">
        <v>475.5</v>
      </c>
      <c r="Y47">
        <v>474.9</v>
      </c>
      <c r="Z47">
        <v>474.2</v>
      </c>
      <c r="AA47" s="10">
        <v>471.2</v>
      </c>
      <c r="AB47">
        <v>470.6</v>
      </c>
      <c r="AC47" s="10">
        <v>469.3</v>
      </c>
      <c r="AD47" s="10">
        <v>468.5</v>
      </c>
      <c r="AE47">
        <v>467.7</v>
      </c>
      <c r="AF47" s="10">
        <v>475.6</v>
      </c>
      <c r="AG47" s="10">
        <v>475</v>
      </c>
      <c r="AH47">
        <v>474.1</v>
      </c>
      <c r="AI47" s="10">
        <v>470</v>
      </c>
      <c r="AJ47">
        <v>470.4</v>
      </c>
      <c r="AK47">
        <v>469.7</v>
      </c>
    </row>
    <row r="48" spans="1:37">
      <c r="A48" s="1">
        <v>47</v>
      </c>
      <c r="B48">
        <v>463.3</v>
      </c>
      <c r="C48">
        <v>465.2</v>
      </c>
      <c r="D48">
        <v>447.5</v>
      </c>
      <c r="E48">
        <v>460.9</v>
      </c>
      <c r="F48">
        <v>462.5</v>
      </c>
      <c r="G48">
        <v>462.8</v>
      </c>
      <c r="H48">
        <v>470</v>
      </c>
      <c r="I48">
        <v>465.4</v>
      </c>
      <c r="J48">
        <v>453.4</v>
      </c>
      <c r="K48">
        <v>457</v>
      </c>
      <c r="L48">
        <v>451.4</v>
      </c>
      <c r="M48">
        <v>464.7</v>
      </c>
      <c r="N48">
        <v>444.4</v>
      </c>
      <c r="O48">
        <v>464.2</v>
      </c>
      <c r="P48">
        <v>462.4</v>
      </c>
      <c r="Q48">
        <v>443.6</v>
      </c>
      <c r="R48">
        <v>462.2</v>
      </c>
      <c r="S48">
        <v>464.9</v>
      </c>
      <c r="T48">
        <v>463.6</v>
      </c>
      <c r="U48" s="10">
        <v>460.3</v>
      </c>
      <c r="V48">
        <v>454.3</v>
      </c>
      <c r="W48">
        <v>473.2</v>
      </c>
      <c r="X48">
        <v>456.2</v>
      </c>
      <c r="Y48">
        <v>470.9</v>
      </c>
      <c r="Z48">
        <v>456.5</v>
      </c>
      <c r="AA48" s="10">
        <v>464.9</v>
      </c>
      <c r="AB48">
        <v>464.3</v>
      </c>
      <c r="AC48" s="10">
        <v>451.2</v>
      </c>
      <c r="AD48" s="10">
        <v>463.1</v>
      </c>
      <c r="AE48">
        <v>460.7</v>
      </c>
      <c r="AF48" s="10">
        <v>460.3</v>
      </c>
      <c r="AG48" s="10">
        <v>467.9</v>
      </c>
      <c r="AH48">
        <v>454.2</v>
      </c>
      <c r="AI48" s="10">
        <v>459.8</v>
      </c>
      <c r="AJ48">
        <v>473.5</v>
      </c>
      <c r="AK48">
        <v>457.1</v>
      </c>
    </row>
    <row r="49" spans="1:37">
      <c r="A49" s="1">
        <v>48</v>
      </c>
      <c r="B49">
        <v>463.6</v>
      </c>
      <c r="C49">
        <v>463.4</v>
      </c>
      <c r="D49">
        <v>463.4</v>
      </c>
      <c r="E49">
        <v>431.9</v>
      </c>
      <c r="F49">
        <v>472</v>
      </c>
      <c r="G49">
        <v>473.6</v>
      </c>
      <c r="H49">
        <v>457.4</v>
      </c>
      <c r="I49">
        <v>464.6</v>
      </c>
      <c r="J49">
        <v>469.4</v>
      </c>
      <c r="K49">
        <v>472.6</v>
      </c>
      <c r="L49">
        <v>456.5</v>
      </c>
      <c r="M49">
        <v>466.2</v>
      </c>
      <c r="N49">
        <v>452</v>
      </c>
      <c r="O49">
        <v>465.1</v>
      </c>
      <c r="P49">
        <v>467.4</v>
      </c>
      <c r="Q49">
        <v>454.1</v>
      </c>
      <c r="R49">
        <v>463.1</v>
      </c>
      <c r="S49">
        <v>469.9</v>
      </c>
      <c r="T49">
        <v>468.6</v>
      </c>
      <c r="U49" s="10">
        <v>464</v>
      </c>
      <c r="V49">
        <v>448.7</v>
      </c>
      <c r="W49">
        <v>478.6</v>
      </c>
      <c r="X49">
        <v>467.3</v>
      </c>
      <c r="Y49">
        <v>460.9</v>
      </c>
      <c r="Z49">
        <v>452.4</v>
      </c>
      <c r="AA49" s="10">
        <v>471.8</v>
      </c>
      <c r="AB49">
        <v>461.7</v>
      </c>
      <c r="AC49" s="10">
        <v>473</v>
      </c>
      <c r="AD49" s="10">
        <v>463.3</v>
      </c>
      <c r="AE49">
        <v>458.3</v>
      </c>
      <c r="AF49" s="10">
        <v>462.5</v>
      </c>
      <c r="AG49" s="10">
        <v>470.9</v>
      </c>
      <c r="AH49">
        <v>459.8</v>
      </c>
      <c r="AI49" s="10">
        <v>463.7</v>
      </c>
      <c r="AJ49">
        <v>459.7</v>
      </c>
      <c r="AK49">
        <v>471.5</v>
      </c>
    </row>
    <row r="50" spans="1:37">
      <c r="A50" s="1">
        <v>49</v>
      </c>
      <c r="B50">
        <v>482.9</v>
      </c>
      <c r="C50">
        <v>475.1</v>
      </c>
      <c r="D50">
        <v>475.1</v>
      </c>
      <c r="E50">
        <v>441.2</v>
      </c>
      <c r="F50">
        <v>466.7</v>
      </c>
      <c r="G50">
        <v>472.3</v>
      </c>
      <c r="H50">
        <v>473.9</v>
      </c>
      <c r="I50">
        <v>455.5</v>
      </c>
      <c r="J50">
        <v>474.7</v>
      </c>
      <c r="K50">
        <v>468.8</v>
      </c>
      <c r="L50">
        <v>463.59999999999997</v>
      </c>
      <c r="M50">
        <v>473.79999999999995</v>
      </c>
      <c r="N50">
        <v>446.2</v>
      </c>
      <c r="O50">
        <v>466.3</v>
      </c>
      <c r="P50">
        <v>463.9</v>
      </c>
      <c r="Q50">
        <v>453.1</v>
      </c>
      <c r="R50">
        <v>466.7</v>
      </c>
      <c r="S50">
        <v>460.8</v>
      </c>
      <c r="T50">
        <v>466.6</v>
      </c>
      <c r="U50" s="10">
        <v>452.9</v>
      </c>
      <c r="V50">
        <v>448.9</v>
      </c>
      <c r="W50">
        <v>476.9</v>
      </c>
      <c r="X50">
        <v>462.2</v>
      </c>
      <c r="Y50">
        <v>476.9</v>
      </c>
      <c r="Z50">
        <v>456.8</v>
      </c>
      <c r="AA50" s="10">
        <v>469.5</v>
      </c>
      <c r="AB50">
        <v>465.6</v>
      </c>
      <c r="AC50" s="10">
        <v>477.5</v>
      </c>
      <c r="AD50" s="10">
        <v>463.2</v>
      </c>
      <c r="AE50">
        <v>464</v>
      </c>
      <c r="AF50" s="10">
        <v>459.3</v>
      </c>
      <c r="AG50" s="10">
        <v>463</v>
      </c>
      <c r="AH50">
        <v>470.3</v>
      </c>
      <c r="AI50" s="10">
        <v>459.9</v>
      </c>
      <c r="AJ50">
        <v>469.3</v>
      </c>
      <c r="AK50">
        <v>465.9</v>
      </c>
    </row>
    <row r="51" spans="1:37">
      <c r="A51" s="1">
        <v>50</v>
      </c>
      <c r="B51">
        <v>461.8</v>
      </c>
      <c r="C51">
        <v>470.8</v>
      </c>
      <c r="D51">
        <v>470.7</v>
      </c>
      <c r="E51">
        <v>456.3</v>
      </c>
      <c r="F51">
        <v>470.2</v>
      </c>
      <c r="G51">
        <v>466.1</v>
      </c>
      <c r="H51">
        <v>453.6</v>
      </c>
      <c r="I51">
        <v>469.5</v>
      </c>
      <c r="J51">
        <v>463.8</v>
      </c>
      <c r="K51">
        <v>467.8</v>
      </c>
      <c r="L51">
        <v>471</v>
      </c>
      <c r="M51">
        <v>457</v>
      </c>
      <c r="N51">
        <v>448.3</v>
      </c>
      <c r="O51">
        <v>466.1</v>
      </c>
      <c r="P51">
        <v>464.1</v>
      </c>
      <c r="Q51">
        <v>447.7</v>
      </c>
      <c r="R51">
        <v>462</v>
      </c>
      <c r="S51">
        <v>463.2</v>
      </c>
      <c r="T51">
        <v>465.1</v>
      </c>
      <c r="U51" s="10">
        <v>464.3</v>
      </c>
      <c r="V51">
        <v>447.5</v>
      </c>
      <c r="W51">
        <v>478.6</v>
      </c>
      <c r="X51">
        <v>460.6</v>
      </c>
      <c r="Y51">
        <v>445.5</v>
      </c>
      <c r="Z51">
        <v>479.6</v>
      </c>
      <c r="AA51" s="10">
        <v>454.4</v>
      </c>
      <c r="AB51">
        <v>460.9</v>
      </c>
      <c r="AC51" s="10">
        <v>478.3</v>
      </c>
      <c r="AD51" s="10">
        <v>452.5</v>
      </c>
      <c r="AE51">
        <v>464</v>
      </c>
      <c r="AF51" s="10">
        <v>465.9</v>
      </c>
      <c r="AG51" s="10">
        <v>462.5</v>
      </c>
      <c r="AH51">
        <v>447.6</v>
      </c>
      <c r="AI51" s="10">
        <v>453.9</v>
      </c>
      <c r="AJ51">
        <v>469.6</v>
      </c>
      <c r="AK51">
        <v>453.2</v>
      </c>
    </row>
    <row r="52" spans="1:37">
      <c r="A52" s="1">
        <v>51</v>
      </c>
      <c r="B52">
        <v>465.8</v>
      </c>
      <c r="C52">
        <v>455.2</v>
      </c>
      <c r="D52">
        <v>455.2</v>
      </c>
      <c r="E52">
        <v>455.2</v>
      </c>
      <c r="F52">
        <v>464.8</v>
      </c>
      <c r="G52">
        <v>459</v>
      </c>
      <c r="H52">
        <v>455.6</v>
      </c>
      <c r="I52">
        <v>470.9</v>
      </c>
      <c r="J52">
        <v>466.9</v>
      </c>
      <c r="K52">
        <v>464.2</v>
      </c>
      <c r="L52">
        <v>471.4</v>
      </c>
      <c r="M52">
        <v>467.59999999999997</v>
      </c>
      <c r="N52">
        <v>463.3</v>
      </c>
      <c r="O52">
        <v>457.6</v>
      </c>
      <c r="P52">
        <v>454.8</v>
      </c>
      <c r="Q52">
        <v>449</v>
      </c>
      <c r="R52">
        <v>468.2</v>
      </c>
      <c r="S52">
        <v>464</v>
      </c>
      <c r="T52">
        <v>460.6</v>
      </c>
      <c r="U52" s="10">
        <v>460.2</v>
      </c>
      <c r="V52">
        <v>458.5</v>
      </c>
      <c r="W52">
        <v>468.4</v>
      </c>
      <c r="X52">
        <v>463.3</v>
      </c>
      <c r="Y52">
        <v>461.5</v>
      </c>
      <c r="Z52">
        <v>459.7</v>
      </c>
      <c r="AA52" s="10">
        <v>455.7</v>
      </c>
      <c r="AB52">
        <v>455.3</v>
      </c>
      <c r="AC52" s="10">
        <v>478.4</v>
      </c>
      <c r="AD52" s="10">
        <v>475.4</v>
      </c>
      <c r="AE52">
        <v>474.2</v>
      </c>
      <c r="AF52" s="10">
        <v>471.1</v>
      </c>
      <c r="AG52" s="10">
        <v>466.5</v>
      </c>
      <c r="AH52">
        <v>464.7</v>
      </c>
      <c r="AI52" s="10">
        <v>459.3</v>
      </c>
      <c r="AJ52" s="10">
        <v>459</v>
      </c>
      <c r="AK52" s="10">
        <v>457</v>
      </c>
    </row>
    <row r="53" spans="1:37">
      <c r="A53" s="1">
        <v>52</v>
      </c>
      <c r="B53">
        <v>466.4</v>
      </c>
      <c r="C53">
        <v>459.1</v>
      </c>
      <c r="D53">
        <v>474.5</v>
      </c>
      <c r="E53">
        <v>474.5</v>
      </c>
      <c r="F53">
        <v>464.7</v>
      </c>
      <c r="G53">
        <v>458.6</v>
      </c>
      <c r="H53">
        <v>450.5</v>
      </c>
      <c r="I53">
        <v>468.9</v>
      </c>
      <c r="J53">
        <v>464.5</v>
      </c>
      <c r="K53">
        <v>456.40000000000003</v>
      </c>
      <c r="L53">
        <v>472.3</v>
      </c>
      <c r="M53">
        <v>469.09999999999997</v>
      </c>
      <c r="N53">
        <v>464.7</v>
      </c>
      <c r="O53">
        <v>462</v>
      </c>
      <c r="P53">
        <v>465.2</v>
      </c>
      <c r="Q53">
        <v>457.7</v>
      </c>
      <c r="R53">
        <v>450.9</v>
      </c>
      <c r="S53">
        <v>466.2</v>
      </c>
      <c r="T53">
        <v>461.6</v>
      </c>
      <c r="U53" s="10">
        <v>457.6</v>
      </c>
      <c r="V53">
        <v>451.7</v>
      </c>
      <c r="W53">
        <v>468.8</v>
      </c>
      <c r="X53">
        <v>464.3</v>
      </c>
      <c r="Y53">
        <v>463.7</v>
      </c>
      <c r="Z53">
        <v>460</v>
      </c>
      <c r="AA53" s="10">
        <v>455.4</v>
      </c>
      <c r="AB53">
        <v>464.1</v>
      </c>
      <c r="AC53" s="10">
        <v>458.8</v>
      </c>
      <c r="AD53" s="10">
        <v>451.6</v>
      </c>
      <c r="AE53">
        <v>463.6</v>
      </c>
      <c r="AF53" s="10">
        <v>458.3</v>
      </c>
      <c r="AG53" s="10">
        <v>466.5</v>
      </c>
      <c r="AH53">
        <v>458.2</v>
      </c>
      <c r="AI53" s="10">
        <v>452.2</v>
      </c>
      <c r="AJ53">
        <v>451.4</v>
      </c>
      <c r="AK53">
        <v>467.4</v>
      </c>
    </row>
    <row r="54" spans="1:37">
      <c r="A54" s="1">
        <v>53</v>
      </c>
      <c r="B54">
        <v>462.8</v>
      </c>
      <c r="C54">
        <v>472.4</v>
      </c>
      <c r="D54">
        <v>466</v>
      </c>
      <c r="E54">
        <v>454.7</v>
      </c>
      <c r="F54">
        <v>466.1</v>
      </c>
      <c r="G54">
        <v>461.9</v>
      </c>
      <c r="H54">
        <v>457.1</v>
      </c>
      <c r="I54">
        <v>471.6</v>
      </c>
      <c r="J54">
        <v>470.1</v>
      </c>
      <c r="K54">
        <v>469.5</v>
      </c>
      <c r="L54">
        <v>465.59999999999997</v>
      </c>
      <c r="M54">
        <v>464.79999999999995</v>
      </c>
      <c r="N54">
        <v>463.5</v>
      </c>
      <c r="O54">
        <v>462.9</v>
      </c>
      <c r="P54">
        <v>456.2</v>
      </c>
      <c r="Q54">
        <v>452.9</v>
      </c>
      <c r="R54">
        <v>466.1</v>
      </c>
      <c r="S54">
        <v>465.7</v>
      </c>
      <c r="T54">
        <v>465.1</v>
      </c>
      <c r="U54" s="10">
        <v>467.8</v>
      </c>
      <c r="V54">
        <v>467.2</v>
      </c>
      <c r="W54">
        <v>466.6</v>
      </c>
      <c r="X54">
        <v>465.8</v>
      </c>
      <c r="Y54">
        <v>465.5</v>
      </c>
      <c r="Z54">
        <v>465.1</v>
      </c>
      <c r="AA54" s="10">
        <v>464.5</v>
      </c>
      <c r="AB54">
        <v>464.3</v>
      </c>
      <c r="AC54" s="10">
        <v>463.8</v>
      </c>
      <c r="AD54" s="10">
        <v>463.4</v>
      </c>
      <c r="AE54">
        <v>462.7</v>
      </c>
      <c r="AF54" s="10">
        <v>462</v>
      </c>
      <c r="AG54" s="10">
        <v>461.4</v>
      </c>
      <c r="AH54">
        <v>460.5</v>
      </c>
      <c r="AI54" s="10">
        <v>456.5</v>
      </c>
      <c r="AJ54">
        <v>458.8</v>
      </c>
      <c r="AK54">
        <v>458.1</v>
      </c>
    </row>
    <row r="55" spans="1:37">
      <c r="A55" s="1">
        <v>54</v>
      </c>
      <c r="B55">
        <v>459.2</v>
      </c>
      <c r="C55">
        <v>464.3</v>
      </c>
      <c r="D55">
        <v>454.8</v>
      </c>
      <c r="E55">
        <v>442</v>
      </c>
      <c r="F55">
        <v>468</v>
      </c>
      <c r="G55">
        <v>459.4</v>
      </c>
      <c r="H55">
        <v>451.8</v>
      </c>
      <c r="I55">
        <v>467.7</v>
      </c>
      <c r="J55">
        <v>460.4</v>
      </c>
      <c r="K55">
        <v>458</v>
      </c>
      <c r="L55">
        <v>469.4</v>
      </c>
      <c r="M55">
        <v>464.79999999999995</v>
      </c>
      <c r="N55">
        <v>453.3</v>
      </c>
      <c r="O55">
        <v>464.2</v>
      </c>
      <c r="P55">
        <v>458.3</v>
      </c>
      <c r="Q55">
        <v>465.7</v>
      </c>
      <c r="R55">
        <v>455.4</v>
      </c>
      <c r="S55">
        <v>459.1</v>
      </c>
      <c r="T55" s="10">
        <v>467</v>
      </c>
      <c r="U55" s="10">
        <v>464.2</v>
      </c>
      <c r="V55">
        <v>456.2</v>
      </c>
      <c r="W55">
        <v>474.8</v>
      </c>
      <c r="X55">
        <v>456.7</v>
      </c>
      <c r="Y55">
        <v>448.8</v>
      </c>
      <c r="Z55">
        <v>484.8</v>
      </c>
      <c r="AA55" s="10">
        <v>473.6</v>
      </c>
      <c r="AB55">
        <v>467</v>
      </c>
      <c r="AC55" s="10">
        <v>473.7</v>
      </c>
      <c r="AD55" s="10">
        <v>463.2</v>
      </c>
      <c r="AE55">
        <v>464.4</v>
      </c>
      <c r="AF55" s="10">
        <v>457.7</v>
      </c>
      <c r="AG55" s="10">
        <v>452</v>
      </c>
      <c r="AH55">
        <v>459</v>
      </c>
      <c r="AI55" s="10">
        <v>445.4</v>
      </c>
      <c r="AJ55" s="10">
        <v>468</v>
      </c>
      <c r="AK55">
        <v>459.8</v>
      </c>
    </row>
    <row r="56" spans="1:37">
      <c r="A56" s="1">
        <v>55</v>
      </c>
      <c r="B56">
        <v>470</v>
      </c>
      <c r="C56">
        <v>478.5</v>
      </c>
      <c r="D56">
        <v>478.4</v>
      </c>
      <c r="E56">
        <v>478.4</v>
      </c>
      <c r="F56">
        <v>465.4</v>
      </c>
      <c r="G56">
        <v>465.2</v>
      </c>
      <c r="H56">
        <v>459.2</v>
      </c>
      <c r="I56">
        <v>453.1</v>
      </c>
      <c r="J56">
        <v>446.9</v>
      </c>
      <c r="K56">
        <v>463.6</v>
      </c>
      <c r="L56">
        <v>456.09999999999997</v>
      </c>
      <c r="M56">
        <v>466.5</v>
      </c>
      <c r="N56">
        <v>459.9</v>
      </c>
      <c r="O56">
        <v>452.7</v>
      </c>
      <c r="P56">
        <v>465.3</v>
      </c>
      <c r="Q56">
        <v>456.6</v>
      </c>
      <c r="R56">
        <v>451.3</v>
      </c>
      <c r="S56">
        <v>460.1</v>
      </c>
      <c r="T56">
        <v>467.6</v>
      </c>
      <c r="U56" s="10">
        <v>463</v>
      </c>
      <c r="V56">
        <v>459.3</v>
      </c>
      <c r="W56">
        <v>454.3</v>
      </c>
      <c r="X56">
        <v>467.8</v>
      </c>
      <c r="Y56">
        <v>461.7</v>
      </c>
      <c r="Z56">
        <v>473.8</v>
      </c>
      <c r="AA56" s="10">
        <v>464.7</v>
      </c>
      <c r="AB56">
        <v>468.3</v>
      </c>
      <c r="AC56" s="10">
        <v>464.3</v>
      </c>
      <c r="AD56" s="10">
        <v>460.4</v>
      </c>
      <c r="AE56">
        <v>455.8</v>
      </c>
      <c r="AF56" s="10">
        <v>466.3</v>
      </c>
      <c r="AG56" s="10">
        <v>461.9</v>
      </c>
      <c r="AH56">
        <v>457.8</v>
      </c>
      <c r="AI56" s="10">
        <v>447.9</v>
      </c>
      <c r="AJ56">
        <v>462.4</v>
      </c>
      <c r="AK56" s="10">
        <v>459</v>
      </c>
    </row>
    <row r="57" spans="1:37">
      <c r="A57" s="1">
        <v>56</v>
      </c>
      <c r="B57">
        <v>470.4</v>
      </c>
      <c r="C57">
        <v>460</v>
      </c>
      <c r="D57">
        <v>466.2</v>
      </c>
      <c r="E57">
        <v>459.7</v>
      </c>
      <c r="F57">
        <v>471.2</v>
      </c>
      <c r="G57">
        <v>471.1</v>
      </c>
      <c r="H57">
        <v>464.3</v>
      </c>
      <c r="I57">
        <v>458.5</v>
      </c>
      <c r="J57">
        <v>457.7</v>
      </c>
      <c r="K57">
        <v>464.3</v>
      </c>
      <c r="L57">
        <v>464.2</v>
      </c>
      <c r="M57">
        <v>456.79999999999995</v>
      </c>
      <c r="N57">
        <v>451.4</v>
      </c>
      <c r="O57">
        <v>446</v>
      </c>
      <c r="P57">
        <v>462.2</v>
      </c>
      <c r="Q57">
        <v>443.2</v>
      </c>
      <c r="R57">
        <v>457.4</v>
      </c>
      <c r="S57">
        <v>450.5</v>
      </c>
      <c r="T57">
        <v>444.1</v>
      </c>
      <c r="U57" s="10">
        <v>461.5</v>
      </c>
      <c r="V57">
        <v>453.9</v>
      </c>
      <c r="W57">
        <v>450.4</v>
      </c>
      <c r="X57">
        <v>463.6</v>
      </c>
      <c r="Y57">
        <v>460.4</v>
      </c>
      <c r="Z57">
        <v>458</v>
      </c>
      <c r="AA57" s="10">
        <v>451.5</v>
      </c>
      <c r="AB57">
        <v>459.2</v>
      </c>
      <c r="AC57" s="10">
        <v>455.3</v>
      </c>
      <c r="AD57" s="10">
        <v>466.7</v>
      </c>
      <c r="AE57">
        <v>464.6</v>
      </c>
      <c r="AF57" s="10">
        <v>461.5</v>
      </c>
      <c r="AG57" s="10">
        <v>453.9</v>
      </c>
      <c r="AH57">
        <v>449.3</v>
      </c>
      <c r="AI57" s="10">
        <v>453.8</v>
      </c>
      <c r="AJ57">
        <v>454.8</v>
      </c>
      <c r="AK57">
        <v>451.7</v>
      </c>
    </row>
    <row r="58" spans="1:37">
      <c r="A58" s="1">
        <v>57</v>
      </c>
      <c r="B58">
        <v>456.1</v>
      </c>
      <c r="C58">
        <v>469.4</v>
      </c>
      <c r="D58">
        <v>445.5</v>
      </c>
      <c r="E58">
        <v>464.1</v>
      </c>
      <c r="F58">
        <v>465.9</v>
      </c>
      <c r="G58">
        <v>465.8</v>
      </c>
      <c r="H58">
        <v>465.8</v>
      </c>
      <c r="I58">
        <v>465.7</v>
      </c>
      <c r="J58">
        <v>465.7</v>
      </c>
      <c r="K58">
        <v>465.6</v>
      </c>
      <c r="L58">
        <v>465.59999999999997</v>
      </c>
      <c r="M58">
        <v>465.5</v>
      </c>
      <c r="N58">
        <v>464.9</v>
      </c>
      <c r="O58">
        <v>445.7</v>
      </c>
      <c r="P58">
        <v>451.9</v>
      </c>
      <c r="Q58">
        <v>434.5</v>
      </c>
      <c r="R58">
        <v>456.4</v>
      </c>
      <c r="S58">
        <v>460.6</v>
      </c>
      <c r="T58">
        <v>458.2</v>
      </c>
      <c r="U58" s="10">
        <v>456.5</v>
      </c>
      <c r="V58">
        <v>450.3</v>
      </c>
      <c r="W58">
        <v>468.7</v>
      </c>
      <c r="X58">
        <v>449.3</v>
      </c>
      <c r="Y58">
        <v>469.9</v>
      </c>
      <c r="Z58">
        <v>453.2</v>
      </c>
      <c r="AA58" s="10">
        <v>461.1</v>
      </c>
      <c r="AB58">
        <v>462.6</v>
      </c>
      <c r="AC58" s="10">
        <v>478.4</v>
      </c>
      <c r="AD58" s="10">
        <v>464.7</v>
      </c>
      <c r="AE58">
        <v>464.5</v>
      </c>
      <c r="AF58" s="10">
        <v>462.6</v>
      </c>
      <c r="AG58" s="10">
        <v>464.4</v>
      </c>
      <c r="AH58">
        <v>446.8</v>
      </c>
      <c r="AI58" s="10">
        <v>462.3</v>
      </c>
      <c r="AJ58">
        <v>451.3</v>
      </c>
      <c r="AK58">
        <v>462.4</v>
      </c>
    </row>
    <row r="59" spans="1:37">
      <c r="A59" s="1">
        <v>58</v>
      </c>
      <c r="B59">
        <v>456.6</v>
      </c>
      <c r="C59">
        <v>459.9</v>
      </c>
      <c r="D59">
        <v>468</v>
      </c>
      <c r="E59">
        <v>464.3</v>
      </c>
      <c r="F59">
        <v>457.3</v>
      </c>
      <c r="G59">
        <v>470</v>
      </c>
      <c r="H59">
        <v>474</v>
      </c>
      <c r="I59">
        <v>470.1</v>
      </c>
      <c r="J59">
        <v>464</v>
      </c>
      <c r="K59">
        <v>471.1</v>
      </c>
      <c r="L59">
        <v>440.59999999999997</v>
      </c>
      <c r="M59">
        <v>465.9</v>
      </c>
      <c r="N59">
        <v>437.1</v>
      </c>
      <c r="O59">
        <v>413</v>
      </c>
      <c r="P59">
        <v>461.4</v>
      </c>
      <c r="Q59">
        <v>467.9</v>
      </c>
      <c r="R59">
        <v>458.3</v>
      </c>
      <c r="S59">
        <v>457.1</v>
      </c>
      <c r="T59">
        <v>461.7</v>
      </c>
      <c r="U59" s="10">
        <v>469.9</v>
      </c>
      <c r="V59">
        <v>443</v>
      </c>
      <c r="W59">
        <v>475.6</v>
      </c>
      <c r="X59">
        <v>462.3</v>
      </c>
      <c r="Y59">
        <v>460.5</v>
      </c>
      <c r="Z59">
        <v>479.9</v>
      </c>
      <c r="AA59" s="10">
        <v>456</v>
      </c>
      <c r="AB59">
        <v>467.1</v>
      </c>
      <c r="AC59" s="10">
        <v>467.7</v>
      </c>
      <c r="AD59" s="10">
        <v>463</v>
      </c>
      <c r="AE59">
        <v>463.2</v>
      </c>
      <c r="AF59" s="10">
        <v>456</v>
      </c>
      <c r="AG59" s="10">
        <v>463.9</v>
      </c>
      <c r="AH59">
        <v>437.5</v>
      </c>
      <c r="AI59" s="10">
        <v>458</v>
      </c>
      <c r="AJ59">
        <v>471.1</v>
      </c>
      <c r="AK59" s="10">
        <v>468</v>
      </c>
    </row>
    <row r="60" spans="1:37">
      <c r="A60" s="1">
        <v>59</v>
      </c>
      <c r="B60">
        <v>469.1</v>
      </c>
      <c r="C60">
        <v>478.5</v>
      </c>
      <c r="D60">
        <v>478.5</v>
      </c>
      <c r="E60">
        <v>471.8</v>
      </c>
      <c r="F60">
        <v>463.1</v>
      </c>
      <c r="G60">
        <v>461.2</v>
      </c>
      <c r="H60">
        <v>455.1</v>
      </c>
      <c r="I60">
        <v>471</v>
      </c>
      <c r="J60">
        <v>468.9</v>
      </c>
      <c r="K60">
        <v>467</v>
      </c>
      <c r="L60">
        <v>466.2</v>
      </c>
      <c r="M60">
        <v>461.9</v>
      </c>
      <c r="N60">
        <v>460.7</v>
      </c>
      <c r="O60">
        <v>456.5</v>
      </c>
      <c r="P60">
        <v>465.9</v>
      </c>
      <c r="Q60">
        <v>462.4</v>
      </c>
      <c r="R60">
        <v>455.8</v>
      </c>
      <c r="S60">
        <v>451.9</v>
      </c>
      <c r="T60" s="10">
        <v>461</v>
      </c>
      <c r="U60" s="10">
        <v>460.5</v>
      </c>
      <c r="V60">
        <v>457.3</v>
      </c>
      <c r="W60">
        <v>474.8</v>
      </c>
      <c r="X60">
        <v>474</v>
      </c>
      <c r="Y60">
        <v>470</v>
      </c>
      <c r="Z60">
        <v>468.2</v>
      </c>
      <c r="AA60" s="10">
        <v>466.7</v>
      </c>
      <c r="AB60">
        <v>466.5</v>
      </c>
      <c r="AC60" s="10">
        <v>465.8</v>
      </c>
      <c r="AD60" s="10">
        <v>461.7</v>
      </c>
      <c r="AE60">
        <v>460.5</v>
      </c>
      <c r="AF60" s="10">
        <v>467.3</v>
      </c>
      <c r="AG60" s="10">
        <v>466.9</v>
      </c>
      <c r="AH60">
        <v>466.2</v>
      </c>
      <c r="AI60" s="10">
        <v>461.6</v>
      </c>
      <c r="AJ60">
        <v>464.2</v>
      </c>
      <c r="AK60">
        <v>463.1</v>
      </c>
    </row>
    <row r="61" spans="1:37">
      <c r="A61" s="1">
        <v>60</v>
      </c>
      <c r="B61">
        <v>465.6</v>
      </c>
      <c r="C61">
        <v>466.3</v>
      </c>
      <c r="D61">
        <v>465.9</v>
      </c>
      <c r="E61">
        <v>461</v>
      </c>
      <c r="F61">
        <v>461.2</v>
      </c>
      <c r="G61">
        <v>453.2</v>
      </c>
      <c r="H61">
        <v>471</v>
      </c>
      <c r="I61">
        <v>470.9</v>
      </c>
      <c r="J61">
        <v>468.3</v>
      </c>
      <c r="K61">
        <v>467.1</v>
      </c>
      <c r="L61">
        <v>466.7</v>
      </c>
      <c r="M61">
        <v>466</v>
      </c>
      <c r="N61">
        <v>463.3</v>
      </c>
      <c r="O61">
        <v>462.6</v>
      </c>
      <c r="P61">
        <v>459.7</v>
      </c>
      <c r="Q61">
        <v>456.4</v>
      </c>
      <c r="R61">
        <v>446.3</v>
      </c>
      <c r="S61">
        <v>445.5</v>
      </c>
      <c r="T61">
        <v>463.9</v>
      </c>
      <c r="U61" s="10">
        <v>464.9</v>
      </c>
      <c r="V61">
        <v>461.8</v>
      </c>
      <c r="W61">
        <v>461.2</v>
      </c>
      <c r="X61">
        <v>459.8</v>
      </c>
      <c r="Y61">
        <v>459.2</v>
      </c>
      <c r="Z61">
        <v>458.5</v>
      </c>
      <c r="AA61" s="10">
        <v>457.6</v>
      </c>
      <c r="AB61">
        <v>464.8</v>
      </c>
      <c r="AC61" s="10">
        <v>464.1</v>
      </c>
      <c r="AD61" s="10">
        <v>463.1</v>
      </c>
      <c r="AE61">
        <v>462.2</v>
      </c>
      <c r="AF61" s="10">
        <v>461.5</v>
      </c>
      <c r="AG61" s="10">
        <v>458.9</v>
      </c>
      <c r="AH61">
        <v>458.1</v>
      </c>
      <c r="AI61" s="10">
        <v>453.2</v>
      </c>
      <c r="AJ61">
        <v>455.6</v>
      </c>
      <c r="AK61">
        <v>454.9</v>
      </c>
    </row>
    <row r="62" spans="1:37">
      <c r="A62" t="s">
        <v>130</v>
      </c>
      <c r="B62">
        <v>474</v>
      </c>
      <c r="C62">
        <v>475.9</v>
      </c>
      <c r="D62">
        <v>475.2</v>
      </c>
      <c r="E62">
        <v>474.8</v>
      </c>
      <c r="F62">
        <v>475.1</v>
      </c>
      <c r="G62">
        <v>474.7</v>
      </c>
      <c r="H62">
        <v>474.1</v>
      </c>
      <c r="I62">
        <v>473.6</v>
      </c>
      <c r="J62">
        <v>473.2</v>
      </c>
      <c r="K62">
        <v>472.6</v>
      </c>
      <c r="L62">
        <v>472.3</v>
      </c>
      <c r="M62">
        <v>471.79999999999995</v>
      </c>
      <c r="N62">
        <v>470.5</v>
      </c>
      <c r="O62">
        <v>470.1</v>
      </c>
      <c r="P62">
        <v>469.5</v>
      </c>
      <c r="Q62">
        <v>466.3</v>
      </c>
      <c r="R62">
        <v>465.6</v>
      </c>
      <c r="S62">
        <v>465.2</v>
      </c>
      <c r="T62">
        <v>464.4</v>
      </c>
      <c r="U62" s="10">
        <v>467.1</v>
      </c>
      <c r="V62">
        <v>466.7</v>
      </c>
      <c r="W62">
        <v>466.1</v>
      </c>
      <c r="X62">
        <v>465.4</v>
      </c>
      <c r="Y62">
        <v>465.1</v>
      </c>
      <c r="Z62">
        <v>464.6</v>
      </c>
      <c r="AA62" s="10">
        <v>463.9</v>
      </c>
      <c r="AB62">
        <v>463.6</v>
      </c>
      <c r="AC62" s="10">
        <v>463.1</v>
      </c>
      <c r="AD62" s="10">
        <v>462.6</v>
      </c>
      <c r="AE62">
        <v>461.9</v>
      </c>
      <c r="AF62" s="10">
        <v>461.2</v>
      </c>
      <c r="AG62" s="10">
        <v>460.7</v>
      </c>
      <c r="AH62">
        <v>460.1</v>
      </c>
      <c r="AI62" s="10">
        <v>455.1</v>
      </c>
      <c r="AJ62">
        <v>457.5</v>
      </c>
      <c r="AK62" s="10">
        <v>457</v>
      </c>
    </row>
    <row r="63" spans="1:37" s="18" customFormat="1">
      <c r="A63" s="18" t="s">
        <v>131</v>
      </c>
      <c r="B63" s="18">
        <v>465.3</v>
      </c>
      <c r="C63" s="18">
        <v>468.3</v>
      </c>
      <c r="D63" s="18">
        <v>468.3</v>
      </c>
      <c r="E63" s="18">
        <v>468.3</v>
      </c>
      <c r="F63" s="18">
        <v>474.2</v>
      </c>
      <c r="G63" s="18">
        <v>474.3</v>
      </c>
      <c r="H63" s="18">
        <v>474</v>
      </c>
      <c r="I63" s="18">
        <v>473.5</v>
      </c>
      <c r="J63" s="18">
        <v>473.1</v>
      </c>
      <c r="K63" s="18">
        <v>472.5</v>
      </c>
      <c r="L63" s="18">
        <v>472.2</v>
      </c>
      <c r="M63" s="18">
        <v>471.79999999999995</v>
      </c>
      <c r="N63" s="18">
        <v>470.6</v>
      </c>
      <c r="O63" s="18">
        <v>470.3</v>
      </c>
      <c r="P63" s="18">
        <v>469.7</v>
      </c>
      <c r="Q63" s="18">
        <v>466.4</v>
      </c>
      <c r="R63" s="18">
        <v>465.9</v>
      </c>
      <c r="S63" s="18">
        <v>465.5</v>
      </c>
      <c r="T63" s="18">
        <v>464.8</v>
      </c>
      <c r="U63" s="24">
        <v>467.4</v>
      </c>
      <c r="V63" s="18">
        <v>467</v>
      </c>
      <c r="W63" s="18">
        <v>466.5</v>
      </c>
      <c r="X63" s="18">
        <v>465.9</v>
      </c>
      <c r="Y63" s="18">
        <v>465.7</v>
      </c>
      <c r="Z63" s="18">
        <v>465.2</v>
      </c>
      <c r="AA63" s="24">
        <v>464.7</v>
      </c>
      <c r="AB63" s="18">
        <v>464.5</v>
      </c>
      <c r="AC63" s="24">
        <v>464.1</v>
      </c>
      <c r="AD63" s="24">
        <v>463.7</v>
      </c>
      <c r="AE63" s="18">
        <v>463.2</v>
      </c>
      <c r="AF63" s="24">
        <v>462.5</v>
      </c>
      <c r="AG63" s="24">
        <v>462</v>
      </c>
      <c r="AH63" s="18">
        <v>461.4</v>
      </c>
      <c r="AI63" s="24">
        <v>456.9</v>
      </c>
      <c r="AJ63" s="18">
        <v>459.3</v>
      </c>
      <c r="AK63" s="18">
        <v>458.8</v>
      </c>
    </row>
    <row r="64" spans="1:37">
      <c r="A64" t="s">
        <v>132</v>
      </c>
      <c r="B64">
        <v>500</v>
      </c>
      <c r="C64">
        <v>500</v>
      </c>
      <c r="D64">
        <v>500</v>
      </c>
      <c r="E64">
        <v>500</v>
      </c>
      <c r="F64">
        <v>500</v>
      </c>
      <c r="G64">
        <v>500</v>
      </c>
      <c r="H64">
        <v>500</v>
      </c>
      <c r="I64">
        <v>500</v>
      </c>
      <c r="J64">
        <v>500</v>
      </c>
      <c r="K64">
        <v>500</v>
      </c>
      <c r="L64">
        <v>500</v>
      </c>
      <c r="M64">
        <v>500</v>
      </c>
      <c r="N64">
        <v>500</v>
      </c>
      <c r="O64">
        <v>500</v>
      </c>
      <c r="P64">
        <v>500</v>
      </c>
      <c r="Q64">
        <v>497.2</v>
      </c>
      <c r="R64">
        <v>497.2</v>
      </c>
      <c r="S64">
        <v>497.2</v>
      </c>
      <c r="T64" s="10">
        <v>497</v>
      </c>
      <c r="U64" s="10">
        <v>500</v>
      </c>
      <c r="V64">
        <v>500.1</v>
      </c>
      <c r="W64">
        <v>500</v>
      </c>
      <c r="X64">
        <v>499.9</v>
      </c>
      <c r="Y64">
        <v>500.1</v>
      </c>
      <c r="Z64">
        <v>500.1</v>
      </c>
      <c r="AA64" s="10">
        <v>499.7</v>
      </c>
      <c r="AB64">
        <v>500</v>
      </c>
      <c r="AC64" s="10">
        <v>500</v>
      </c>
      <c r="AD64" s="10">
        <v>500</v>
      </c>
      <c r="AE64">
        <v>500</v>
      </c>
      <c r="AF64" s="10">
        <v>500</v>
      </c>
      <c r="AG64" s="10">
        <v>500</v>
      </c>
      <c r="AH64">
        <v>500</v>
      </c>
      <c r="AI64" s="10">
        <v>496.6</v>
      </c>
      <c r="AJ64" s="10">
        <v>500</v>
      </c>
      <c r="AK64" s="10">
        <v>500</v>
      </c>
    </row>
    <row r="65" spans="1:37">
      <c r="A65" t="s">
        <v>139</v>
      </c>
      <c r="B65">
        <f>500-B64</f>
        <v>0</v>
      </c>
      <c r="C65">
        <f t="shared" ref="C65:AK65" si="0">500-C64</f>
        <v>0</v>
      </c>
      <c r="D65">
        <f t="shared" si="0"/>
        <v>0</v>
      </c>
      <c r="E65">
        <f t="shared" si="0"/>
        <v>0</v>
      </c>
      <c r="F65">
        <f t="shared" si="0"/>
        <v>0</v>
      </c>
      <c r="G65">
        <f t="shared" si="0"/>
        <v>0</v>
      </c>
      <c r="H65">
        <f t="shared" si="0"/>
        <v>0</v>
      </c>
      <c r="I65">
        <f t="shared" si="0"/>
        <v>0</v>
      </c>
      <c r="J65">
        <f t="shared" si="0"/>
        <v>0</v>
      </c>
      <c r="K65">
        <f t="shared" si="0"/>
        <v>0</v>
      </c>
      <c r="L65">
        <f t="shared" si="0"/>
        <v>0</v>
      </c>
      <c r="M65">
        <f t="shared" si="0"/>
        <v>0</v>
      </c>
      <c r="N65">
        <f t="shared" si="0"/>
        <v>0</v>
      </c>
      <c r="O65">
        <f t="shared" si="0"/>
        <v>0</v>
      </c>
      <c r="P65">
        <f t="shared" si="0"/>
        <v>0</v>
      </c>
      <c r="Q65">
        <f t="shared" si="0"/>
        <v>2.8000000000000114</v>
      </c>
      <c r="R65">
        <f t="shared" si="0"/>
        <v>2.8000000000000114</v>
      </c>
      <c r="S65">
        <f t="shared" si="0"/>
        <v>2.8000000000000114</v>
      </c>
      <c r="T65">
        <f t="shared" si="0"/>
        <v>3</v>
      </c>
      <c r="U65">
        <f t="shared" si="0"/>
        <v>0</v>
      </c>
      <c r="V65">
        <f t="shared" si="0"/>
        <v>-0.10000000000002274</v>
      </c>
      <c r="W65">
        <f t="shared" si="0"/>
        <v>0</v>
      </c>
      <c r="X65">
        <f t="shared" si="0"/>
        <v>0.10000000000002274</v>
      </c>
      <c r="Y65">
        <f t="shared" si="0"/>
        <v>-0.10000000000002274</v>
      </c>
      <c r="Z65">
        <f t="shared" si="0"/>
        <v>-0.10000000000002274</v>
      </c>
      <c r="AA65">
        <f t="shared" si="0"/>
        <v>0.30000000000001137</v>
      </c>
      <c r="AB65">
        <f t="shared" si="0"/>
        <v>0</v>
      </c>
      <c r="AC65">
        <f t="shared" si="0"/>
        <v>0</v>
      </c>
      <c r="AD65">
        <f t="shared" si="0"/>
        <v>0</v>
      </c>
      <c r="AE65">
        <f t="shared" si="0"/>
        <v>0</v>
      </c>
      <c r="AF65">
        <f t="shared" si="0"/>
        <v>0</v>
      </c>
      <c r="AG65">
        <f t="shared" si="0"/>
        <v>0</v>
      </c>
      <c r="AH65">
        <f t="shared" si="0"/>
        <v>0</v>
      </c>
      <c r="AI65">
        <f t="shared" si="0"/>
        <v>3.3999999999999773</v>
      </c>
      <c r="AJ65">
        <f t="shared" si="0"/>
        <v>0</v>
      </c>
      <c r="AK65">
        <f t="shared" si="0"/>
        <v>0</v>
      </c>
    </row>
  </sheetData>
  <conditionalFormatting sqref="E1">
    <cfRule type="colorScale" priority="1">
      <colorScale>
        <cfvo type="min"/>
        <cfvo type="percentile" val="50"/>
        <cfvo type="max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19B5-4029-4983-A265-AB6AE4B1567D}">
  <dimension ref="A1:AK65"/>
  <sheetViews>
    <sheetView topLeftCell="A13" workbookViewId="0">
      <pane xSplit="1" topLeftCell="U1" activePane="topRight" state="frozen"/>
      <selection pane="topRight" activeCell="A29" activeCellId="2" sqref="AJ1:AJ1048576 A24:XFD24 A29:XFD29"/>
    </sheetView>
  </sheetViews>
  <sheetFormatPr defaultColWidth="7.453125" defaultRowHeight="14.5"/>
  <cols>
    <col min="2" max="19" width="7.453125" customWidth="1"/>
  </cols>
  <sheetData>
    <row r="1" spans="1:37" s="3" customFormat="1">
      <c r="A1" s="3" t="s">
        <v>1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15</v>
      </c>
      <c r="S1" s="3" t="s">
        <v>42</v>
      </c>
      <c r="T1" s="3" t="s">
        <v>43</v>
      </c>
      <c r="U1" s="3" t="s">
        <v>11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25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</row>
    <row r="2" spans="1:37">
      <c r="A2" s="1">
        <v>1</v>
      </c>
      <c r="B2">
        <v>457.4</v>
      </c>
      <c r="C2">
        <v>475.9</v>
      </c>
      <c r="D2">
        <v>469.7</v>
      </c>
      <c r="E2">
        <v>461.4</v>
      </c>
      <c r="F2">
        <v>469.6</v>
      </c>
      <c r="G2">
        <v>466</v>
      </c>
      <c r="H2">
        <v>481.3</v>
      </c>
      <c r="I2">
        <v>477.1</v>
      </c>
      <c r="J2">
        <v>474.4</v>
      </c>
      <c r="K2">
        <v>472.4</v>
      </c>
      <c r="L2">
        <v>467.6</v>
      </c>
      <c r="M2">
        <v>475.5</v>
      </c>
      <c r="N2">
        <v>469</v>
      </c>
      <c r="O2">
        <v>462</v>
      </c>
      <c r="P2">
        <v>472.7</v>
      </c>
      <c r="Q2">
        <v>463.1</v>
      </c>
      <c r="R2">
        <v>458</v>
      </c>
      <c r="S2">
        <v>472</v>
      </c>
      <c r="T2">
        <v>474.1</v>
      </c>
      <c r="U2" s="10">
        <v>468</v>
      </c>
      <c r="V2">
        <v>481.7</v>
      </c>
      <c r="W2">
        <v>478.3</v>
      </c>
      <c r="X2">
        <v>472.8</v>
      </c>
      <c r="Y2">
        <v>468.8</v>
      </c>
      <c r="Z2" s="10">
        <v>465.8</v>
      </c>
      <c r="AA2">
        <v>460.4</v>
      </c>
      <c r="AB2">
        <v>473.9</v>
      </c>
      <c r="AC2">
        <v>468.8</v>
      </c>
      <c r="AD2">
        <v>462.8</v>
      </c>
      <c r="AE2">
        <v>472.5</v>
      </c>
      <c r="AF2">
        <v>480.3</v>
      </c>
      <c r="AG2" s="10">
        <v>478.5</v>
      </c>
      <c r="AH2">
        <v>472.6</v>
      </c>
      <c r="AI2" s="10">
        <v>466.7</v>
      </c>
      <c r="AJ2">
        <v>465.9</v>
      </c>
      <c r="AK2">
        <v>475.3</v>
      </c>
    </row>
    <row r="3" spans="1:37">
      <c r="A3" s="1">
        <v>2</v>
      </c>
      <c r="B3">
        <v>449.4</v>
      </c>
      <c r="C3">
        <v>457.9</v>
      </c>
      <c r="D3">
        <v>460.2</v>
      </c>
      <c r="E3">
        <v>449.2</v>
      </c>
      <c r="F3">
        <v>472.3</v>
      </c>
      <c r="G3">
        <v>468.1</v>
      </c>
      <c r="H3">
        <v>463.5</v>
      </c>
      <c r="I3">
        <v>476</v>
      </c>
      <c r="J3">
        <v>473.1</v>
      </c>
      <c r="K3">
        <v>469.2</v>
      </c>
      <c r="L3">
        <v>467.8</v>
      </c>
      <c r="M3">
        <v>480.1</v>
      </c>
      <c r="N3">
        <v>476.8</v>
      </c>
      <c r="O3">
        <v>473.9</v>
      </c>
      <c r="P3">
        <v>466.4</v>
      </c>
      <c r="Q3">
        <v>460.1</v>
      </c>
      <c r="R3">
        <v>454.79999999999995</v>
      </c>
      <c r="S3">
        <v>471.4</v>
      </c>
      <c r="T3">
        <v>474.2</v>
      </c>
      <c r="U3" s="10">
        <v>469.5</v>
      </c>
      <c r="V3">
        <v>463.2</v>
      </c>
      <c r="W3">
        <v>458.5</v>
      </c>
      <c r="X3">
        <v>472.3</v>
      </c>
      <c r="Y3">
        <v>460.9</v>
      </c>
      <c r="Z3" s="10">
        <v>479.9</v>
      </c>
      <c r="AA3">
        <v>475</v>
      </c>
      <c r="AB3">
        <v>468.5</v>
      </c>
      <c r="AC3">
        <v>462.8</v>
      </c>
      <c r="AD3">
        <v>459.6</v>
      </c>
      <c r="AE3">
        <v>473.3</v>
      </c>
      <c r="AF3">
        <v>474.2</v>
      </c>
      <c r="AG3" s="10">
        <v>469.1</v>
      </c>
      <c r="AH3" s="10">
        <v>467</v>
      </c>
      <c r="AI3" s="10">
        <v>471.1</v>
      </c>
      <c r="AJ3">
        <v>471.9</v>
      </c>
      <c r="AK3">
        <v>468.4</v>
      </c>
    </row>
    <row r="4" spans="1:37">
      <c r="A4" s="1">
        <v>3</v>
      </c>
      <c r="B4">
        <v>457.9</v>
      </c>
      <c r="C4">
        <v>448.5</v>
      </c>
      <c r="D4">
        <v>479.1</v>
      </c>
      <c r="E4">
        <v>472.4</v>
      </c>
      <c r="F4">
        <v>461.8</v>
      </c>
      <c r="G4">
        <v>456.5</v>
      </c>
      <c r="H4">
        <v>479.4</v>
      </c>
      <c r="I4">
        <v>478.9</v>
      </c>
      <c r="J4">
        <v>474.4</v>
      </c>
      <c r="K4">
        <v>469.5</v>
      </c>
      <c r="L4">
        <v>463.3</v>
      </c>
      <c r="M4">
        <v>476.4</v>
      </c>
      <c r="N4">
        <v>472.1</v>
      </c>
      <c r="O4">
        <v>466.9</v>
      </c>
      <c r="P4">
        <v>474.9</v>
      </c>
      <c r="Q4">
        <v>466.6</v>
      </c>
      <c r="R4">
        <v>465.4</v>
      </c>
      <c r="S4">
        <v>463.79999999999995</v>
      </c>
      <c r="T4">
        <v>470.7</v>
      </c>
      <c r="U4" s="10">
        <v>466.8</v>
      </c>
      <c r="V4">
        <v>461.2</v>
      </c>
      <c r="W4">
        <v>460.1</v>
      </c>
      <c r="X4">
        <v>478</v>
      </c>
      <c r="Y4">
        <v>473.9</v>
      </c>
      <c r="Z4" s="10">
        <v>470.1</v>
      </c>
      <c r="AA4">
        <v>467.1</v>
      </c>
      <c r="AB4">
        <v>472.5</v>
      </c>
      <c r="AC4">
        <v>466.2</v>
      </c>
      <c r="AD4">
        <v>460.4</v>
      </c>
      <c r="AE4">
        <v>477.8</v>
      </c>
      <c r="AF4">
        <v>474.7</v>
      </c>
      <c r="AG4" s="10">
        <v>472.9</v>
      </c>
      <c r="AH4">
        <v>472.4</v>
      </c>
      <c r="AI4" s="10">
        <v>468.1</v>
      </c>
      <c r="AJ4">
        <v>469.1</v>
      </c>
      <c r="AK4">
        <v>468.6</v>
      </c>
    </row>
    <row r="5" spans="1:37">
      <c r="A5" s="1">
        <v>4</v>
      </c>
      <c r="B5">
        <v>466.5</v>
      </c>
      <c r="C5">
        <v>454.5</v>
      </c>
      <c r="D5">
        <v>474.3</v>
      </c>
      <c r="E5">
        <v>462</v>
      </c>
      <c r="F5">
        <v>470.2</v>
      </c>
      <c r="G5">
        <v>460.4</v>
      </c>
      <c r="H5">
        <v>457.2</v>
      </c>
      <c r="I5">
        <v>453.2</v>
      </c>
      <c r="J5">
        <v>461.1</v>
      </c>
      <c r="K5">
        <v>468.7</v>
      </c>
      <c r="L5">
        <v>463.2</v>
      </c>
      <c r="M5">
        <v>478</v>
      </c>
      <c r="N5">
        <v>470.2</v>
      </c>
      <c r="O5">
        <v>464.3</v>
      </c>
      <c r="P5">
        <v>466.8</v>
      </c>
      <c r="Q5">
        <v>459.7</v>
      </c>
      <c r="R5">
        <v>454.29999999999995</v>
      </c>
      <c r="S5">
        <v>467.4</v>
      </c>
      <c r="T5">
        <v>472.5</v>
      </c>
      <c r="U5" s="10">
        <v>466.1</v>
      </c>
      <c r="V5">
        <v>461.1</v>
      </c>
      <c r="W5">
        <v>456.7</v>
      </c>
      <c r="X5">
        <v>475.4</v>
      </c>
      <c r="Y5">
        <v>470.1</v>
      </c>
      <c r="Z5" s="10">
        <v>464.8</v>
      </c>
      <c r="AA5">
        <v>456.8</v>
      </c>
      <c r="AB5">
        <v>468.4</v>
      </c>
      <c r="AC5">
        <v>459.3</v>
      </c>
      <c r="AD5">
        <v>467</v>
      </c>
      <c r="AE5">
        <v>470.2</v>
      </c>
      <c r="AF5">
        <v>464.4</v>
      </c>
      <c r="AG5" s="10">
        <v>456</v>
      </c>
      <c r="AH5">
        <v>476.4</v>
      </c>
      <c r="AI5" s="10">
        <v>470.9</v>
      </c>
      <c r="AJ5">
        <v>466.8</v>
      </c>
      <c r="AK5">
        <v>478.2</v>
      </c>
    </row>
    <row r="6" spans="1:37">
      <c r="A6" s="1">
        <v>5</v>
      </c>
      <c r="B6">
        <v>451.9</v>
      </c>
      <c r="C6">
        <v>459.3</v>
      </c>
      <c r="D6">
        <v>459.9</v>
      </c>
      <c r="E6">
        <v>446.9</v>
      </c>
      <c r="F6">
        <v>449.2</v>
      </c>
      <c r="G6">
        <v>446.5</v>
      </c>
      <c r="H6">
        <v>444.8</v>
      </c>
      <c r="I6">
        <v>454.3</v>
      </c>
      <c r="J6">
        <v>423.3</v>
      </c>
      <c r="K6">
        <v>433.9</v>
      </c>
      <c r="L6">
        <v>445</v>
      </c>
      <c r="M6">
        <v>443</v>
      </c>
      <c r="N6">
        <v>411.3</v>
      </c>
      <c r="O6">
        <v>444.5</v>
      </c>
      <c r="P6">
        <v>441</v>
      </c>
      <c r="Q6">
        <v>443.2</v>
      </c>
      <c r="R6">
        <v>439.4</v>
      </c>
      <c r="S6">
        <v>447.6</v>
      </c>
      <c r="T6">
        <v>441.2</v>
      </c>
      <c r="U6" s="10">
        <v>457.2</v>
      </c>
      <c r="V6">
        <v>414.3</v>
      </c>
      <c r="W6">
        <v>453.9</v>
      </c>
      <c r="X6">
        <v>447.2</v>
      </c>
      <c r="Y6">
        <v>449.4</v>
      </c>
      <c r="Z6" s="10">
        <v>439</v>
      </c>
      <c r="AA6">
        <v>439.4</v>
      </c>
      <c r="AB6">
        <v>436.7</v>
      </c>
      <c r="AC6">
        <v>449.2</v>
      </c>
      <c r="AD6">
        <v>440</v>
      </c>
      <c r="AE6">
        <v>447.3</v>
      </c>
      <c r="AF6">
        <v>432.3</v>
      </c>
      <c r="AG6" s="10">
        <v>443.5</v>
      </c>
      <c r="AH6">
        <v>439.7</v>
      </c>
      <c r="AI6" s="10">
        <v>440.6</v>
      </c>
      <c r="AJ6">
        <v>445.4</v>
      </c>
      <c r="AK6">
        <v>448.1</v>
      </c>
    </row>
    <row r="7" spans="1:37">
      <c r="A7" s="1">
        <v>6</v>
      </c>
      <c r="B7">
        <v>464.9</v>
      </c>
      <c r="C7">
        <v>461</v>
      </c>
      <c r="D7">
        <v>460.8</v>
      </c>
      <c r="E7">
        <v>454.1</v>
      </c>
      <c r="F7">
        <v>467.1</v>
      </c>
      <c r="G7">
        <v>452.4</v>
      </c>
      <c r="H7">
        <v>461.9</v>
      </c>
      <c r="I7">
        <v>469.2</v>
      </c>
      <c r="J7">
        <v>449.3</v>
      </c>
      <c r="K7">
        <v>473.79999999999995</v>
      </c>
      <c r="L7">
        <v>473.8</v>
      </c>
      <c r="M7">
        <v>454.3</v>
      </c>
      <c r="N7">
        <v>442.2</v>
      </c>
      <c r="O7">
        <v>454.8</v>
      </c>
      <c r="P7">
        <v>459.3</v>
      </c>
      <c r="Q7">
        <v>435.5</v>
      </c>
      <c r="R7">
        <v>449.70000000000005</v>
      </c>
      <c r="S7">
        <v>451.6</v>
      </c>
      <c r="T7">
        <v>454.1</v>
      </c>
      <c r="U7" s="10">
        <v>452.5</v>
      </c>
      <c r="V7">
        <v>438.2</v>
      </c>
      <c r="W7">
        <v>479</v>
      </c>
      <c r="X7">
        <v>462.5</v>
      </c>
      <c r="Y7">
        <v>448.1</v>
      </c>
      <c r="Z7" s="10">
        <v>464.3</v>
      </c>
      <c r="AA7">
        <v>444.3</v>
      </c>
      <c r="AB7">
        <v>446.7</v>
      </c>
      <c r="AC7">
        <v>469.3</v>
      </c>
      <c r="AD7">
        <v>450.8</v>
      </c>
      <c r="AE7">
        <v>458.3</v>
      </c>
      <c r="AF7">
        <v>456.1</v>
      </c>
      <c r="AG7" s="10">
        <v>451.5</v>
      </c>
      <c r="AH7">
        <v>440.7</v>
      </c>
      <c r="AI7" s="10">
        <v>444.1</v>
      </c>
      <c r="AJ7">
        <v>440.5</v>
      </c>
      <c r="AK7">
        <v>457.4</v>
      </c>
    </row>
    <row r="8" spans="1:37">
      <c r="A8" s="1">
        <v>7</v>
      </c>
      <c r="B8">
        <v>465.4</v>
      </c>
      <c r="C8">
        <v>482.6</v>
      </c>
      <c r="D8">
        <v>478.3</v>
      </c>
      <c r="E8">
        <v>470</v>
      </c>
      <c r="F8">
        <v>459.1</v>
      </c>
      <c r="G8">
        <v>477.6</v>
      </c>
      <c r="H8">
        <v>471.5</v>
      </c>
      <c r="I8">
        <v>467.1</v>
      </c>
      <c r="J8">
        <v>462.4</v>
      </c>
      <c r="K8">
        <v>458.9</v>
      </c>
      <c r="L8">
        <v>454.6</v>
      </c>
      <c r="M8">
        <v>465.7</v>
      </c>
      <c r="N8">
        <v>461.6</v>
      </c>
      <c r="O8">
        <v>458.2</v>
      </c>
      <c r="P8">
        <v>461.6</v>
      </c>
      <c r="Q8">
        <v>455.9</v>
      </c>
      <c r="R8">
        <v>470.4</v>
      </c>
      <c r="S8">
        <v>467.5</v>
      </c>
      <c r="T8">
        <v>464.6</v>
      </c>
      <c r="U8" s="10">
        <v>468</v>
      </c>
      <c r="V8">
        <v>466.2</v>
      </c>
      <c r="W8">
        <v>461.8</v>
      </c>
      <c r="X8">
        <v>474.8</v>
      </c>
      <c r="Y8">
        <v>471.9</v>
      </c>
      <c r="Z8" s="10">
        <v>469.2</v>
      </c>
      <c r="AA8">
        <v>466.5</v>
      </c>
      <c r="AB8">
        <v>475.5</v>
      </c>
      <c r="AC8">
        <v>472.2</v>
      </c>
      <c r="AD8">
        <v>468.8</v>
      </c>
      <c r="AE8">
        <v>466.5</v>
      </c>
      <c r="AF8">
        <v>465.7</v>
      </c>
      <c r="AG8" s="10">
        <v>468.4</v>
      </c>
      <c r="AH8">
        <v>465.4</v>
      </c>
      <c r="AI8" s="10">
        <v>461</v>
      </c>
      <c r="AJ8">
        <v>461.8</v>
      </c>
      <c r="AK8">
        <v>464.9</v>
      </c>
    </row>
    <row r="9" spans="1:37">
      <c r="A9" s="1">
        <v>8</v>
      </c>
      <c r="B9">
        <v>475</v>
      </c>
      <c r="C9">
        <v>467.8</v>
      </c>
      <c r="D9">
        <v>479.6</v>
      </c>
      <c r="E9">
        <v>478.2</v>
      </c>
      <c r="F9">
        <v>465</v>
      </c>
      <c r="G9">
        <v>481.4</v>
      </c>
      <c r="H9">
        <v>480.8</v>
      </c>
      <c r="I9">
        <v>478.2</v>
      </c>
      <c r="J9">
        <v>477.6</v>
      </c>
      <c r="K9">
        <v>473</v>
      </c>
      <c r="L9">
        <v>470.6</v>
      </c>
      <c r="M9">
        <v>455.5</v>
      </c>
      <c r="N9">
        <v>454.6</v>
      </c>
      <c r="O9">
        <v>467.5</v>
      </c>
      <c r="P9">
        <v>463.8</v>
      </c>
      <c r="Q9">
        <v>456.4</v>
      </c>
      <c r="R9">
        <v>473.20000000000005</v>
      </c>
      <c r="S9">
        <v>469.9</v>
      </c>
      <c r="T9">
        <v>470.4</v>
      </c>
      <c r="U9" s="10">
        <v>478.2</v>
      </c>
      <c r="V9">
        <v>476.8</v>
      </c>
      <c r="W9">
        <v>475</v>
      </c>
      <c r="X9">
        <v>471.5</v>
      </c>
      <c r="Y9">
        <v>471</v>
      </c>
      <c r="Z9" s="10">
        <v>469.5</v>
      </c>
      <c r="AA9">
        <v>467.2</v>
      </c>
      <c r="AB9">
        <v>475.8</v>
      </c>
      <c r="AC9">
        <v>474.9</v>
      </c>
      <c r="AD9">
        <v>473.5</v>
      </c>
      <c r="AE9">
        <v>481.6</v>
      </c>
      <c r="AF9">
        <v>477.5</v>
      </c>
      <c r="AG9" s="10">
        <v>473.9</v>
      </c>
      <c r="AH9">
        <v>472.5</v>
      </c>
      <c r="AI9" s="10">
        <v>466.2</v>
      </c>
      <c r="AJ9">
        <v>467.4</v>
      </c>
      <c r="AK9">
        <v>479.6</v>
      </c>
    </row>
    <row r="10" spans="1:37">
      <c r="A10" s="1">
        <v>9</v>
      </c>
      <c r="B10">
        <v>433.4</v>
      </c>
      <c r="C10">
        <v>436.4</v>
      </c>
      <c r="D10">
        <v>489.7</v>
      </c>
      <c r="E10">
        <v>450.1</v>
      </c>
      <c r="F10">
        <v>410.1</v>
      </c>
      <c r="G10">
        <v>426</v>
      </c>
      <c r="H10">
        <v>440.5</v>
      </c>
      <c r="I10">
        <v>438.5</v>
      </c>
      <c r="J10">
        <v>420.2</v>
      </c>
      <c r="K10">
        <v>415.59999999999997</v>
      </c>
      <c r="L10">
        <v>427.2</v>
      </c>
      <c r="M10">
        <v>413.8</v>
      </c>
      <c r="N10">
        <v>351.9</v>
      </c>
      <c r="O10">
        <v>429</v>
      </c>
      <c r="P10">
        <v>407.1</v>
      </c>
      <c r="Q10">
        <v>416.2</v>
      </c>
      <c r="R10">
        <v>400.70000000000005</v>
      </c>
      <c r="S10">
        <v>427.29999999999995</v>
      </c>
      <c r="T10">
        <v>412</v>
      </c>
      <c r="U10" s="10">
        <v>420.3</v>
      </c>
      <c r="V10">
        <v>384</v>
      </c>
      <c r="W10">
        <v>430.5</v>
      </c>
      <c r="X10">
        <v>415.1</v>
      </c>
      <c r="Y10">
        <v>431.5</v>
      </c>
      <c r="Z10" s="10">
        <v>419.1</v>
      </c>
      <c r="AA10">
        <v>425</v>
      </c>
      <c r="AB10">
        <v>409.5</v>
      </c>
      <c r="AC10">
        <v>430.6</v>
      </c>
      <c r="AD10">
        <v>413.3</v>
      </c>
      <c r="AE10">
        <v>420.4</v>
      </c>
      <c r="AF10">
        <v>409.4</v>
      </c>
      <c r="AG10" s="10">
        <v>425.2</v>
      </c>
      <c r="AH10">
        <v>405.9</v>
      </c>
      <c r="AI10" s="10">
        <v>419.9</v>
      </c>
      <c r="AJ10" s="10">
        <v>410</v>
      </c>
      <c r="AK10">
        <v>426.1</v>
      </c>
    </row>
    <row r="11" spans="1:37">
      <c r="A11" s="1">
        <v>10</v>
      </c>
      <c r="B11">
        <v>433.8</v>
      </c>
      <c r="C11">
        <v>443.3</v>
      </c>
      <c r="D11">
        <v>433</v>
      </c>
      <c r="E11">
        <v>465.4</v>
      </c>
      <c r="F11">
        <v>436.6</v>
      </c>
      <c r="G11">
        <v>448.5</v>
      </c>
      <c r="H11">
        <v>445.6</v>
      </c>
      <c r="I11">
        <v>456.1</v>
      </c>
      <c r="J11">
        <v>441.9</v>
      </c>
      <c r="K11">
        <v>440.79999999999995</v>
      </c>
      <c r="L11">
        <v>431.8</v>
      </c>
      <c r="M11">
        <v>438.3</v>
      </c>
      <c r="N11">
        <v>411.6</v>
      </c>
      <c r="O11">
        <v>446</v>
      </c>
      <c r="P11">
        <v>437.1</v>
      </c>
      <c r="Q11">
        <v>444.6</v>
      </c>
      <c r="R11">
        <v>447.79999999999995</v>
      </c>
      <c r="S11">
        <v>447</v>
      </c>
      <c r="T11">
        <v>455.1</v>
      </c>
      <c r="U11" s="10">
        <v>446.8</v>
      </c>
      <c r="V11">
        <v>434</v>
      </c>
      <c r="W11">
        <v>468.6</v>
      </c>
      <c r="X11">
        <v>442.8</v>
      </c>
      <c r="Y11">
        <v>450.8</v>
      </c>
      <c r="Z11" s="10">
        <v>464.3</v>
      </c>
      <c r="AA11">
        <v>438.6</v>
      </c>
      <c r="AB11">
        <v>449.7</v>
      </c>
      <c r="AC11">
        <v>469.6</v>
      </c>
      <c r="AD11">
        <v>446.2</v>
      </c>
      <c r="AE11">
        <v>450.2</v>
      </c>
      <c r="AF11">
        <v>452.3</v>
      </c>
      <c r="AG11" s="10">
        <v>446.3</v>
      </c>
      <c r="AH11">
        <v>444.4</v>
      </c>
      <c r="AI11" s="10">
        <v>445.5</v>
      </c>
      <c r="AJ11">
        <v>445.9</v>
      </c>
      <c r="AK11">
        <v>446.9</v>
      </c>
    </row>
    <row r="12" spans="1:37">
      <c r="A12" s="1">
        <v>11</v>
      </c>
      <c r="B12">
        <v>469.2</v>
      </c>
      <c r="C12">
        <v>464</v>
      </c>
      <c r="D12">
        <v>457.4</v>
      </c>
      <c r="E12">
        <v>454.6</v>
      </c>
      <c r="F12">
        <v>467</v>
      </c>
      <c r="G12">
        <v>472.9</v>
      </c>
      <c r="H12">
        <v>457.6</v>
      </c>
      <c r="I12">
        <v>481.5</v>
      </c>
      <c r="J12">
        <v>464.7</v>
      </c>
      <c r="K12">
        <v>446.4</v>
      </c>
      <c r="L12">
        <v>459.5</v>
      </c>
      <c r="M12">
        <v>481.8</v>
      </c>
      <c r="N12">
        <v>476.9</v>
      </c>
      <c r="O12">
        <v>471.9</v>
      </c>
      <c r="P12">
        <v>475.2</v>
      </c>
      <c r="Q12">
        <v>472.9</v>
      </c>
      <c r="R12">
        <v>467.9</v>
      </c>
      <c r="S12">
        <v>466.70000000000005</v>
      </c>
      <c r="T12">
        <v>481</v>
      </c>
      <c r="U12" s="10">
        <v>475.1</v>
      </c>
      <c r="V12">
        <v>468.9</v>
      </c>
      <c r="W12">
        <v>495.7</v>
      </c>
      <c r="X12">
        <v>489.5</v>
      </c>
      <c r="Y12">
        <v>487.1</v>
      </c>
      <c r="Z12" s="10">
        <v>483</v>
      </c>
      <c r="AA12">
        <v>480</v>
      </c>
      <c r="AB12">
        <v>476.7</v>
      </c>
      <c r="AC12">
        <v>466.2</v>
      </c>
      <c r="AD12">
        <v>476.8</v>
      </c>
      <c r="AE12">
        <v>474</v>
      </c>
      <c r="AF12">
        <v>470.8</v>
      </c>
      <c r="AG12" s="10">
        <v>479.1</v>
      </c>
      <c r="AH12">
        <v>473.9</v>
      </c>
      <c r="AI12" s="10">
        <v>467</v>
      </c>
      <c r="AJ12">
        <v>475.2</v>
      </c>
      <c r="AK12">
        <v>473.2</v>
      </c>
    </row>
    <row r="13" spans="1:37">
      <c r="A13" s="1">
        <v>12</v>
      </c>
      <c r="B13">
        <v>459.2</v>
      </c>
      <c r="C13">
        <v>456.8</v>
      </c>
      <c r="D13">
        <v>463.4</v>
      </c>
      <c r="E13">
        <v>459.2</v>
      </c>
      <c r="F13">
        <v>463.9</v>
      </c>
      <c r="G13">
        <v>476.2</v>
      </c>
      <c r="H13">
        <v>470.9</v>
      </c>
      <c r="I13">
        <v>458.2</v>
      </c>
      <c r="J13">
        <v>466.9</v>
      </c>
      <c r="K13">
        <v>460.4</v>
      </c>
      <c r="L13">
        <v>455</v>
      </c>
      <c r="M13">
        <v>473.5</v>
      </c>
      <c r="N13">
        <v>469</v>
      </c>
      <c r="O13">
        <v>479.8</v>
      </c>
      <c r="P13">
        <v>468.5</v>
      </c>
      <c r="Q13">
        <v>462.7</v>
      </c>
      <c r="R13">
        <v>453.20000000000005</v>
      </c>
      <c r="S13">
        <v>472.29999999999995</v>
      </c>
      <c r="T13">
        <v>474</v>
      </c>
      <c r="U13" s="10">
        <v>471</v>
      </c>
      <c r="V13">
        <v>461</v>
      </c>
      <c r="W13">
        <v>454.5</v>
      </c>
      <c r="X13">
        <v>474.7</v>
      </c>
      <c r="Y13">
        <v>474.2</v>
      </c>
      <c r="Z13" s="10">
        <v>468.9</v>
      </c>
      <c r="AA13">
        <v>466.6</v>
      </c>
      <c r="AB13">
        <v>471.7</v>
      </c>
      <c r="AC13">
        <v>468.1</v>
      </c>
      <c r="AD13">
        <v>465.5</v>
      </c>
      <c r="AE13">
        <v>463.2</v>
      </c>
      <c r="AF13">
        <v>470.5</v>
      </c>
      <c r="AG13" s="10">
        <v>465.2</v>
      </c>
      <c r="AH13" s="10">
        <v>460</v>
      </c>
      <c r="AI13" s="10">
        <v>448.2</v>
      </c>
      <c r="AJ13">
        <v>474.2</v>
      </c>
      <c r="AK13">
        <v>469.7</v>
      </c>
    </row>
    <row r="14" spans="1:37">
      <c r="A14" s="1">
        <v>13</v>
      </c>
      <c r="B14">
        <v>449.6</v>
      </c>
      <c r="C14">
        <v>442.1</v>
      </c>
      <c r="D14">
        <v>459.5</v>
      </c>
      <c r="E14">
        <v>454.4</v>
      </c>
      <c r="F14">
        <v>469.1</v>
      </c>
      <c r="G14">
        <v>461.2</v>
      </c>
      <c r="H14">
        <v>474.9</v>
      </c>
      <c r="I14">
        <v>466.2</v>
      </c>
      <c r="J14">
        <v>471.1</v>
      </c>
      <c r="K14">
        <v>464.79999999999995</v>
      </c>
      <c r="L14">
        <v>458.90000000000003</v>
      </c>
      <c r="M14">
        <v>459.9</v>
      </c>
      <c r="N14">
        <v>447</v>
      </c>
      <c r="O14">
        <v>466.2</v>
      </c>
      <c r="P14">
        <v>452.9</v>
      </c>
      <c r="Q14">
        <v>442.2</v>
      </c>
      <c r="R14">
        <v>462.79999999999995</v>
      </c>
      <c r="S14">
        <v>474.1</v>
      </c>
      <c r="T14">
        <v>463.5</v>
      </c>
      <c r="U14" s="10">
        <v>472.6</v>
      </c>
      <c r="V14">
        <v>462.1</v>
      </c>
      <c r="W14">
        <v>456.6</v>
      </c>
      <c r="X14">
        <v>467.5</v>
      </c>
      <c r="Y14">
        <v>462.6</v>
      </c>
      <c r="Z14" s="10">
        <v>454.9</v>
      </c>
      <c r="AA14">
        <v>472.1</v>
      </c>
      <c r="AB14">
        <v>461</v>
      </c>
      <c r="AC14">
        <v>475.7</v>
      </c>
      <c r="AD14">
        <v>465</v>
      </c>
      <c r="AE14">
        <v>471.9</v>
      </c>
      <c r="AF14">
        <v>460.3</v>
      </c>
      <c r="AG14" s="10">
        <v>471</v>
      </c>
      <c r="AH14">
        <v>465.9</v>
      </c>
      <c r="AI14" s="10">
        <v>472</v>
      </c>
      <c r="AJ14">
        <v>468.1</v>
      </c>
      <c r="AK14">
        <v>461.4</v>
      </c>
    </row>
    <row r="15" spans="1:37">
      <c r="A15" s="1">
        <v>14</v>
      </c>
      <c r="B15">
        <v>455</v>
      </c>
      <c r="C15">
        <v>454</v>
      </c>
      <c r="D15">
        <v>442</v>
      </c>
      <c r="E15">
        <v>431.7</v>
      </c>
      <c r="F15">
        <v>459.8</v>
      </c>
      <c r="G15">
        <v>452.6</v>
      </c>
      <c r="H15">
        <v>459.4</v>
      </c>
      <c r="I15">
        <v>449.6</v>
      </c>
      <c r="J15">
        <v>458</v>
      </c>
      <c r="K15">
        <v>451.2</v>
      </c>
      <c r="L15">
        <v>459.8</v>
      </c>
      <c r="M15">
        <v>449.1</v>
      </c>
      <c r="N15">
        <v>438.9</v>
      </c>
      <c r="O15">
        <v>453.8</v>
      </c>
      <c r="P15">
        <v>439.7</v>
      </c>
      <c r="Q15">
        <v>424.7</v>
      </c>
      <c r="R15">
        <v>456.6</v>
      </c>
      <c r="S15">
        <v>445.4</v>
      </c>
      <c r="T15">
        <v>456.1</v>
      </c>
      <c r="U15" s="10">
        <v>463</v>
      </c>
      <c r="V15">
        <v>456.4</v>
      </c>
      <c r="W15">
        <v>432.5</v>
      </c>
      <c r="X15">
        <v>453.6</v>
      </c>
      <c r="Y15">
        <v>463.4</v>
      </c>
      <c r="Z15" s="10">
        <v>455.8</v>
      </c>
      <c r="AA15">
        <v>445.4</v>
      </c>
      <c r="AB15">
        <v>462.6</v>
      </c>
      <c r="AC15">
        <v>456.5</v>
      </c>
      <c r="AD15">
        <v>454.4</v>
      </c>
      <c r="AE15">
        <v>457.5</v>
      </c>
      <c r="AF15">
        <v>447.3</v>
      </c>
      <c r="AG15" s="10">
        <v>455.2</v>
      </c>
      <c r="AH15">
        <v>447.7</v>
      </c>
      <c r="AI15" s="10">
        <v>457.4</v>
      </c>
      <c r="AJ15">
        <v>451.3</v>
      </c>
      <c r="AK15">
        <v>463.5</v>
      </c>
    </row>
    <row r="16" spans="1:37">
      <c r="A16" s="1">
        <v>15</v>
      </c>
      <c r="B16">
        <v>419.9</v>
      </c>
      <c r="C16">
        <v>461.3</v>
      </c>
      <c r="D16">
        <v>430.3</v>
      </c>
      <c r="E16">
        <v>400.5</v>
      </c>
      <c r="F16">
        <v>431.3</v>
      </c>
      <c r="G16">
        <v>433.1</v>
      </c>
      <c r="H16">
        <v>434.4</v>
      </c>
      <c r="I16">
        <v>437.2</v>
      </c>
      <c r="J16">
        <v>427.2</v>
      </c>
      <c r="K16">
        <v>424.7</v>
      </c>
      <c r="L16">
        <v>427.3</v>
      </c>
      <c r="M16">
        <v>429.8</v>
      </c>
      <c r="N16">
        <v>396.7</v>
      </c>
      <c r="O16">
        <v>428</v>
      </c>
      <c r="P16">
        <v>426.3</v>
      </c>
      <c r="Q16">
        <v>432</v>
      </c>
      <c r="R16">
        <v>437.70000000000005</v>
      </c>
      <c r="S16">
        <v>433.79999999999995</v>
      </c>
      <c r="T16">
        <v>437.8</v>
      </c>
      <c r="U16" s="10">
        <v>436.3</v>
      </c>
      <c r="V16">
        <v>418.5</v>
      </c>
      <c r="W16">
        <v>437.8</v>
      </c>
      <c r="X16">
        <v>432.3</v>
      </c>
      <c r="Y16">
        <v>420.8</v>
      </c>
      <c r="Z16" s="10">
        <v>435.5</v>
      </c>
      <c r="AA16">
        <v>427.4</v>
      </c>
      <c r="AB16">
        <v>432.3</v>
      </c>
      <c r="AC16">
        <v>454.2</v>
      </c>
      <c r="AD16">
        <v>419.7</v>
      </c>
      <c r="AE16">
        <v>432.1</v>
      </c>
      <c r="AF16">
        <v>428.2</v>
      </c>
      <c r="AG16" s="10">
        <v>435.1</v>
      </c>
      <c r="AH16">
        <v>436.8</v>
      </c>
      <c r="AI16" s="10">
        <v>435.2</v>
      </c>
      <c r="AJ16">
        <v>442.8</v>
      </c>
      <c r="AK16">
        <v>440.2</v>
      </c>
    </row>
    <row r="17" spans="1:37">
      <c r="A17" s="1">
        <v>16</v>
      </c>
      <c r="B17">
        <v>437.4</v>
      </c>
      <c r="C17">
        <v>465.6</v>
      </c>
      <c r="D17">
        <v>442.5</v>
      </c>
      <c r="E17">
        <v>421.7</v>
      </c>
      <c r="F17">
        <v>449.9</v>
      </c>
      <c r="G17">
        <v>447.6</v>
      </c>
      <c r="H17">
        <v>452.1</v>
      </c>
      <c r="I17">
        <v>473.4</v>
      </c>
      <c r="J17">
        <v>439.7</v>
      </c>
      <c r="K17">
        <v>439</v>
      </c>
      <c r="L17">
        <v>434.8</v>
      </c>
      <c r="M17">
        <v>425.8</v>
      </c>
      <c r="N17">
        <v>402.2</v>
      </c>
      <c r="O17">
        <v>447.4</v>
      </c>
      <c r="P17">
        <v>436.7</v>
      </c>
      <c r="Q17">
        <v>436.8</v>
      </c>
      <c r="R17">
        <v>428.29999999999995</v>
      </c>
      <c r="S17">
        <v>433.1</v>
      </c>
      <c r="T17">
        <v>444.4</v>
      </c>
      <c r="U17" s="10">
        <v>440.7</v>
      </c>
      <c r="V17">
        <v>433.6</v>
      </c>
      <c r="W17">
        <v>442.2</v>
      </c>
      <c r="X17">
        <v>449.4</v>
      </c>
      <c r="Y17">
        <v>432.9</v>
      </c>
      <c r="Z17" s="10">
        <v>443.1</v>
      </c>
      <c r="AA17">
        <v>438.8</v>
      </c>
      <c r="AB17">
        <v>450.4</v>
      </c>
      <c r="AC17">
        <v>423.6</v>
      </c>
      <c r="AD17">
        <v>445.6</v>
      </c>
      <c r="AE17">
        <v>424.1</v>
      </c>
      <c r="AF17">
        <v>446.2</v>
      </c>
      <c r="AG17" s="10">
        <v>426.2</v>
      </c>
      <c r="AH17">
        <v>431.9</v>
      </c>
      <c r="AI17" s="10">
        <v>436.3</v>
      </c>
      <c r="AJ17">
        <v>447.2</v>
      </c>
      <c r="AK17">
        <v>451.5</v>
      </c>
    </row>
    <row r="18" spans="1:37">
      <c r="A18" s="1">
        <v>17</v>
      </c>
      <c r="B18">
        <v>449.5</v>
      </c>
      <c r="C18">
        <v>469</v>
      </c>
      <c r="D18">
        <v>464.8</v>
      </c>
      <c r="E18">
        <v>455.1</v>
      </c>
      <c r="F18">
        <v>474.9</v>
      </c>
      <c r="G18">
        <v>465</v>
      </c>
      <c r="H18">
        <v>457.8</v>
      </c>
      <c r="I18">
        <v>447.3</v>
      </c>
      <c r="J18">
        <v>466.6</v>
      </c>
      <c r="K18">
        <v>461.9</v>
      </c>
      <c r="L18">
        <v>453.40000000000003</v>
      </c>
      <c r="M18">
        <v>470.3</v>
      </c>
      <c r="N18">
        <v>466.7</v>
      </c>
      <c r="O18">
        <v>462.8</v>
      </c>
      <c r="P18">
        <v>452.6</v>
      </c>
      <c r="Q18">
        <v>449.2</v>
      </c>
      <c r="R18">
        <v>458</v>
      </c>
      <c r="S18">
        <v>468.79999999999995</v>
      </c>
      <c r="T18">
        <v>466.7</v>
      </c>
      <c r="U18" s="10">
        <v>467.4</v>
      </c>
      <c r="V18">
        <v>461.6</v>
      </c>
      <c r="W18">
        <v>479.6</v>
      </c>
      <c r="X18">
        <v>474.6</v>
      </c>
      <c r="Y18">
        <v>473.2</v>
      </c>
      <c r="Z18" s="10">
        <v>469.6</v>
      </c>
      <c r="AA18">
        <v>469.1</v>
      </c>
      <c r="AB18">
        <v>467.3</v>
      </c>
      <c r="AC18">
        <v>463.2</v>
      </c>
      <c r="AD18">
        <v>462.2</v>
      </c>
      <c r="AE18">
        <v>473.2</v>
      </c>
      <c r="AF18">
        <v>469.5</v>
      </c>
      <c r="AG18" s="10">
        <v>468.7</v>
      </c>
      <c r="AH18" s="10">
        <v>468</v>
      </c>
      <c r="AI18" s="10">
        <v>461</v>
      </c>
      <c r="AJ18" s="10">
        <v>463</v>
      </c>
      <c r="AK18">
        <v>460.5</v>
      </c>
    </row>
    <row r="19" spans="1:37">
      <c r="A19" s="1">
        <v>18</v>
      </c>
      <c r="B19">
        <v>448.7</v>
      </c>
      <c r="C19">
        <v>449.8</v>
      </c>
      <c r="D19">
        <v>447.4</v>
      </c>
      <c r="E19">
        <v>430.8</v>
      </c>
      <c r="F19">
        <v>454.5</v>
      </c>
      <c r="G19">
        <v>435.3</v>
      </c>
      <c r="H19">
        <v>468.3</v>
      </c>
      <c r="I19">
        <v>459.7</v>
      </c>
      <c r="J19">
        <v>449.8</v>
      </c>
      <c r="K19">
        <v>436.29999999999995</v>
      </c>
      <c r="L19">
        <v>455.5</v>
      </c>
      <c r="M19">
        <v>437.8</v>
      </c>
      <c r="N19">
        <v>428.9</v>
      </c>
      <c r="O19">
        <v>444.9</v>
      </c>
      <c r="P19">
        <v>447.1</v>
      </c>
      <c r="Q19">
        <v>453.8</v>
      </c>
      <c r="R19">
        <v>441.1</v>
      </c>
      <c r="S19">
        <v>442.79999999999995</v>
      </c>
      <c r="T19">
        <v>453.3</v>
      </c>
      <c r="U19" s="10">
        <v>446.9</v>
      </c>
      <c r="V19">
        <v>446.2</v>
      </c>
      <c r="W19">
        <v>464.2</v>
      </c>
      <c r="X19">
        <v>452</v>
      </c>
      <c r="Y19">
        <v>442</v>
      </c>
      <c r="Z19" s="10">
        <v>463</v>
      </c>
      <c r="AA19">
        <v>451.7</v>
      </c>
      <c r="AB19">
        <v>436.9</v>
      </c>
      <c r="AC19">
        <v>463.3</v>
      </c>
      <c r="AD19">
        <v>442.9</v>
      </c>
      <c r="AE19">
        <v>448.3</v>
      </c>
      <c r="AF19">
        <v>453.4</v>
      </c>
      <c r="AG19" s="10">
        <v>438.1</v>
      </c>
      <c r="AH19">
        <v>425.1</v>
      </c>
      <c r="AI19" s="10">
        <v>448.8</v>
      </c>
      <c r="AJ19">
        <v>441.7</v>
      </c>
      <c r="AK19">
        <v>453.4</v>
      </c>
    </row>
    <row r="20" spans="1:37">
      <c r="A20" s="1">
        <v>19</v>
      </c>
      <c r="B20">
        <v>428.8</v>
      </c>
      <c r="C20">
        <v>478.2</v>
      </c>
      <c r="D20">
        <v>446.4</v>
      </c>
      <c r="E20">
        <v>422.7</v>
      </c>
      <c r="F20">
        <v>435.1</v>
      </c>
      <c r="G20">
        <v>448.1</v>
      </c>
      <c r="H20">
        <v>461.7</v>
      </c>
      <c r="I20">
        <v>436.8</v>
      </c>
      <c r="J20">
        <v>447</v>
      </c>
      <c r="K20">
        <v>442.7</v>
      </c>
      <c r="L20">
        <v>435.90000000000003</v>
      </c>
      <c r="M20">
        <v>430.1</v>
      </c>
      <c r="N20">
        <v>405</v>
      </c>
      <c r="O20">
        <v>438.2</v>
      </c>
      <c r="P20">
        <v>433.9</v>
      </c>
      <c r="Q20">
        <v>448.4</v>
      </c>
      <c r="R20">
        <v>444.9</v>
      </c>
      <c r="S20">
        <v>434</v>
      </c>
      <c r="T20">
        <v>441.5</v>
      </c>
      <c r="U20" s="10">
        <v>434.7</v>
      </c>
      <c r="V20">
        <v>409.7</v>
      </c>
      <c r="W20">
        <v>436.7</v>
      </c>
      <c r="X20">
        <v>443.4</v>
      </c>
      <c r="Y20">
        <v>413</v>
      </c>
      <c r="Z20" s="10">
        <v>445.6</v>
      </c>
      <c r="AA20">
        <v>443.8</v>
      </c>
      <c r="AB20">
        <v>438.4</v>
      </c>
      <c r="AC20">
        <v>452.4</v>
      </c>
      <c r="AD20">
        <v>439.4</v>
      </c>
      <c r="AE20">
        <v>434.1</v>
      </c>
      <c r="AF20">
        <v>447.6</v>
      </c>
      <c r="AG20" s="10">
        <v>438.8</v>
      </c>
      <c r="AH20" s="10">
        <v>442</v>
      </c>
      <c r="AI20" s="10">
        <v>425.1</v>
      </c>
      <c r="AJ20">
        <v>441.9</v>
      </c>
      <c r="AK20">
        <v>432.7</v>
      </c>
    </row>
    <row r="21" spans="1:37">
      <c r="A21" s="1">
        <v>20</v>
      </c>
      <c r="B21">
        <v>454.6</v>
      </c>
      <c r="C21">
        <v>484.1</v>
      </c>
      <c r="D21">
        <v>457.5</v>
      </c>
      <c r="E21">
        <v>431.7</v>
      </c>
      <c r="F21">
        <v>450.2</v>
      </c>
      <c r="G21">
        <v>442.1</v>
      </c>
      <c r="H21">
        <v>446.9</v>
      </c>
      <c r="I21">
        <v>467.9</v>
      </c>
      <c r="J21">
        <v>435.6</v>
      </c>
      <c r="K21">
        <v>434</v>
      </c>
      <c r="L21">
        <v>440.40000000000003</v>
      </c>
      <c r="M21">
        <v>429.8</v>
      </c>
      <c r="N21">
        <v>397.5</v>
      </c>
      <c r="O21">
        <v>436.4</v>
      </c>
      <c r="P21">
        <v>431</v>
      </c>
      <c r="Q21">
        <v>437.2</v>
      </c>
      <c r="R21">
        <v>431.70000000000005</v>
      </c>
      <c r="S21">
        <v>434.9</v>
      </c>
      <c r="T21">
        <v>438.4</v>
      </c>
      <c r="U21" s="10">
        <v>438.8</v>
      </c>
      <c r="V21">
        <v>420.7</v>
      </c>
      <c r="W21">
        <v>442.7</v>
      </c>
      <c r="X21">
        <v>434.6</v>
      </c>
      <c r="Y21">
        <v>430</v>
      </c>
      <c r="Z21" s="10">
        <v>451.2</v>
      </c>
      <c r="AA21">
        <v>419</v>
      </c>
      <c r="AB21">
        <v>437.5</v>
      </c>
      <c r="AC21">
        <v>455.8</v>
      </c>
      <c r="AD21">
        <v>436.3</v>
      </c>
      <c r="AE21">
        <v>439.3</v>
      </c>
      <c r="AF21">
        <v>428.2</v>
      </c>
      <c r="AG21" s="10">
        <v>433.4</v>
      </c>
      <c r="AH21" s="10">
        <v>436</v>
      </c>
      <c r="AI21" s="10">
        <v>436</v>
      </c>
      <c r="AJ21">
        <v>433.3</v>
      </c>
      <c r="AK21">
        <v>439.4</v>
      </c>
    </row>
    <row r="22" spans="1:37">
      <c r="A22" s="1">
        <v>21</v>
      </c>
      <c r="B22">
        <v>459.9</v>
      </c>
      <c r="C22">
        <v>458.2</v>
      </c>
      <c r="D22">
        <v>458.2</v>
      </c>
      <c r="E22">
        <v>458.2</v>
      </c>
      <c r="F22">
        <v>455.9</v>
      </c>
      <c r="G22">
        <v>467.9</v>
      </c>
      <c r="H22">
        <v>451.4</v>
      </c>
      <c r="I22">
        <v>473.8</v>
      </c>
      <c r="J22">
        <v>465.8</v>
      </c>
      <c r="K22">
        <v>461.9</v>
      </c>
      <c r="L22">
        <v>455.90000000000003</v>
      </c>
      <c r="M22">
        <v>452.1</v>
      </c>
      <c r="N22">
        <v>449.9</v>
      </c>
      <c r="O22">
        <v>461.3</v>
      </c>
      <c r="P22">
        <v>464.7</v>
      </c>
      <c r="Q22">
        <v>464.1</v>
      </c>
      <c r="R22">
        <v>462.6</v>
      </c>
      <c r="S22">
        <v>461.5</v>
      </c>
      <c r="T22">
        <v>461.9</v>
      </c>
      <c r="U22" s="10">
        <v>472.6</v>
      </c>
      <c r="V22">
        <v>468.6</v>
      </c>
      <c r="W22">
        <v>467.6</v>
      </c>
      <c r="X22">
        <v>464.1</v>
      </c>
      <c r="Y22">
        <v>463.7</v>
      </c>
      <c r="Z22" s="10">
        <v>462</v>
      </c>
      <c r="AA22">
        <v>461</v>
      </c>
      <c r="AB22">
        <v>471.3</v>
      </c>
      <c r="AC22">
        <v>469.6</v>
      </c>
      <c r="AD22">
        <v>467.9</v>
      </c>
      <c r="AE22">
        <v>464.3</v>
      </c>
      <c r="AF22">
        <v>462.7</v>
      </c>
      <c r="AG22" s="10">
        <v>460.9</v>
      </c>
      <c r="AH22">
        <v>458.8</v>
      </c>
      <c r="AI22" s="10">
        <v>452.8</v>
      </c>
      <c r="AJ22">
        <v>455.4</v>
      </c>
      <c r="AK22">
        <v>452.8</v>
      </c>
    </row>
    <row r="23" spans="1:37">
      <c r="A23" s="1">
        <v>22</v>
      </c>
      <c r="B23">
        <v>461.9</v>
      </c>
      <c r="C23">
        <v>461.1</v>
      </c>
      <c r="D23">
        <v>461.1</v>
      </c>
      <c r="E23">
        <v>461.1</v>
      </c>
      <c r="F23">
        <v>462.2</v>
      </c>
      <c r="G23">
        <v>461.7</v>
      </c>
      <c r="H23">
        <v>451.7</v>
      </c>
      <c r="I23">
        <v>468.4</v>
      </c>
      <c r="J23">
        <v>457.9</v>
      </c>
      <c r="K23">
        <v>444.2</v>
      </c>
      <c r="L23">
        <v>464.1</v>
      </c>
      <c r="M23">
        <v>456.8</v>
      </c>
      <c r="N23">
        <v>453.9</v>
      </c>
      <c r="O23">
        <v>448.2</v>
      </c>
      <c r="P23">
        <v>458.3</v>
      </c>
      <c r="Q23">
        <v>449.1</v>
      </c>
      <c r="R23">
        <v>440.70000000000005</v>
      </c>
      <c r="S23">
        <v>462.4</v>
      </c>
      <c r="T23">
        <v>457.9</v>
      </c>
      <c r="U23" s="10">
        <v>463.5</v>
      </c>
      <c r="V23">
        <v>457.3</v>
      </c>
      <c r="W23">
        <v>454.9</v>
      </c>
      <c r="X23">
        <v>467</v>
      </c>
      <c r="Y23">
        <v>462.6</v>
      </c>
      <c r="Z23" s="10">
        <v>455.1</v>
      </c>
      <c r="AA23">
        <v>454.7</v>
      </c>
      <c r="AB23">
        <v>447.7</v>
      </c>
      <c r="AC23">
        <v>478.6</v>
      </c>
      <c r="AD23">
        <v>475.4</v>
      </c>
      <c r="AE23">
        <v>470.7</v>
      </c>
      <c r="AF23">
        <v>465</v>
      </c>
      <c r="AG23" s="10">
        <v>461.1</v>
      </c>
      <c r="AH23" s="10">
        <v>454</v>
      </c>
      <c r="AI23" s="10">
        <v>442.2</v>
      </c>
      <c r="AJ23">
        <v>468.6</v>
      </c>
      <c r="AK23">
        <v>465.9</v>
      </c>
    </row>
    <row r="24" spans="1:37">
      <c r="A24" s="1">
        <v>23</v>
      </c>
      <c r="B24">
        <v>467.6</v>
      </c>
      <c r="C24">
        <v>447.5</v>
      </c>
      <c r="D24">
        <v>467.1</v>
      </c>
      <c r="E24">
        <v>450.4</v>
      </c>
      <c r="F24">
        <v>437.7</v>
      </c>
      <c r="G24">
        <v>445.3</v>
      </c>
      <c r="H24">
        <v>463.2</v>
      </c>
      <c r="I24">
        <v>441.6</v>
      </c>
      <c r="J24">
        <v>456.7</v>
      </c>
      <c r="K24">
        <v>445</v>
      </c>
      <c r="L24">
        <v>452.40000000000003</v>
      </c>
      <c r="M24">
        <v>448</v>
      </c>
      <c r="N24">
        <v>436.2</v>
      </c>
      <c r="O24">
        <v>461.4</v>
      </c>
      <c r="P24">
        <v>454.4</v>
      </c>
      <c r="Q24">
        <v>443.1</v>
      </c>
      <c r="R24">
        <v>450</v>
      </c>
      <c r="S24">
        <v>454.6</v>
      </c>
      <c r="T24">
        <v>447.3</v>
      </c>
      <c r="U24" s="10">
        <v>451.6</v>
      </c>
      <c r="V24">
        <v>455.4</v>
      </c>
      <c r="W24">
        <v>446.2</v>
      </c>
      <c r="X24">
        <v>448.7</v>
      </c>
      <c r="Y24">
        <v>454.5</v>
      </c>
      <c r="Z24" s="10">
        <v>447.2</v>
      </c>
      <c r="AA24">
        <v>430.7</v>
      </c>
      <c r="AB24">
        <v>456.7</v>
      </c>
      <c r="AC24">
        <v>444.3</v>
      </c>
      <c r="AD24">
        <v>450.4</v>
      </c>
      <c r="AE24">
        <v>454.4</v>
      </c>
      <c r="AF24">
        <v>451.3</v>
      </c>
      <c r="AG24" s="10">
        <v>433</v>
      </c>
      <c r="AH24">
        <v>454.3</v>
      </c>
      <c r="AI24" s="10">
        <v>440.8</v>
      </c>
      <c r="AJ24">
        <v>445.1</v>
      </c>
      <c r="AK24">
        <v>455.1</v>
      </c>
    </row>
    <row r="25" spans="1:37">
      <c r="A25" s="1">
        <v>24</v>
      </c>
      <c r="B25">
        <v>476.4</v>
      </c>
      <c r="C25">
        <v>476.4</v>
      </c>
      <c r="D25">
        <v>474</v>
      </c>
      <c r="E25">
        <v>467.7</v>
      </c>
      <c r="F25">
        <v>454.2</v>
      </c>
      <c r="G25">
        <v>446.1</v>
      </c>
      <c r="H25">
        <v>469</v>
      </c>
      <c r="I25">
        <v>467.6</v>
      </c>
      <c r="J25">
        <v>464.7</v>
      </c>
      <c r="K25">
        <v>464.2</v>
      </c>
      <c r="L25">
        <v>461.7</v>
      </c>
      <c r="M25">
        <v>459.6</v>
      </c>
      <c r="N25">
        <v>460</v>
      </c>
      <c r="O25">
        <v>458.6</v>
      </c>
      <c r="P25">
        <v>455.2</v>
      </c>
      <c r="Q25">
        <v>452.1</v>
      </c>
      <c r="R25">
        <v>451.5</v>
      </c>
      <c r="S25">
        <v>463.20000000000005</v>
      </c>
      <c r="T25">
        <v>465.5</v>
      </c>
      <c r="U25" s="10">
        <v>464.9</v>
      </c>
      <c r="V25">
        <v>464.4</v>
      </c>
      <c r="W25">
        <v>462.9</v>
      </c>
      <c r="X25">
        <v>461.6</v>
      </c>
      <c r="Y25">
        <v>461.6</v>
      </c>
      <c r="Z25" s="10">
        <v>460.4</v>
      </c>
      <c r="AA25">
        <v>459</v>
      </c>
      <c r="AB25">
        <v>457.7</v>
      </c>
      <c r="AC25">
        <v>454.4</v>
      </c>
      <c r="AD25">
        <v>453.6</v>
      </c>
      <c r="AE25">
        <v>452.9</v>
      </c>
      <c r="AF25">
        <v>452.4</v>
      </c>
      <c r="AG25" s="10">
        <v>466.2</v>
      </c>
      <c r="AH25">
        <v>465.7</v>
      </c>
      <c r="AI25" s="10">
        <v>461.3</v>
      </c>
      <c r="AJ25">
        <v>461.9</v>
      </c>
      <c r="AK25">
        <v>461.2</v>
      </c>
    </row>
    <row r="26" spans="1:37">
      <c r="A26" s="1">
        <v>25</v>
      </c>
      <c r="B26">
        <v>438.3</v>
      </c>
      <c r="C26">
        <v>460.4</v>
      </c>
      <c r="D26">
        <v>455.7</v>
      </c>
      <c r="E26">
        <v>449.8</v>
      </c>
      <c r="F26">
        <v>463.5</v>
      </c>
      <c r="G26">
        <v>462.3</v>
      </c>
      <c r="H26">
        <v>461.7</v>
      </c>
      <c r="I26">
        <v>457.5</v>
      </c>
      <c r="J26">
        <v>455.9</v>
      </c>
      <c r="K26">
        <v>453.5</v>
      </c>
      <c r="L26">
        <v>467.8</v>
      </c>
      <c r="M26">
        <v>463</v>
      </c>
      <c r="N26">
        <v>463.4</v>
      </c>
      <c r="O26">
        <v>462.1</v>
      </c>
      <c r="P26">
        <v>458.8</v>
      </c>
      <c r="Q26">
        <v>458.1</v>
      </c>
      <c r="R26">
        <v>456.9</v>
      </c>
      <c r="S26">
        <v>467.79999999999995</v>
      </c>
      <c r="T26">
        <v>469.8</v>
      </c>
      <c r="U26" s="10">
        <v>469.2</v>
      </c>
      <c r="V26">
        <v>468.2</v>
      </c>
      <c r="W26">
        <v>467.5</v>
      </c>
      <c r="X26">
        <v>466.8</v>
      </c>
      <c r="Y26">
        <v>466</v>
      </c>
      <c r="Z26" s="10">
        <v>465.1</v>
      </c>
      <c r="AA26">
        <v>464.4</v>
      </c>
      <c r="AB26">
        <v>463.8</v>
      </c>
      <c r="AC26">
        <v>463</v>
      </c>
      <c r="AD26">
        <v>461.8</v>
      </c>
      <c r="AE26">
        <v>460.8</v>
      </c>
      <c r="AF26">
        <v>460.2</v>
      </c>
      <c r="AG26" s="10">
        <v>459.6</v>
      </c>
      <c r="AH26" s="10">
        <v>453</v>
      </c>
      <c r="AI26" s="10">
        <v>454.6</v>
      </c>
      <c r="AJ26">
        <v>457.3</v>
      </c>
      <c r="AK26">
        <v>456.8</v>
      </c>
    </row>
    <row r="27" spans="1:37">
      <c r="A27" s="1">
        <v>26</v>
      </c>
      <c r="B27">
        <v>448.5</v>
      </c>
      <c r="C27">
        <v>467.3</v>
      </c>
      <c r="D27">
        <v>454.1</v>
      </c>
      <c r="E27">
        <v>444.7</v>
      </c>
      <c r="F27">
        <v>437</v>
      </c>
      <c r="G27">
        <v>456.2</v>
      </c>
      <c r="H27">
        <v>446</v>
      </c>
      <c r="I27">
        <v>465.6</v>
      </c>
      <c r="J27">
        <v>452.4</v>
      </c>
      <c r="K27">
        <v>443.59999999999997</v>
      </c>
      <c r="L27">
        <v>458.40000000000003</v>
      </c>
      <c r="M27">
        <v>447.8</v>
      </c>
      <c r="N27">
        <v>441.4</v>
      </c>
      <c r="O27">
        <v>448</v>
      </c>
      <c r="P27">
        <v>436.8</v>
      </c>
      <c r="Q27">
        <v>450.1</v>
      </c>
      <c r="R27">
        <v>440.4</v>
      </c>
      <c r="S27">
        <v>454.4</v>
      </c>
      <c r="T27">
        <v>461.6</v>
      </c>
      <c r="U27" s="10">
        <v>453.4</v>
      </c>
      <c r="V27">
        <v>448.4</v>
      </c>
      <c r="W27">
        <v>441.9</v>
      </c>
      <c r="X27">
        <v>457.6</v>
      </c>
      <c r="Y27">
        <v>455.7</v>
      </c>
      <c r="Z27" s="10">
        <v>450.1</v>
      </c>
      <c r="AA27">
        <v>465.8</v>
      </c>
      <c r="AB27">
        <v>461.5</v>
      </c>
      <c r="AC27">
        <v>458.8</v>
      </c>
      <c r="AD27">
        <v>451.3</v>
      </c>
      <c r="AE27">
        <v>460.7</v>
      </c>
      <c r="AF27">
        <v>455.3</v>
      </c>
      <c r="AG27" s="10">
        <v>465.1</v>
      </c>
      <c r="AH27" s="10">
        <v>457</v>
      </c>
      <c r="AI27" s="10">
        <v>447</v>
      </c>
      <c r="AJ27">
        <v>464.3</v>
      </c>
      <c r="AK27">
        <v>459.6</v>
      </c>
    </row>
    <row r="28" spans="1:37">
      <c r="A28" s="1">
        <v>27</v>
      </c>
      <c r="B28">
        <v>452.7</v>
      </c>
      <c r="C28">
        <v>458.2</v>
      </c>
      <c r="D28">
        <v>448</v>
      </c>
      <c r="E28">
        <v>439.2</v>
      </c>
      <c r="F28">
        <v>450.8</v>
      </c>
      <c r="G28">
        <v>469.8</v>
      </c>
      <c r="H28">
        <v>459.6</v>
      </c>
      <c r="I28">
        <v>468.2</v>
      </c>
      <c r="J28">
        <v>461.9</v>
      </c>
      <c r="K28">
        <v>451.9</v>
      </c>
      <c r="L28">
        <v>460.40000000000003</v>
      </c>
      <c r="M28">
        <v>450.6</v>
      </c>
      <c r="N28">
        <v>440.9</v>
      </c>
      <c r="O28">
        <v>465.2</v>
      </c>
      <c r="P28">
        <v>454.5</v>
      </c>
      <c r="Q28">
        <v>460.6</v>
      </c>
      <c r="R28">
        <v>454.70000000000005</v>
      </c>
      <c r="S28">
        <v>448.6</v>
      </c>
      <c r="T28">
        <v>469.1</v>
      </c>
      <c r="U28" s="10">
        <v>463.4</v>
      </c>
      <c r="V28">
        <v>456.1</v>
      </c>
      <c r="W28">
        <v>481.6</v>
      </c>
      <c r="X28">
        <v>478.5</v>
      </c>
      <c r="Y28">
        <v>478.3</v>
      </c>
      <c r="Z28" s="10">
        <v>475.4</v>
      </c>
      <c r="AA28">
        <v>472.4</v>
      </c>
      <c r="AB28">
        <v>466.2</v>
      </c>
      <c r="AC28">
        <v>463.2</v>
      </c>
      <c r="AD28">
        <v>459.3</v>
      </c>
      <c r="AE28">
        <v>456.9</v>
      </c>
      <c r="AF28">
        <v>453.8</v>
      </c>
      <c r="AG28" s="10">
        <v>473.9</v>
      </c>
      <c r="AH28">
        <v>470.5</v>
      </c>
      <c r="AI28" s="10">
        <v>464.1</v>
      </c>
      <c r="AJ28">
        <v>463.6</v>
      </c>
      <c r="AK28">
        <v>460.4</v>
      </c>
    </row>
    <row r="29" spans="1:37">
      <c r="A29" s="1">
        <v>28</v>
      </c>
      <c r="B29">
        <v>462.9</v>
      </c>
      <c r="C29">
        <v>450.3</v>
      </c>
      <c r="D29">
        <v>440.4</v>
      </c>
      <c r="E29">
        <v>466.8</v>
      </c>
      <c r="F29">
        <v>466</v>
      </c>
      <c r="G29">
        <v>466.1</v>
      </c>
      <c r="H29">
        <v>466</v>
      </c>
      <c r="I29">
        <v>460.9</v>
      </c>
      <c r="J29">
        <v>441.2</v>
      </c>
      <c r="K29">
        <v>455.29999999999995</v>
      </c>
      <c r="L29">
        <v>446.7</v>
      </c>
      <c r="M29">
        <v>451.2</v>
      </c>
      <c r="N29">
        <v>444.1</v>
      </c>
      <c r="O29">
        <v>458.3</v>
      </c>
      <c r="P29">
        <v>448.9</v>
      </c>
      <c r="Q29">
        <v>439.6</v>
      </c>
      <c r="R29">
        <v>460.6</v>
      </c>
      <c r="S29">
        <v>453.29999999999995</v>
      </c>
      <c r="T29">
        <v>459.4</v>
      </c>
      <c r="U29" s="10">
        <v>454.2</v>
      </c>
      <c r="V29">
        <v>450.6</v>
      </c>
      <c r="W29">
        <v>447</v>
      </c>
      <c r="X29">
        <v>460.5</v>
      </c>
      <c r="Y29">
        <v>454.2</v>
      </c>
      <c r="Z29" s="10">
        <v>451.5</v>
      </c>
      <c r="AA29">
        <v>449.3</v>
      </c>
      <c r="AB29">
        <v>466</v>
      </c>
      <c r="AC29">
        <v>459.6</v>
      </c>
      <c r="AD29">
        <v>455.2</v>
      </c>
      <c r="AE29">
        <v>449.9</v>
      </c>
      <c r="AF29">
        <v>460.5</v>
      </c>
      <c r="AG29" s="10">
        <v>457.8</v>
      </c>
      <c r="AH29">
        <v>454.9</v>
      </c>
      <c r="AI29" s="10">
        <v>448.2</v>
      </c>
      <c r="AJ29">
        <v>466.6</v>
      </c>
      <c r="AK29">
        <v>466.7</v>
      </c>
    </row>
    <row r="30" spans="1:37">
      <c r="A30" s="1">
        <v>29</v>
      </c>
      <c r="B30">
        <v>407</v>
      </c>
      <c r="C30">
        <v>438.4</v>
      </c>
      <c r="D30">
        <v>405</v>
      </c>
      <c r="E30">
        <v>433.8</v>
      </c>
      <c r="F30">
        <v>422.2</v>
      </c>
      <c r="G30">
        <v>432.9</v>
      </c>
      <c r="H30">
        <v>437.6</v>
      </c>
      <c r="I30">
        <v>437</v>
      </c>
      <c r="J30">
        <v>434.2</v>
      </c>
      <c r="K30">
        <v>431.7</v>
      </c>
      <c r="L30">
        <v>400.8</v>
      </c>
      <c r="M30">
        <v>434.2</v>
      </c>
      <c r="N30">
        <v>408.2</v>
      </c>
      <c r="O30">
        <v>428.5</v>
      </c>
      <c r="P30">
        <v>394</v>
      </c>
      <c r="Q30">
        <v>425.3</v>
      </c>
      <c r="R30">
        <v>434.20000000000005</v>
      </c>
      <c r="S30">
        <v>438</v>
      </c>
      <c r="T30">
        <v>437.9</v>
      </c>
      <c r="U30" s="10">
        <v>430.6</v>
      </c>
      <c r="V30">
        <v>429.2</v>
      </c>
      <c r="W30">
        <v>447.7</v>
      </c>
      <c r="X30">
        <v>439.3</v>
      </c>
      <c r="Y30">
        <v>439.1</v>
      </c>
      <c r="Z30" s="10">
        <v>447.3</v>
      </c>
      <c r="AA30">
        <v>421.6</v>
      </c>
      <c r="AB30">
        <v>441</v>
      </c>
      <c r="AC30">
        <v>451</v>
      </c>
      <c r="AD30">
        <v>444.1</v>
      </c>
      <c r="AE30">
        <v>417.3</v>
      </c>
      <c r="AF30">
        <v>439.6</v>
      </c>
      <c r="AG30" s="10">
        <v>440</v>
      </c>
      <c r="AH30">
        <v>442.9</v>
      </c>
      <c r="AI30" s="10">
        <v>435.4</v>
      </c>
      <c r="AJ30">
        <v>395.5</v>
      </c>
      <c r="AK30">
        <v>436.1</v>
      </c>
    </row>
    <row r="31" spans="1:37">
      <c r="A31" s="1">
        <v>30</v>
      </c>
      <c r="B31">
        <v>427.1</v>
      </c>
      <c r="C31">
        <v>473.6</v>
      </c>
      <c r="D31">
        <v>449.3</v>
      </c>
      <c r="E31">
        <v>419.4</v>
      </c>
      <c r="F31">
        <v>441.6</v>
      </c>
      <c r="G31">
        <v>434.1</v>
      </c>
      <c r="H31">
        <v>437.9</v>
      </c>
      <c r="I31">
        <v>445.2</v>
      </c>
      <c r="J31">
        <v>436.6</v>
      </c>
      <c r="K31">
        <v>437.4</v>
      </c>
      <c r="L31">
        <v>411.5</v>
      </c>
      <c r="M31">
        <v>435.1</v>
      </c>
      <c r="N31">
        <v>413.6</v>
      </c>
      <c r="O31">
        <v>435.8</v>
      </c>
      <c r="P31">
        <v>411.1</v>
      </c>
      <c r="Q31">
        <v>439.6</v>
      </c>
      <c r="R31">
        <v>430</v>
      </c>
      <c r="S31">
        <v>438</v>
      </c>
      <c r="T31">
        <v>439.5</v>
      </c>
      <c r="U31" s="10">
        <v>440.2</v>
      </c>
      <c r="V31">
        <v>427.3</v>
      </c>
      <c r="W31">
        <v>451.8</v>
      </c>
      <c r="X31">
        <v>436.2</v>
      </c>
      <c r="Y31">
        <v>411.3</v>
      </c>
      <c r="Z31" s="10">
        <v>453.6</v>
      </c>
      <c r="AA31">
        <v>430.4</v>
      </c>
      <c r="AB31">
        <v>436.7</v>
      </c>
      <c r="AC31">
        <v>454.2</v>
      </c>
      <c r="AD31">
        <v>427.1</v>
      </c>
      <c r="AE31">
        <v>443.1</v>
      </c>
      <c r="AF31">
        <v>443.5</v>
      </c>
      <c r="AG31" s="10">
        <v>438.1</v>
      </c>
      <c r="AH31">
        <v>438.3</v>
      </c>
      <c r="AI31" s="10">
        <v>432.7</v>
      </c>
      <c r="AJ31" s="10">
        <v>432</v>
      </c>
      <c r="AK31">
        <v>441.3</v>
      </c>
    </row>
    <row r="32" spans="1:37">
      <c r="A32" s="1">
        <v>31</v>
      </c>
      <c r="B32">
        <v>431.7</v>
      </c>
      <c r="C32">
        <v>473.9</v>
      </c>
      <c r="D32">
        <v>462.7</v>
      </c>
      <c r="E32">
        <v>449.1</v>
      </c>
      <c r="F32">
        <v>452.3</v>
      </c>
      <c r="G32">
        <v>432.1</v>
      </c>
      <c r="H32">
        <v>458.2</v>
      </c>
      <c r="I32">
        <v>444.3</v>
      </c>
      <c r="J32">
        <v>449.5</v>
      </c>
      <c r="K32">
        <v>449</v>
      </c>
      <c r="L32">
        <v>445.2</v>
      </c>
      <c r="M32">
        <v>450.4</v>
      </c>
      <c r="N32">
        <v>432.1</v>
      </c>
      <c r="O32">
        <v>450.3</v>
      </c>
      <c r="P32">
        <v>417.9</v>
      </c>
      <c r="Q32">
        <v>450.7</v>
      </c>
      <c r="R32">
        <v>440</v>
      </c>
      <c r="S32">
        <v>445</v>
      </c>
      <c r="T32">
        <v>445</v>
      </c>
      <c r="U32" s="10">
        <v>443.5</v>
      </c>
      <c r="V32">
        <v>411</v>
      </c>
      <c r="W32">
        <v>462.8</v>
      </c>
      <c r="X32">
        <v>438.8</v>
      </c>
      <c r="Y32">
        <v>420.9</v>
      </c>
      <c r="Z32" s="10">
        <v>447.6</v>
      </c>
      <c r="AA32">
        <v>434.4</v>
      </c>
      <c r="AB32">
        <v>438.2</v>
      </c>
      <c r="AC32">
        <v>461.7</v>
      </c>
      <c r="AD32">
        <v>434.2</v>
      </c>
      <c r="AE32">
        <v>451.9</v>
      </c>
      <c r="AF32">
        <v>440.4</v>
      </c>
      <c r="AG32" s="10">
        <v>447.8</v>
      </c>
      <c r="AH32">
        <v>427.7</v>
      </c>
      <c r="AI32" s="10">
        <v>450.8</v>
      </c>
      <c r="AJ32">
        <v>421.5</v>
      </c>
      <c r="AK32">
        <v>451.5</v>
      </c>
    </row>
    <row r="33" spans="1:37">
      <c r="A33" s="1">
        <v>32</v>
      </c>
      <c r="B33">
        <v>436.6</v>
      </c>
      <c r="C33">
        <v>467.8</v>
      </c>
      <c r="D33">
        <v>433.2</v>
      </c>
      <c r="E33">
        <v>435.3</v>
      </c>
      <c r="F33">
        <v>426.5</v>
      </c>
      <c r="G33">
        <v>422.2</v>
      </c>
      <c r="H33">
        <v>433</v>
      </c>
      <c r="I33">
        <v>434.3</v>
      </c>
      <c r="J33">
        <v>430.1</v>
      </c>
      <c r="K33">
        <v>432.09999999999997</v>
      </c>
      <c r="L33">
        <v>432.7</v>
      </c>
      <c r="M33">
        <v>422.8</v>
      </c>
      <c r="N33">
        <v>396.8</v>
      </c>
      <c r="O33">
        <v>428.3</v>
      </c>
      <c r="P33">
        <v>397.6</v>
      </c>
      <c r="Q33">
        <v>426.1</v>
      </c>
      <c r="R33">
        <v>436.29999999999995</v>
      </c>
      <c r="S33">
        <v>430.6</v>
      </c>
      <c r="T33">
        <v>447.9</v>
      </c>
      <c r="U33" s="10">
        <v>439.3</v>
      </c>
      <c r="V33">
        <v>431.2</v>
      </c>
      <c r="W33">
        <v>450</v>
      </c>
      <c r="X33">
        <v>428.6</v>
      </c>
      <c r="Y33">
        <v>425.3</v>
      </c>
      <c r="Z33" s="10">
        <v>447.9</v>
      </c>
      <c r="AA33">
        <v>422.6</v>
      </c>
      <c r="AB33">
        <v>433.1</v>
      </c>
      <c r="AC33">
        <v>450.7</v>
      </c>
      <c r="AD33">
        <v>445.8</v>
      </c>
      <c r="AE33">
        <v>426.3</v>
      </c>
      <c r="AF33">
        <v>427.9</v>
      </c>
      <c r="AG33" s="10">
        <v>434.6</v>
      </c>
      <c r="AH33">
        <v>437.6</v>
      </c>
      <c r="AI33" s="10">
        <v>430.5</v>
      </c>
      <c r="AJ33">
        <v>433.3</v>
      </c>
      <c r="AK33">
        <v>439.6</v>
      </c>
    </row>
    <row r="34" spans="1:37">
      <c r="A34" s="1">
        <v>33</v>
      </c>
      <c r="B34">
        <v>441</v>
      </c>
      <c r="C34">
        <v>460.5</v>
      </c>
      <c r="D34">
        <v>444.7</v>
      </c>
      <c r="E34">
        <v>433.7</v>
      </c>
      <c r="F34">
        <v>447.9</v>
      </c>
      <c r="G34">
        <v>457.2</v>
      </c>
      <c r="H34">
        <v>444.1</v>
      </c>
      <c r="I34">
        <v>471.5</v>
      </c>
      <c r="J34">
        <v>463</v>
      </c>
      <c r="K34">
        <v>458.7</v>
      </c>
      <c r="L34">
        <v>450.7</v>
      </c>
      <c r="M34">
        <v>460.7</v>
      </c>
      <c r="N34">
        <v>459.2</v>
      </c>
      <c r="O34">
        <v>451.1</v>
      </c>
      <c r="P34">
        <v>443.3</v>
      </c>
      <c r="Q34">
        <v>438.3</v>
      </c>
      <c r="R34">
        <v>458.29999999999995</v>
      </c>
      <c r="S34">
        <v>454</v>
      </c>
      <c r="T34">
        <v>465.3</v>
      </c>
      <c r="U34" s="10">
        <v>453.4</v>
      </c>
      <c r="V34">
        <v>449</v>
      </c>
      <c r="W34">
        <v>472.3</v>
      </c>
      <c r="X34">
        <v>466.8</v>
      </c>
      <c r="Y34">
        <v>463.9</v>
      </c>
      <c r="Z34" s="10">
        <v>460.7</v>
      </c>
      <c r="AA34">
        <v>456.3</v>
      </c>
      <c r="AB34">
        <v>451.8</v>
      </c>
      <c r="AC34">
        <v>451</v>
      </c>
      <c r="AD34">
        <v>466</v>
      </c>
      <c r="AE34">
        <v>464.2</v>
      </c>
      <c r="AF34">
        <v>462.1</v>
      </c>
      <c r="AG34" s="10">
        <v>458.7</v>
      </c>
      <c r="AH34">
        <v>453.6</v>
      </c>
      <c r="AI34" s="10">
        <v>446.8</v>
      </c>
      <c r="AJ34">
        <v>445.7</v>
      </c>
      <c r="AK34">
        <v>441.3</v>
      </c>
    </row>
    <row r="35" spans="1:37">
      <c r="A35" s="1">
        <v>34</v>
      </c>
      <c r="B35">
        <v>456.5</v>
      </c>
      <c r="C35">
        <v>448.4</v>
      </c>
      <c r="D35">
        <v>440.5</v>
      </c>
      <c r="E35">
        <v>434.2</v>
      </c>
      <c r="F35">
        <v>461.2</v>
      </c>
      <c r="G35">
        <v>454.9</v>
      </c>
      <c r="H35">
        <v>450.1</v>
      </c>
      <c r="I35">
        <v>466.7</v>
      </c>
      <c r="J35">
        <v>464.7</v>
      </c>
      <c r="K35">
        <v>460.59999999999997</v>
      </c>
      <c r="L35">
        <v>454.2</v>
      </c>
      <c r="M35">
        <v>469.6</v>
      </c>
      <c r="N35">
        <v>465</v>
      </c>
      <c r="O35">
        <v>460.5</v>
      </c>
      <c r="P35">
        <v>460.9</v>
      </c>
      <c r="Q35">
        <v>456.9</v>
      </c>
      <c r="R35">
        <v>449.5</v>
      </c>
      <c r="S35">
        <v>457.79999999999995</v>
      </c>
      <c r="T35">
        <v>450.4</v>
      </c>
      <c r="U35" s="10">
        <v>463.7</v>
      </c>
      <c r="V35">
        <v>456.2</v>
      </c>
      <c r="W35">
        <v>450.5</v>
      </c>
      <c r="X35">
        <v>447.4</v>
      </c>
      <c r="Y35">
        <v>461.8</v>
      </c>
      <c r="Z35" s="10">
        <v>454</v>
      </c>
      <c r="AA35">
        <v>449.6</v>
      </c>
      <c r="AB35">
        <v>454.1</v>
      </c>
      <c r="AC35">
        <v>450.8</v>
      </c>
      <c r="AD35">
        <v>466.5</v>
      </c>
      <c r="AE35">
        <v>458.4</v>
      </c>
      <c r="AF35">
        <v>450.4</v>
      </c>
      <c r="AG35" s="10">
        <v>459.3</v>
      </c>
      <c r="AH35">
        <v>453.3</v>
      </c>
      <c r="AI35" s="10">
        <v>463.9</v>
      </c>
      <c r="AJ35">
        <v>463.3</v>
      </c>
      <c r="AK35">
        <v>459.9</v>
      </c>
    </row>
    <row r="36" spans="1:37">
      <c r="A36" s="1">
        <v>35</v>
      </c>
      <c r="B36">
        <v>442.8</v>
      </c>
      <c r="C36">
        <v>459.8</v>
      </c>
      <c r="D36">
        <v>450.9</v>
      </c>
      <c r="E36">
        <v>443.4</v>
      </c>
      <c r="F36">
        <v>459.9</v>
      </c>
      <c r="G36">
        <v>452.6</v>
      </c>
      <c r="H36">
        <v>441.3</v>
      </c>
      <c r="I36">
        <v>457</v>
      </c>
      <c r="J36">
        <v>451.1</v>
      </c>
      <c r="K36">
        <v>441.79999999999995</v>
      </c>
      <c r="L36">
        <v>460.5</v>
      </c>
      <c r="M36">
        <v>450.1</v>
      </c>
      <c r="N36">
        <v>446.4</v>
      </c>
      <c r="O36">
        <v>439.2</v>
      </c>
      <c r="P36">
        <v>452.6</v>
      </c>
      <c r="Q36">
        <v>445.3</v>
      </c>
      <c r="R36">
        <v>454.9</v>
      </c>
      <c r="S36">
        <v>465.9</v>
      </c>
      <c r="T36">
        <v>464.5</v>
      </c>
      <c r="U36" s="10">
        <v>458.5</v>
      </c>
      <c r="V36">
        <v>450.9</v>
      </c>
      <c r="W36">
        <v>447.4</v>
      </c>
      <c r="X36">
        <v>455.8</v>
      </c>
      <c r="Y36">
        <v>451.9</v>
      </c>
      <c r="Z36" s="10">
        <v>442.6</v>
      </c>
      <c r="AA36">
        <v>473.1</v>
      </c>
      <c r="AB36">
        <v>468.2</v>
      </c>
      <c r="AC36">
        <v>460.3</v>
      </c>
      <c r="AD36">
        <v>454.9</v>
      </c>
      <c r="AE36">
        <v>461.8</v>
      </c>
      <c r="AF36">
        <v>455.1</v>
      </c>
      <c r="AG36" s="10">
        <v>466.2</v>
      </c>
      <c r="AH36">
        <v>459.6</v>
      </c>
      <c r="AI36" s="10">
        <v>449.8</v>
      </c>
      <c r="AJ36">
        <v>445.9</v>
      </c>
      <c r="AK36">
        <v>458.1</v>
      </c>
    </row>
    <row r="37" spans="1:37">
      <c r="A37" s="1">
        <v>36</v>
      </c>
      <c r="B37">
        <v>445.4</v>
      </c>
      <c r="C37">
        <v>475.2</v>
      </c>
      <c r="D37">
        <v>468.9</v>
      </c>
      <c r="E37">
        <v>455.8</v>
      </c>
      <c r="F37">
        <v>453.8</v>
      </c>
      <c r="G37">
        <v>441</v>
      </c>
      <c r="H37">
        <v>461.7</v>
      </c>
      <c r="I37">
        <v>458.2</v>
      </c>
      <c r="J37">
        <v>452.4</v>
      </c>
      <c r="K37">
        <v>446.79999999999995</v>
      </c>
      <c r="L37">
        <v>438.8</v>
      </c>
      <c r="M37">
        <v>455.2</v>
      </c>
      <c r="N37">
        <v>434.4</v>
      </c>
      <c r="O37">
        <v>458.6</v>
      </c>
      <c r="P37">
        <v>449.8</v>
      </c>
      <c r="Q37">
        <v>439.6</v>
      </c>
      <c r="R37">
        <v>460.29999999999995</v>
      </c>
      <c r="S37">
        <v>456.9</v>
      </c>
      <c r="T37">
        <v>455.8</v>
      </c>
      <c r="U37" s="10">
        <v>454.1</v>
      </c>
      <c r="V37">
        <v>470.4</v>
      </c>
      <c r="W37">
        <v>468.3</v>
      </c>
      <c r="X37">
        <v>467.6</v>
      </c>
      <c r="Y37">
        <v>467.3</v>
      </c>
      <c r="Z37" s="10">
        <v>466.6</v>
      </c>
      <c r="AA37">
        <v>466.1</v>
      </c>
      <c r="AB37">
        <v>462.5</v>
      </c>
      <c r="AC37">
        <v>461.6</v>
      </c>
      <c r="AD37">
        <v>460.8</v>
      </c>
      <c r="AE37">
        <v>460</v>
      </c>
      <c r="AF37">
        <v>453.6</v>
      </c>
      <c r="AG37" s="10">
        <v>452.8</v>
      </c>
      <c r="AH37">
        <v>451.9</v>
      </c>
      <c r="AI37" s="10">
        <v>460.5</v>
      </c>
      <c r="AJ37">
        <v>463.2</v>
      </c>
      <c r="AK37">
        <v>462.7</v>
      </c>
    </row>
    <row r="38" spans="1:37">
      <c r="A38" s="1">
        <v>37</v>
      </c>
      <c r="B38">
        <v>461.6</v>
      </c>
      <c r="C38">
        <v>463.4</v>
      </c>
      <c r="D38">
        <v>461.1</v>
      </c>
      <c r="E38">
        <v>468.5</v>
      </c>
      <c r="F38">
        <v>461.6</v>
      </c>
      <c r="G38">
        <v>460.7</v>
      </c>
      <c r="H38">
        <v>457.7</v>
      </c>
      <c r="I38">
        <v>453.3</v>
      </c>
      <c r="J38">
        <v>451.5</v>
      </c>
      <c r="K38">
        <v>450.9</v>
      </c>
      <c r="L38">
        <v>446.2</v>
      </c>
      <c r="M38">
        <v>455.8</v>
      </c>
      <c r="N38">
        <v>452.8</v>
      </c>
      <c r="O38">
        <v>451.7</v>
      </c>
      <c r="P38">
        <v>467.5</v>
      </c>
      <c r="Q38">
        <v>466.6</v>
      </c>
      <c r="R38">
        <v>464.1</v>
      </c>
      <c r="S38">
        <v>463.5</v>
      </c>
      <c r="T38">
        <v>465.2</v>
      </c>
      <c r="U38" s="10">
        <v>461.7</v>
      </c>
      <c r="V38">
        <v>457.6</v>
      </c>
      <c r="W38">
        <v>456.7</v>
      </c>
      <c r="X38">
        <v>454.3</v>
      </c>
      <c r="Y38">
        <v>452.2</v>
      </c>
      <c r="Z38" s="10">
        <v>451.1</v>
      </c>
      <c r="AA38">
        <v>450.2</v>
      </c>
      <c r="AB38">
        <v>462</v>
      </c>
      <c r="AC38">
        <v>461.1</v>
      </c>
      <c r="AD38">
        <v>460.3</v>
      </c>
      <c r="AE38">
        <v>459.6</v>
      </c>
      <c r="AF38">
        <v>465</v>
      </c>
      <c r="AG38" s="10">
        <v>463</v>
      </c>
      <c r="AH38">
        <v>462.2</v>
      </c>
      <c r="AI38" s="10">
        <v>457.4</v>
      </c>
      <c r="AJ38" s="10">
        <v>460</v>
      </c>
      <c r="AK38">
        <v>459.4</v>
      </c>
    </row>
    <row r="39" spans="1:37">
      <c r="A39" s="1">
        <v>38</v>
      </c>
      <c r="B39">
        <v>445.7</v>
      </c>
      <c r="C39">
        <v>465.8</v>
      </c>
      <c r="D39">
        <v>452.7</v>
      </c>
      <c r="E39">
        <v>441.6</v>
      </c>
      <c r="F39">
        <v>440.6</v>
      </c>
      <c r="G39">
        <v>460.7</v>
      </c>
      <c r="H39">
        <v>450.8</v>
      </c>
      <c r="I39">
        <v>464.8</v>
      </c>
      <c r="J39">
        <v>457.3</v>
      </c>
      <c r="K39">
        <v>447.59999999999997</v>
      </c>
      <c r="L39">
        <v>458.90000000000003</v>
      </c>
      <c r="M39">
        <v>446</v>
      </c>
      <c r="N39">
        <v>440.7</v>
      </c>
      <c r="O39">
        <v>455.9</v>
      </c>
      <c r="P39">
        <v>457.9</v>
      </c>
      <c r="Q39">
        <v>449.5</v>
      </c>
      <c r="R39">
        <v>455</v>
      </c>
      <c r="S39">
        <v>472</v>
      </c>
      <c r="T39">
        <v>467.7</v>
      </c>
      <c r="U39" s="10">
        <v>460.6</v>
      </c>
      <c r="V39">
        <v>453.6</v>
      </c>
      <c r="W39">
        <v>446.7</v>
      </c>
      <c r="X39">
        <v>461</v>
      </c>
      <c r="Y39">
        <v>455.8</v>
      </c>
      <c r="Z39" s="10">
        <v>449.5</v>
      </c>
      <c r="AA39">
        <v>443.8</v>
      </c>
      <c r="AB39">
        <v>466.5</v>
      </c>
      <c r="AC39">
        <v>461.5</v>
      </c>
      <c r="AD39">
        <v>455.9</v>
      </c>
      <c r="AE39">
        <v>448.5</v>
      </c>
      <c r="AF39">
        <v>465.9</v>
      </c>
      <c r="AG39" s="10">
        <v>461.2</v>
      </c>
      <c r="AH39">
        <v>457.5</v>
      </c>
      <c r="AI39" s="10">
        <v>450.9</v>
      </c>
      <c r="AJ39">
        <v>449.7</v>
      </c>
      <c r="AK39">
        <v>444.8</v>
      </c>
    </row>
    <row r="40" spans="1:37">
      <c r="A40" s="1">
        <v>39</v>
      </c>
      <c r="B40">
        <v>418.1</v>
      </c>
      <c r="C40">
        <v>439.9</v>
      </c>
      <c r="D40">
        <v>432.7</v>
      </c>
      <c r="E40">
        <v>434.5</v>
      </c>
      <c r="F40">
        <v>433.7</v>
      </c>
      <c r="G40">
        <v>430</v>
      </c>
      <c r="H40">
        <v>439.9</v>
      </c>
      <c r="I40">
        <v>436.4</v>
      </c>
      <c r="J40">
        <v>435.3</v>
      </c>
      <c r="K40">
        <v>428.5</v>
      </c>
      <c r="L40">
        <v>435.3</v>
      </c>
      <c r="M40">
        <v>426.6</v>
      </c>
      <c r="N40">
        <v>398.2</v>
      </c>
      <c r="O40">
        <v>439.6</v>
      </c>
      <c r="P40">
        <v>431.3</v>
      </c>
      <c r="Q40">
        <v>439.1</v>
      </c>
      <c r="R40">
        <v>417.20000000000005</v>
      </c>
      <c r="S40">
        <v>448.70000000000005</v>
      </c>
      <c r="T40">
        <v>449.3</v>
      </c>
      <c r="U40" s="10">
        <v>458.4</v>
      </c>
      <c r="V40">
        <v>449.6</v>
      </c>
      <c r="W40">
        <v>468.6</v>
      </c>
      <c r="X40">
        <v>457</v>
      </c>
      <c r="Y40">
        <v>448.3</v>
      </c>
      <c r="Z40" s="10">
        <v>440.2</v>
      </c>
      <c r="AA40">
        <v>431.5</v>
      </c>
      <c r="AB40">
        <v>447.8</v>
      </c>
      <c r="AC40">
        <v>467.2</v>
      </c>
      <c r="AD40">
        <v>454.8</v>
      </c>
      <c r="AE40">
        <v>449.8</v>
      </c>
      <c r="AF40">
        <v>441.8</v>
      </c>
      <c r="AG40" s="10">
        <v>455.8</v>
      </c>
      <c r="AH40">
        <v>453.4</v>
      </c>
      <c r="AI40" s="10">
        <v>461.3</v>
      </c>
      <c r="AJ40">
        <v>458.2</v>
      </c>
      <c r="AK40">
        <v>469.2</v>
      </c>
    </row>
    <row r="41" spans="1:37">
      <c r="A41" s="1">
        <v>40</v>
      </c>
      <c r="B41">
        <v>406.2</v>
      </c>
      <c r="C41">
        <v>424.8</v>
      </c>
      <c r="D41">
        <v>414.6</v>
      </c>
      <c r="E41">
        <v>416.2</v>
      </c>
      <c r="F41">
        <v>404.1</v>
      </c>
      <c r="G41">
        <v>400.2</v>
      </c>
      <c r="H41">
        <v>421.5</v>
      </c>
      <c r="I41">
        <v>467.3</v>
      </c>
      <c r="J41">
        <v>436.7</v>
      </c>
      <c r="K41">
        <v>395.79999999999995</v>
      </c>
      <c r="L41">
        <v>404.3</v>
      </c>
      <c r="M41">
        <v>385.3</v>
      </c>
      <c r="N41">
        <v>324</v>
      </c>
      <c r="O41">
        <v>397.4</v>
      </c>
      <c r="P41">
        <v>389.2</v>
      </c>
      <c r="Q41">
        <v>400</v>
      </c>
      <c r="R41">
        <v>401.4</v>
      </c>
      <c r="S41">
        <v>389.70000000000005</v>
      </c>
      <c r="T41">
        <v>391.8</v>
      </c>
      <c r="U41" s="10">
        <v>393.7</v>
      </c>
      <c r="V41">
        <v>397.6</v>
      </c>
      <c r="W41">
        <v>392.1</v>
      </c>
      <c r="X41">
        <v>398.2</v>
      </c>
      <c r="Y41">
        <v>393.9</v>
      </c>
      <c r="Z41" s="10">
        <v>413.8</v>
      </c>
      <c r="AA41">
        <v>388.4</v>
      </c>
      <c r="AB41">
        <v>394.2</v>
      </c>
      <c r="AC41">
        <v>414.3</v>
      </c>
      <c r="AD41">
        <v>374.1</v>
      </c>
      <c r="AE41">
        <v>371.6</v>
      </c>
      <c r="AF41">
        <v>387.2</v>
      </c>
      <c r="AG41" s="10">
        <v>383.7</v>
      </c>
      <c r="AH41">
        <v>389.5</v>
      </c>
      <c r="AI41" s="10">
        <v>367.5</v>
      </c>
      <c r="AJ41">
        <v>401.2</v>
      </c>
      <c r="AK41">
        <v>382.1</v>
      </c>
    </row>
    <row r="42" spans="1:37">
      <c r="A42" s="1">
        <v>41</v>
      </c>
      <c r="B42">
        <v>451</v>
      </c>
      <c r="C42">
        <v>441.7</v>
      </c>
      <c r="D42">
        <v>468.7</v>
      </c>
      <c r="E42">
        <v>468.7</v>
      </c>
      <c r="F42">
        <v>470</v>
      </c>
      <c r="G42">
        <v>469.7</v>
      </c>
      <c r="H42">
        <v>469.2</v>
      </c>
      <c r="I42">
        <v>468.8</v>
      </c>
      <c r="J42">
        <v>468.5</v>
      </c>
      <c r="K42">
        <v>468.09999999999997</v>
      </c>
      <c r="L42">
        <v>467.5</v>
      </c>
      <c r="M42">
        <v>465.5</v>
      </c>
      <c r="N42">
        <v>465.9</v>
      </c>
      <c r="O42">
        <v>465.4</v>
      </c>
      <c r="P42">
        <v>459.4</v>
      </c>
      <c r="Q42">
        <v>455.9</v>
      </c>
      <c r="R42">
        <v>454.6</v>
      </c>
      <c r="S42">
        <v>454</v>
      </c>
      <c r="T42">
        <v>455</v>
      </c>
      <c r="U42" s="10">
        <v>454.3</v>
      </c>
      <c r="V42">
        <v>453.2</v>
      </c>
      <c r="W42">
        <v>452.4</v>
      </c>
      <c r="X42">
        <v>463.4</v>
      </c>
      <c r="Y42">
        <v>462.9</v>
      </c>
      <c r="Z42" s="10">
        <v>460.1</v>
      </c>
      <c r="AA42">
        <v>459.6</v>
      </c>
      <c r="AB42">
        <v>456.8</v>
      </c>
      <c r="AC42">
        <v>452.6</v>
      </c>
      <c r="AD42">
        <v>451.8</v>
      </c>
      <c r="AE42">
        <v>449.1</v>
      </c>
      <c r="AF42">
        <v>465.9</v>
      </c>
      <c r="AG42" s="10">
        <v>463.2</v>
      </c>
      <c r="AH42">
        <v>462.6</v>
      </c>
      <c r="AI42" s="10">
        <v>464.3</v>
      </c>
      <c r="AJ42">
        <v>467.1</v>
      </c>
      <c r="AK42">
        <v>466.5</v>
      </c>
    </row>
    <row r="43" spans="1:37">
      <c r="A43" s="1">
        <v>42</v>
      </c>
      <c r="B43">
        <v>458.5</v>
      </c>
      <c r="C43">
        <v>446.7</v>
      </c>
      <c r="D43">
        <v>465.4</v>
      </c>
      <c r="E43">
        <v>452</v>
      </c>
      <c r="F43">
        <v>447.3</v>
      </c>
      <c r="G43">
        <v>460.1</v>
      </c>
      <c r="H43">
        <v>448.1</v>
      </c>
      <c r="I43">
        <v>467.1</v>
      </c>
      <c r="J43">
        <v>457.5</v>
      </c>
      <c r="K43">
        <v>447.4</v>
      </c>
      <c r="L43">
        <v>455.6</v>
      </c>
      <c r="M43">
        <v>446.4</v>
      </c>
      <c r="N43">
        <v>438.4</v>
      </c>
      <c r="O43">
        <v>452.6</v>
      </c>
      <c r="P43">
        <v>451.7</v>
      </c>
      <c r="Q43">
        <v>440.6</v>
      </c>
      <c r="R43">
        <v>453.6</v>
      </c>
      <c r="S43">
        <v>446.4</v>
      </c>
      <c r="T43">
        <v>459.4</v>
      </c>
      <c r="U43" s="10">
        <v>448.6</v>
      </c>
      <c r="V43">
        <v>443.2</v>
      </c>
      <c r="W43">
        <v>478</v>
      </c>
      <c r="X43">
        <v>476.1</v>
      </c>
      <c r="Y43">
        <v>471.1</v>
      </c>
      <c r="Z43" s="10">
        <v>466.2</v>
      </c>
      <c r="AA43">
        <v>463.1</v>
      </c>
      <c r="AB43">
        <v>459</v>
      </c>
      <c r="AC43">
        <v>455.8</v>
      </c>
      <c r="AD43">
        <v>451.4</v>
      </c>
      <c r="AE43">
        <v>459.3</v>
      </c>
      <c r="AF43">
        <v>454.3</v>
      </c>
      <c r="AG43" s="10">
        <v>464.3</v>
      </c>
      <c r="AH43">
        <v>461.2</v>
      </c>
      <c r="AI43" s="10">
        <v>452.1</v>
      </c>
      <c r="AJ43">
        <v>449.8</v>
      </c>
      <c r="AK43" s="10">
        <v>450</v>
      </c>
    </row>
    <row r="44" spans="1:37">
      <c r="A44" s="1">
        <v>43</v>
      </c>
      <c r="B44">
        <v>453</v>
      </c>
      <c r="C44">
        <v>451.8</v>
      </c>
      <c r="D44">
        <v>451.8</v>
      </c>
      <c r="E44">
        <v>451.8</v>
      </c>
      <c r="F44">
        <v>451.2</v>
      </c>
      <c r="G44">
        <v>449.6</v>
      </c>
      <c r="H44">
        <v>472.5</v>
      </c>
      <c r="I44">
        <v>468.7</v>
      </c>
      <c r="J44">
        <v>463.3</v>
      </c>
      <c r="K44">
        <v>455.59999999999997</v>
      </c>
      <c r="L44">
        <v>449.90000000000003</v>
      </c>
      <c r="M44">
        <v>461.7</v>
      </c>
      <c r="N44">
        <v>459.7</v>
      </c>
      <c r="O44">
        <v>451.9</v>
      </c>
      <c r="P44">
        <v>443.4</v>
      </c>
      <c r="Q44">
        <v>435.9</v>
      </c>
      <c r="R44">
        <v>454.79999999999995</v>
      </c>
      <c r="S44">
        <v>464.5</v>
      </c>
      <c r="T44">
        <v>461.7</v>
      </c>
      <c r="U44" s="10">
        <v>456.9</v>
      </c>
      <c r="V44">
        <v>452</v>
      </c>
      <c r="W44">
        <v>446.9</v>
      </c>
      <c r="X44">
        <v>464.1</v>
      </c>
      <c r="Y44">
        <v>462.9</v>
      </c>
      <c r="Z44" s="10">
        <v>455.8</v>
      </c>
      <c r="AA44">
        <v>451.4</v>
      </c>
      <c r="AB44">
        <v>446.1</v>
      </c>
      <c r="AC44">
        <v>438.9</v>
      </c>
      <c r="AD44">
        <v>460.6</v>
      </c>
      <c r="AE44">
        <v>457.6</v>
      </c>
      <c r="AF44">
        <v>454.4</v>
      </c>
      <c r="AG44" s="10">
        <v>455.4</v>
      </c>
      <c r="AH44">
        <v>451.4</v>
      </c>
      <c r="AI44" s="10">
        <v>442.6</v>
      </c>
      <c r="AJ44">
        <v>442.5</v>
      </c>
      <c r="AK44" s="10">
        <v>461</v>
      </c>
    </row>
    <row r="45" spans="1:37">
      <c r="A45" s="1">
        <v>44</v>
      </c>
      <c r="B45">
        <v>457.6</v>
      </c>
      <c r="C45">
        <v>448.2</v>
      </c>
      <c r="D45">
        <v>444.4</v>
      </c>
      <c r="E45">
        <v>434</v>
      </c>
      <c r="F45">
        <v>461.6</v>
      </c>
      <c r="G45">
        <v>458.5</v>
      </c>
      <c r="H45">
        <v>451.1</v>
      </c>
      <c r="I45">
        <v>460.7</v>
      </c>
      <c r="J45">
        <v>455.9</v>
      </c>
      <c r="K45">
        <v>451.59999999999997</v>
      </c>
      <c r="L45">
        <v>444</v>
      </c>
      <c r="M45">
        <v>456.5</v>
      </c>
      <c r="N45">
        <v>449.7</v>
      </c>
      <c r="O45">
        <v>444</v>
      </c>
      <c r="P45">
        <v>454.5</v>
      </c>
      <c r="Q45">
        <v>444.9</v>
      </c>
      <c r="R45">
        <v>445.2</v>
      </c>
      <c r="S45">
        <v>442</v>
      </c>
      <c r="T45">
        <v>460.5</v>
      </c>
      <c r="U45" s="10">
        <v>454.5</v>
      </c>
      <c r="V45">
        <v>450.1</v>
      </c>
      <c r="W45">
        <v>443.7</v>
      </c>
      <c r="X45">
        <v>464.3</v>
      </c>
      <c r="Y45">
        <v>462.1</v>
      </c>
      <c r="Z45" s="10">
        <v>456.1</v>
      </c>
      <c r="AA45">
        <v>454.5</v>
      </c>
      <c r="AB45">
        <v>449.9</v>
      </c>
      <c r="AC45">
        <v>446.8</v>
      </c>
      <c r="AD45">
        <v>462.9</v>
      </c>
      <c r="AE45">
        <v>460</v>
      </c>
      <c r="AF45">
        <v>454</v>
      </c>
      <c r="AG45" s="10">
        <v>464.6</v>
      </c>
      <c r="AH45">
        <v>462.7</v>
      </c>
      <c r="AI45" s="10">
        <v>457.8</v>
      </c>
      <c r="AJ45">
        <v>458.2</v>
      </c>
      <c r="AK45">
        <v>454.9</v>
      </c>
    </row>
    <row r="46" spans="1:37">
      <c r="A46" s="1">
        <v>45</v>
      </c>
      <c r="B46">
        <v>454</v>
      </c>
      <c r="C46">
        <v>452.9</v>
      </c>
      <c r="D46">
        <v>433.4</v>
      </c>
      <c r="E46">
        <v>451.3</v>
      </c>
      <c r="F46">
        <v>451.4</v>
      </c>
      <c r="G46">
        <v>461.5</v>
      </c>
      <c r="H46">
        <v>446.3</v>
      </c>
      <c r="I46">
        <v>453.7</v>
      </c>
      <c r="J46">
        <v>443.7</v>
      </c>
      <c r="K46">
        <v>457.4</v>
      </c>
      <c r="L46">
        <v>441.5</v>
      </c>
      <c r="M46">
        <v>458.8</v>
      </c>
      <c r="N46">
        <v>452.5</v>
      </c>
      <c r="O46">
        <v>445.5</v>
      </c>
      <c r="P46">
        <v>449.9</v>
      </c>
      <c r="Q46">
        <v>456.5</v>
      </c>
      <c r="R46">
        <v>447.4</v>
      </c>
      <c r="S46">
        <v>464.70000000000005</v>
      </c>
      <c r="T46">
        <v>457.8</v>
      </c>
      <c r="U46" s="10">
        <v>456.1</v>
      </c>
      <c r="V46">
        <v>445</v>
      </c>
      <c r="W46">
        <v>473.1</v>
      </c>
      <c r="X46">
        <v>462.3</v>
      </c>
      <c r="Y46">
        <v>453.8</v>
      </c>
      <c r="Z46" s="10">
        <v>469.9</v>
      </c>
      <c r="AA46">
        <v>458.9</v>
      </c>
      <c r="AB46">
        <v>449.3</v>
      </c>
      <c r="AC46">
        <v>464.8</v>
      </c>
      <c r="AD46">
        <v>453.7</v>
      </c>
      <c r="AE46">
        <v>456.6</v>
      </c>
      <c r="AF46">
        <v>450</v>
      </c>
      <c r="AG46" s="10">
        <v>454.9</v>
      </c>
      <c r="AH46">
        <v>446.7</v>
      </c>
      <c r="AI46" s="10">
        <v>453.7</v>
      </c>
      <c r="AJ46">
        <v>448.4</v>
      </c>
      <c r="AK46">
        <v>447.6</v>
      </c>
    </row>
    <row r="47" spans="1:37">
      <c r="A47" s="1">
        <v>46</v>
      </c>
      <c r="B47">
        <v>458</v>
      </c>
      <c r="C47">
        <v>456.1</v>
      </c>
      <c r="D47">
        <v>451.7</v>
      </c>
      <c r="E47">
        <v>446.4</v>
      </c>
      <c r="F47">
        <v>454.5</v>
      </c>
      <c r="G47">
        <v>453.6</v>
      </c>
      <c r="H47">
        <v>474.6</v>
      </c>
      <c r="I47">
        <v>472.8</v>
      </c>
      <c r="J47">
        <v>472.3</v>
      </c>
      <c r="K47">
        <v>471.7</v>
      </c>
      <c r="L47">
        <v>471.1</v>
      </c>
      <c r="M47">
        <v>468.1</v>
      </c>
      <c r="N47">
        <v>466.2</v>
      </c>
      <c r="O47">
        <v>464.6</v>
      </c>
      <c r="P47">
        <v>458.4</v>
      </c>
      <c r="Q47">
        <v>457.4</v>
      </c>
      <c r="R47">
        <v>455.29999999999995</v>
      </c>
      <c r="S47">
        <v>466.70000000000005</v>
      </c>
      <c r="T47">
        <v>468.3</v>
      </c>
      <c r="U47" s="10">
        <v>467.6</v>
      </c>
      <c r="V47">
        <v>466.3</v>
      </c>
      <c r="W47">
        <v>458.6</v>
      </c>
      <c r="X47">
        <v>474.9</v>
      </c>
      <c r="Y47">
        <v>474.3</v>
      </c>
      <c r="Z47" s="10">
        <v>471.4</v>
      </c>
      <c r="AA47">
        <v>470.6</v>
      </c>
      <c r="AB47">
        <v>469.4</v>
      </c>
      <c r="AC47">
        <v>468.6</v>
      </c>
      <c r="AD47">
        <v>467.8</v>
      </c>
      <c r="AE47">
        <v>466.8</v>
      </c>
      <c r="AF47">
        <v>475.1</v>
      </c>
      <c r="AG47" s="10">
        <v>474.2</v>
      </c>
      <c r="AH47">
        <v>473.6</v>
      </c>
      <c r="AI47" s="10">
        <v>467.2</v>
      </c>
      <c r="AJ47">
        <v>469.8</v>
      </c>
      <c r="AK47">
        <v>469.2</v>
      </c>
    </row>
    <row r="48" spans="1:37">
      <c r="A48" s="1">
        <v>47</v>
      </c>
      <c r="B48">
        <v>466.2</v>
      </c>
      <c r="C48">
        <v>447.6</v>
      </c>
      <c r="D48">
        <v>437</v>
      </c>
      <c r="E48">
        <v>459.5</v>
      </c>
      <c r="F48">
        <v>445</v>
      </c>
      <c r="G48">
        <v>440.8</v>
      </c>
      <c r="H48">
        <v>448</v>
      </c>
      <c r="I48">
        <v>453.4</v>
      </c>
      <c r="J48">
        <v>440.3</v>
      </c>
      <c r="K48">
        <v>451.5</v>
      </c>
      <c r="L48">
        <v>432.8</v>
      </c>
      <c r="M48">
        <v>443.5</v>
      </c>
      <c r="N48">
        <v>430.2</v>
      </c>
      <c r="O48">
        <v>445.6</v>
      </c>
      <c r="P48">
        <v>443.5</v>
      </c>
      <c r="Q48">
        <v>425.7</v>
      </c>
      <c r="R48">
        <v>438.4</v>
      </c>
      <c r="S48">
        <v>445.4</v>
      </c>
      <c r="T48">
        <v>447.1</v>
      </c>
      <c r="U48" s="10">
        <v>439</v>
      </c>
      <c r="V48">
        <v>433.5</v>
      </c>
      <c r="W48">
        <v>456.4</v>
      </c>
      <c r="X48">
        <v>439.7</v>
      </c>
      <c r="Y48">
        <v>456.6</v>
      </c>
      <c r="Z48" s="10">
        <v>439.5</v>
      </c>
      <c r="AA48">
        <v>449.3</v>
      </c>
      <c r="AB48">
        <v>451.2</v>
      </c>
      <c r="AC48">
        <v>440</v>
      </c>
      <c r="AD48">
        <v>445.1</v>
      </c>
      <c r="AE48">
        <v>445.4</v>
      </c>
      <c r="AF48">
        <v>441.5</v>
      </c>
      <c r="AG48" s="10">
        <v>454.3</v>
      </c>
      <c r="AH48">
        <v>438.1</v>
      </c>
      <c r="AI48" s="10">
        <v>431.9</v>
      </c>
      <c r="AJ48">
        <v>457.2</v>
      </c>
      <c r="AK48">
        <v>437.6</v>
      </c>
    </row>
    <row r="49" spans="1:37">
      <c r="A49" s="1">
        <v>48</v>
      </c>
      <c r="B49">
        <v>452.7</v>
      </c>
      <c r="C49">
        <v>463.4</v>
      </c>
      <c r="D49">
        <v>431.9</v>
      </c>
      <c r="E49">
        <v>405.1</v>
      </c>
      <c r="F49">
        <v>449.4</v>
      </c>
      <c r="G49">
        <v>457.4</v>
      </c>
      <c r="H49">
        <v>440.3</v>
      </c>
      <c r="I49">
        <v>451</v>
      </c>
      <c r="J49">
        <v>453</v>
      </c>
      <c r="K49">
        <v>456.7</v>
      </c>
      <c r="L49">
        <v>444.3</v>
      </c>
      <c r="M49">
        <v>451.2</v>
      </c>
      <c r="N49">
        <v>437.5</v>
      </c>
      <c r="O49">
        <v>451.2</v>
      </c>
      <c r="P49">
        <v>454</v>
      </c>
      <c r="Q49">
        <v>437.6</v>
      </c>
      <c r="R49">
        <v>449.29999999999995</v>
      </c>
      <c r="S49">
        <v>457.20000000000005</v>
      </c>
      <c r="T49">
        <v>446.9</v>
      </c>
      <c r="U49" s="10">
        <v>448.6</v>
      </c>
      <c r="V49">
        <v>437.3</v>
      </c>
      <c r="W49">
        <v>467.5</v>
      </c>
      <c r="X49">
        <v>460.9</v>
      </c>
      <c r="Y49">
        <v>452.6</v>
      </c>
      <c r="Z49" s="10">
        <v>433.1</v>
      </c>
      <c r="AA49">
        <v>461.6</v>
      </c>
      <c r="AB49">
        <v>444.5</v>
      </c>
      <c r="AC49">
        <v>463.4</v>
      </c>
      <c r="AD49">
        <v>458.5</v>
      </c>
      <c r="AE49">
        <v>448.2</v>
      </c>
      <c r="AF49">
        <v>453.6</v>
      </c>
      <c r="AG49" s="10">
        <v>459.9</v>
      </c>
      <c r="AH49">
        <v>452.2</v>
      </c>
      <c r="AI49" s="10">
        <v>456.5</v>
      </c>
      <c r="AJ49">
        <v>452.5</v>
      </c>
      <c r="AK49">
        <v>460.7</v>
      </c>
    </row>
    <row r="50" spans="1:37">
      <c r="A50" s="1">
        <v>49</v>
      </c>
      <c r="B50">
        <v>452.3</v>
      </c>
      <c r="C50">
        <v>475.1</v>
      </c>
      <c r="D50">
        <v>441.3</v>
      </c>
      <c r="E50">
        <v>403</v>
      </c>
      <c r="F50">
        <v>430.7</v>
      </c>
      <c r="G50">
        <v>435.1</v>
      </c>
      <c r="H50">
        <v>433.2</v>
      </c>
      <c r="I50">
        <v>425.3</v>
      </c>
      <c r="J50">
        <v>441.8</v>
      </c>
      <c r="K50">
        <v>440.4</v>
      </c>
      <c r="L50">
        <v>438.6</v>
      </c>
      <c r="M50">
        <v>445.3</v>
      </c>
      <c r="N50">
        <v>426.7</v>
      </c>
      <c r="O50">
        <v>440.7</v>
      </c>
      <c r="P50">
        <v>440.9</v>
      </c>
      <c r="Q50">
        <v>427.3</v>
      </c>
      <c r="R50">
        <v>443.5</v>
      </c>
      <c r="S50">
        <v>441.5</v>
      </c>
      <c r="T50">
        <v>452.9</v>
      </c>
      <c r="U50" s="10">
        <v>430.9</v>
      </c>
      <c r="V50">
        <v>426.7</v>
      </c>
      <c r="W50">
        <v>462.4</v>
      </c>
      <c r="X50">
        <v>438</v>
      </c>
      <c r="Y50">
        <v>456.9</v>
      </c>
      <c r="Z50" s="10">
        <v>440.4</v>
      </c>
      <c r="AA50">
        <v>448.3</v>
      </c>
      <c r="AB50">
        <v>446.3</v>
      </c>
      <c r="AC50">
        <v>452.4</v>
      </c>
      <c r="AD50">
        <v>436.6</v>
      </c>
      <c r="AE50">
        <v>442.5</v>
      </c>
      <c r="AF50">
        <v>433.5</v>
      </c>
      <c r="AG50" s="10">
        <v>435.6</v>
      </c>
      <c r="AH50">
        <v>438.8</v>
      </c>
      <c r="AI50" s="10">
        <v>439.9</v>
      </c>
      <c r="AJ50">
        <v>441.5</v>
      </c>
      <c r="AK50">
        <v>446.2</v>
      </c>
    </row>
    <row r="51" spans="1:37">
      <c r="A51" s="1">
        <v>50</v>
      </c>
      <c r="B51">
        <v>424.7</v>
      </c>
      <c r="C51">
        <v>470.8</v>
      </c>
      <c r="D51">
        <v>456.4</v>
      </c>
      <c r="E51">
        <v>432.7</v>
      </c>
      <c r="F51">
        <v>466.1</v>
      </c>
      <c r="G51">
        <v>453.7</v>
      </c>
      <c r="H51">
        <v>431.4</v>
      </c>
      <c r="I51">
        <v>438.9</v>
      </c>
      <c r="J51">
        <v>444.4</v>
      </c>
      <c r="K51">
        <v>447.79999999999995</v>
      </c>
      <c r="L51">
        <v>457.1</v>
      </c>
      <c r="M51">
        <v>447.4</v>
      </c>
      <c r="N51">
        <v>432.6</v>
      </c>
      <c r="O51">
        <v>456.4</v>
      </c>
      <c r="P51">
        <v>447.6</v>
      </c>
      <c r="Q51">
        <v>432</v>
      </c>
      <c r="R51">
        <v>447.5</v>
      </c>
      <c r="S51">
        <v>446.79999999999995</v>
      </c>
      <c r="T51">
        <v>449</v>
      </c>
      <c r="U51" s="10">
        <v>447.4</v>
      </c>
      <c r="V51">
        <v>427.4</v>
      </c>
      <c r="W51">
        <v>460.9</v>
      </c>
      <c r="X51">
        <v>445.4</v>
      </c>
      <c r="Y51">
        <v>428.4</v>
      </c>
      <c r="Z51" s="10">
        <v>454.6</v>
      </c>
      <c r="AA51">
        <v>436.9</v>
      </c>
      <c r="AB51">
        <v>435.8</v>
      </c>
      <c r="AC51">
        <v>452.6</v>
      </c>
      <c r="AD51">
        <v>435.6</v>
      </c>
      <c r="AE51">
        <v>448.4</v>
      </c>
      <c r="AF51">
        <v>447.8</v>
      </c>
      <c r="AG51" s="10">
        <v>447.7</v>
      </c>
      <c r="AH51">
        <v>429.2</v>
      </c>
      <c r="AI51" s="10">
        <v>441.5</v>
      </c>
      <c r="AJ51">
        <v>453.3</v>
      </c>
      <c r="AK51">
        <v>443.2</v>
      </c>
    </row>
    <row r="52" spans="1:37">
      <c r="A52" s="1">
        <v>51</v>
      </c>
      <c r="B52">
        <v>455.7</v>
      </c>
      <c r="C52">
        <v>455.2</v>
      </c>
      <c r="D52">
        <v>455.2</v>
      </c>
      <c r="E52">
        <v>449.1</v>
      </c>
      <c r="F52">
        <v>459</v>
      </c>
      <c r="G52">
        <v>455.7</v>
      </c>
      <c r="H52">
        <v>452</v>
      </c>
      <c r="I52">
        <v>467</v>
      </c>
      <c r="J52">
        <v>464.4</v>
      </c>
      <c r="K52">
        <v>459.29999999999995</v>
      </c>
      <c r="L52">
        <v>467.7</v>
      </c>
      <c r="M52">
        <v>462.4</v>
      </c>
      <c r="N52">
        <v>457.6</v>
      </c>
      <c r="O52">
        <v>454.9</v>
      </c>
      <c r="P52">
        <v>448.9</v>
      </c>
      <c r="Q52">
        <v>445.5</v>
      </c>
      <c r="R52">
        <v>464.20000000000005</v>
      </c>
      <c r="S52">
        <v>460.9</v>
      </c>
      <c r="T52">
        <v>460.2</v>
      </c>
      <c r="U52" s="10">
        <v>458.4</v>
      </c>
      <c r="V52">
        <v>455.9</v>
      </c>
      <c r="W52">
        <v>463.6</v>
      </c>
      <c r="X52">
        <v>461.5</v>
      </c>
      <c r="Y52">
        <v>459.8</v>
      </c>
      <c r="Z52" s="10">
        <v>455.9</v>
      </c>
      <c r="AA52">
        <v>455.3</v>
      </c>
      <c r="AB52">
        <v>443.3</v>
      </c>
      <c r="AC52">
        <v>475.6</v>
      </c>
      <c r="AD52">
        <v>474.4</v>
      </c>
      <c r="AE52">
        <v>471.3</v>
      </c>
      <c r="AF52">
        <v>466.6</v>
      </c>
      <c r="AG52" s="10">
        <v>464.8</v>
      </c>
      <c r="AH52">
        <v>462.9</v>
      </c>
      <c r="AI52" s="10">
        <v>455.7</v>
      </c>
      <c r="AJ52">
        <v>457.1</v>
      </c>
      <c r="AK52">
        <v>455.5</v>
      </c>
    </row>
    <row r="53" spans="1:37">
      <c r="A53" s="1">
        <v>52</v>
      </c>
      <c r="B53">
        <v>459.1</v>
      </c>
      <c r="C53">
        <v>449.2</v>
      </c>
      <c r="D53">
        <v>474.5</v>
      </c>
      <c r="E53">
        <v>468.7</v>
      </c>
      <c r="F53">
        <v>458.6</v>
      </c>
      <c r="G53">
        <v>450.6</v>
      </c>
      <c r="H53">
        <v>444.6</v>
      </c>
      <c r="I53">
        <v>464.6</v>
      </c>
      <c r="J53">
        <v>456.6</v>
      </c>
      <c r="K53">
        <v>449.7</v>
      </c>
      <c r="L53">
        <v>469.1</v>
      </c>
      <c r="M53">
        <v>463.8</v>
      </c>
      <c r="N53">
        <v>462</v>
      </c>
      <c r="O53">
        <v>456.7</v>
      </c>
      <c r="P53">
        <v>457.7</v>
      </c>
      <c r="Q53">
        <v>451</v>
      </c>
      <c r="R53">
        <v>447.4</v>
      </c>
      <c r="S53">
        <v>461.9</v>
      </c>
      <c r="T53">
        <v>457.6</v>
      </c>
      <c r="U53" s="10">
        <v>451.6</v>
      </c>
      <c r="V53">
        <v>449.5</v>
      </c>
      <c r="W53">
        <v>464.5</v>
      </c>
      <c r="X53">
        <v>463.7</v>
      </c>
      <c r="Y53">
        <v>460</v>
      </c>
      <c r="Z53" s="10">
        <v>455.6</v>
      </c>
      <c r="AA53">
        <v>452.9</v>
      </c>
      <c r="AB53">
        <v>458.9</v>
      </c>
      <c r="AC53">
        <v>451.6</v>
      </c>
      <c r="AD53">
        <v>446.1</v>
      </c>
      <c r="AE53">
        <v>458.4</v>
      </c>
      <c r="AF53">
        <v>455.8</v>
      </c>
      <c r="AG53" s="10">
        <v>458.3</v>
      </c>
      <c r="AH53">
        <v>455.8</v>
      </c>
      <c r="AI53" s="10">
        <v>448.2</v>
      </c>
      <c r="AJ53">
        <v>447.6</v>
      </c>
      <c r="AK53">
        <v>462.3</v>
      </c>
    </row>
    <row r="54" spans="1:37">
      <c r="A54" s="1">
        <v>53</v>
      </c>
      <c r="B54">
        <v>450.6</v>
      </c>
      <c r="C54">
        <v>466.1</v>
      </c>
      <c r="D54">
        <v>454.8</v>
      </c>
      <c r="E54">
        <v>448.9</v>
      </c>
      <c r="F54">
        <v>461.9</v>
      </c>
      <c r="G54">
        <v>457.1</v>
      </c>
      <c r="H54">
        <v>453.1</v>
      </c>
      <c r="I54">
        <v>470.1</v>
      </c>
      <c r="J54">
        <v>469.7</v>
      </c>
      <c r="K54">
        <v>465.79999999999995</v>
      </c>
      <c r="L54">
        <v>464.90000000000003</v>
      </c>
      <c r="M54">
        <v>462.7</v>
      </c>
      <c r="N54">
        <v>462.9</v>
      </c>
      <c r="O54">
        <v>456.2</v>
      </c>
      <c r="P54">
        <v>452.8</v>
      </c>
      <c r="Q54">
        <v>451.1</v>
      </c>
      <c r="R54">
        <v>465.9</v>
      </c>
      <c r="S54">
        <v>465.4</v>
      </c>
      <c r="T54">
        <v>467.7</v>
      </c>
      <c r="U54" s="10">
        <v>467.1</v>
      </c>
      <c r="V54">
        <v>466.8</v>
      </c>
      <c r="W54">
        <v>466</v>
      </c>
      <c r="X54">
        <v>465.5</v>
      </c>
      <c r="Y54">
        <v>465.3</v>
      </c>
      <c r="Z54" s="10">
        <v>464.8</v>
      </c>
      <c r="AA54">
        <v>464.3</v>
      </c>
      <c r="AB54">
        <v>463.9</v>
      </c>
      <c r="AC54">
        <v>463.5</v>
      </c>
      <c r="AD54">
        <v>462.8</v>
      </c>
      <c r="AE54">
        <v>462.1</v>
      </c>
      <c r="AF54">
        <v>461.5</v>
      </c>
      <c r="AG54" s="10">
        <v>460.6</v>
      </c>
      <c r="AH54" s="10">
        <v>460</v>
      </c>
      <c r="AI54" s="10">
        <v>455.6</v>
      </c>
      <c r="AJ54">
        <v>458.2</v>
      </c>
      <c r="AK54">
        <v>457.7</v>
      </c>
    </row>
    <row r="55" spans="1:37">
      <c r="A55" s="1">
        <v>54</v>
      </c>
      <c r="B55">
        <v>453</v>
      </c>
      <c r="C55">
        <v>454.9</v>
      </c>
      <c r="D55">
        <v>442</v>
      </c>
      <c r="E55">
        <v>435.8</v>
      </c>
      <c r="F55">
        <v>459.4</v>
      </c>
      <c r="G55">
        <v>451.9</v>
      </c>
      <c r="H55">
        <v>447</v>
      </c>
      <c r="I55">
        <v>460.5</v>
      </c>
      <c r="J55">
        <v>450.3</v>
      </c>
      <c r="K55">
        <v>449.59999999999997</v>
      </c>
      <c r="L55">
        <v>464.90000000000003</v>
      </c>
      <c r="M55">
        <v>452.4</v>
      </c>
      <c r="N55">
        <v>447.4</v>
      </c>
      <c r="O55">
        <v>458.4</v>
      </c>
      <c r="P55">
        <v>443.7</v>
      </c>
      <c r="Q55">
        <v>455.5</v>
      </c>
      <c r="R55">
        <v>444.6</v>
      </c>
      <c r="S55">
        <v>452.9</v>
      </c>
      <c r="T55">
        <v>464.2</v>
      </c>
      <c r="U55" s="10">
        <v>456.2</v>
      </c>
      <c r="V55">
        <v>447.1</v>
      </c>
      <c r="W55">
        <v>456.9</v>
      </c>
      <c r="X55">
        <v>448.8</v>
      </c>
      <c r="Y55">
        <v>441.6</v>
      </c>
      <c r="Z55" s="10">
        <v>473.8</v>
      </c>
      <c r="AA55">
        <v>467</v>
      </c>
      <c r="AB55">
        <v>454.6</v>
      </c>
      <c r="AC55">
        <v>463.3</v>
      </c>
      <c r="AD55">
        <v>454.9</v>
      </c>
      <c r="AE55">
        <v>457.8</v>
      </c>
      <c r="AF55">
        <v>452.1</v>
      </c>
      <c r="AG55" s="10">
        <v>437.6</v>
      </c>
      <c r="AH55" s="10">
        <v>449</v>
      </c>
      <c r="AI55" s="10">
        <v>438.4</v>
      </c>
      <c r="AJ55">
        <v>459.9</v>
      </c>
      <c r="AK55">
        <v>449.2</v>
      </c>
    </row>
    <row r="56" spans="1:37">
      <c r="A56" s="1">
        <v>55</v>
      </c>
      <c r="B56">
        <v>462.9</v>
      </c>
      <c r="C56">
        <v>478.5</v>
      </c>
      <c r="D56">
        <v>478.4</v>
      </c>
      <c r="E56">
        <v>468.4</v>
      </c>
      <c r="F56">
        <v>465.2</v>
      </c>
      <c r="G56">
        <v>459.2</v>
      </c>
      <c r="H56">
        <v>453.2</v>
      </c>
      <c r="I56">
        <v>447</v>
      </c>
      <c r="J56">
        <v>440.6</v>
      </c>
      <c r="K56">
        <v>456.2</v>
      </c>
      <c r="L56">
        <v>448.7</v>
      </c>
      <c r="M56">
        <v>459</v>
      </c>
      <c r="N56">
        <v>452.7</v>
      </c>
      <c r="O56">
        <v>450.3</v>
      </c>
      <c r="P56">
        <v>456.6</v>
      </c>
      <c r="Q56">
        <v>451.5</v>
      </c>
      <c r="R56">
        <v>443.1</v>
      </c>
      <c r="S56">
        <v>455.5</v>
      </c>
      <c r="T56">
        <v>463</v>
      </c>
      <c r="U56" s="10">
        <v>459.3</v>
      </c>
      <c r="V56">
        <v>454.5</v>
      </c>
      <c r="W56">
        <v>450.2</v>
      </c>
      <c r="X56">
        <v>461.7</v>
      </c>
      <c r="Y56">
        <v>450.6</v>
      </c>
      <c r="Z56" s="10">
        <v>464.9</v>
      </c>
      <c r="AA56">
        <v>459.4</v>
      </c>
      <c r="AB56">
        <v>464.4</v>
      </c>
      <c r="AC56">
        <v>460.5</v>
      </c>
      <c r="AD56">
        <v>456</v>
      </c>
      <c r="AE56">
        <v>449.8</v>
      </c>
      <c r="AF56">
        <v>462</v>
      </c>
      <c r="AG56" s="10">
        <v>457.9</v>
      </c>
      <c r="AH56">
        <v>451.5</v>
      </c>
      <c r="AI56" s="10">
        <v>442.4</v>
      </c>
      <c r="AJ56">
        <v>459.1</v>
      </c>
      <c r="AK56" s="10">
        <v>455</v>
      </c>
    </row>
    <row r="57" spans="1:37">
      <c r="A57" s="1">
        <v>56</v>
      </c>
      <c r="B57">
        <v>462.3</v>
      </c>
      <c r="C57">
        <v>440.9</v>
      </c>
      <c r="D57">
        <v>459.8</v>
      </c>
      <c r="E57">
        <v>450.3</v>
      </c>
      <c r="F57">
        <v>471.1</v>
      </c>
      <c r="G57">
        <v>460.3</v>
      </c>
      <c r="H57">
        <v>458.6</v>
      </c>
      <c r="I57">
        <v>457.7</v>
      </c>
      <c r="J57">
        <v>452.6</v>
      </c>
      <c r="K57">
        <v>464.2</v>
      </c>
      <c r="L57">
        <v>456.90000000000003</v>
      </c>
      <c r="M57">
        <v>450.6</v>
      </c>
      <c r="N57">
        <v>446</v>
      </c>
      <c r="O57">
        <v>436.9</v>
      </c>
      <c r="P57">
        <v>443.2</v>
      </c>
      <c r="Q57">
        <v>433.9</v>
      </c>
      <c r="R57">
        <v>450.70000000000005</v>
      </c>
      <c r="S57">
        <v>444.4</v>
      </c>
      <c r="T57">
        <v>439.8</v>
      </c>
      <c r="U57" s="10">
        <v>453.8</v>
      </c>
      <c r="V57">
        <v>450.5</v>
      </c>
      <c r="W57">
        <v>444.9</v>
      </c>
      <c r="X57">
        <v>460.4</v>
      </c>
      <c r="Y57">
        <v>458.1</v>
      </c>
      <c r="Z57" s="10">
        <v>451.6</v>
      </c>
      <c r="AA57">
        <v>449.3</v>
      </c>
      <c r="AB57">
        <v>455.3</v>
      </c>
      <c r="AC57">
        <v>453.7</v>
      </c>
      <c r="AD57">
        <v>464.8</v>
      </c>
      <c r="AE57">
        <v>461.6</v>
      </c>
      <c r="AF57">
        <v>454</v>
      </c>
      <c r="AG57" s="10">
        <v>449.4</v>
      </c>
      <c r="AH57">
        <v>442.7</v>
      </c>
      <c r="AI57" s="10">
        <v>451.6</v>
      </c>
      <c r="AJ57">
        <v>451.8</v>
      </c>
      <c r="AK57">
        <v>449.6</v>
      </c>
    </row>
    <row r="58" spans="1:37">
      <c r="A58" s="1">
        <v>57</v>
      </c>
      <c r="B58">
        <v>438.9</v>
      </c>
      <c r="C58">
        <v>445.5</v>
      </c>
      <c r="D58">
        <v>421.3</v>
      </c>
      <c r="E58">
        <v>435.8</v>
      </c>
      <c r="F58">
        <v>465.8</v>
      </c>
      <c r="G58">
        <v>465.8</v>
      </c>
      <c r="H58">
        <v>465.8</v>
      </c>
      <c r="I58">
        <v>465.7</v>
      </c>
      <c r="J58">
        <v>465.7</v>
      </c>
      <c r="K58">
        <v>465.7</v>
      </c>
      <c r="L58">
        <v>465.5</v>
      </c>
      <c r="M58">
        <v>464</v>
      </c>
      <c r="N58">
        <v>445.7</v>
      </c>
      <c r="O58">
        <v>428.5</v>
      </c>
      <c r="P58">
        <v>434.5</v>
      </c>
      <c r="Q58">
        <v>412.8</v>
      </c>
      <c r="R58">
        <v>437.70000000000005</v>
      </c>
      <c r="S58">
        <v>438.79999999999995</v>
      </c>
      <c r="T58">
        <v>443.8</v>
      </c>
      <c r="U58" s="10">
        <v>435.1</v>
      </c>
      <c r="V58">
        <v>433.6</v>
      </c>
      <c r="W58">
        <v>449.5</v>
      </c>
      <c r="X58">
        <v>431.5</v>
      </c>
      <c r="Y58">
        <v>453.3</v>
      </c>
      <c r="Z58" s="10">
        <v>432.3</v>
      </c>
      <c r="AA58">
        <v>444.9</v>
      </c>
      <c r="AB58">
        <v>444</v>
      </c>
      <c r="AC58">
        <v>464.8</v>
      </c>
      <c r="AD58">
        <v>446.5</v>
      </c>
      <c r="AE58">
        <v>451.9</v>
      </c>
      <c r="AF58">
        <v>445.9</v>
      </c>
      <c r="AG58" s="10">
        <v>446.8</v>
      </c>
      <c r="AH58">
        <v>425.4</v>
      </c>
      <c r="AI58" s="10">
        <v>448</v>
      </c>
      <c r="AJ58" s="10">
        <v>435</v>
      </c>
      <c r="AK58">
        <v>447.8</v>
      </c>
    </row>
    <row r="59" spans="1:37">
      <c r="A59" s="1">
        <v>58</v>
      </c>
      <c r="B59">
        <v>459.9</v>
      </c>
      <c r="C59">
        <v>427.8</v>
      </c>
      <c r="D59">
        <v>438.1</v>
      </c>
      <c r="E59">
        <v>433.9</v>
      </c>
      <c r="F59">
        <v>426.1</v>
      </c>
      <c r="G59">
        <v>440.3</v>
      </c>
      <c r="H59">
        <v>441.7</v>
      </c>
      <c r="I59">
        <v>440.9</v>
      </c>
      <c r="J59">
        <v>434.6</v>
      </c>
      <c r="K59">
        <v>440.7</v>
      </c>
      <c r="L59">
        <v>410.90000000000003</v>
      </c>
      <c r="M59">
        <v>436.2</v>
      </c>
      <c r="N59">
        <v>413</v>
      </c>
      <c r="O59">
        <v>386.1</v>
      </c>
      <c r="P59">
        <v>430</v>
      </c>
      <c r="Q59">
        <v>440</v>
      </c>
      <c r="R59">
        <v>432.5</v>
      </c>
      <c r="S59">
        <v>430.1</v>
      </c>
      <c r="T59">
        <v>438.8</v>
      </c>
      <c r="U59" s="10">
        <v>432.9</v>
      </c>
      <c r="V59">
        <v>414.7</v>
      </c>
      <c r="W59">
        <v>447.4</v>
      </c>
      <c r="X59">
        <v>433.2</v>
      </c>
      <c r="Y59">
        <v>431.9</v>
      </c>
      <c r="Z59" s="10">
        <v>456.2</v>
      </c>
      <c r="AA59">
        <v>427.6</v>
      </c>
      <c r="AB59">
        <v>439.7</v>
      </c>
      <c r="AC59">
        <v>437.6</v>
      </c>
      <c r="AD59">
        <v>435</v>
      </c>
      <c r="AE59">
        <v>433.2</v>
      </c>
      <c r="AF59">
        <v>431.2</v>
      </c>
      <c r="AG59" s="10">
        <v>437.5</v>
      </c>
      <c r="AH59">
        <v>408.9</v>
      </c>
      <c r="AI59" s="10">
        <v>434.4</v>
      </c>
      <c r="AJ59">
        <v>446.2</v>
      </c>
      <c r="AK59">
        <v>436.7</v>
      </c>
    </row>
    <row r="60" spans="1:37">
      <c r="A60" s="1">
        <v>59</v>
      </c>
      <c r="B60">
        <v>459.9</v>
      </c>
      <c r="C60">
        <v>478.4</v>
      </c>
      <c r="D60">
        <v>471.9</v>
      </c>
      <c r="E60">
        <v>465.6</v>
      </c>
      <c r="F60">
        <v>461.2</v>
      </c>
      <c r="G60">
        <v>455.2</v>
      </c>
      <c r="H60">
        <v>448.3</v>
      </c>
      <c r="I60">
        <v>468.9</v>
      </c>
      <c r="J60">
        <v>467.2</v>
      </c>
      <c r="K60">
        <v>466.29999999999995</v>
      </c>
      <c r="L60">
        <v>462</v>
      </c>
      <c r="M60">
        <v>459.8</v>
      </c>
      <c r="N60">
        <v>456.5</v>
      </c>
      <c r="O60">
        <v>454.2</v>
      </c>
      <c r="P60">
        <v>462.4</v>
      </c>
      <c r="Q60">
        <v>455.9</v>
      </c>
      <c r="R60">
        <v>452</v>
      </c>
      <c r="S60">
        <v>448.70000000000005</v>
      </c>
      <c r="T60">
        <v>460.5</v>
      </c>
      <c r="U60" s="10">
        <v>457.2</v>
      </c>
      <c r="V60">
        <v>456.1</v>
      </c>
      <c r="W60">
        <v>474.2</v>
      </c>
      <c r="X60">
        <v>470</v>
      </c>
      <c r="Y60">
        <v>468.3</v>
      </c>
      <c r="Z60" s="10">
        <v>466.9</v>
      </c>
      <c r="AA60">
        <v>466.5</v>
      </c>
      <c r="AB60">
        <v>466</v>
      </c>
      <c r="AC60">
        <v>461.8</v>
      </c>
      <c r="AD60">
        <v>460.6</v>
      </c>
      <c r="AE60">
        <v>459.9</v>
      </c>
      <c r="AF60">
        <v>466.9</v>
      </c>
      <c r="AG60" s="10">
        <v>466.3</v>
      </c>
      <c r="AH60">
        <v>465.2</v>
      </c>
      <c r="AI60" s="10">
        <v>461</v>
      </c>
      <c r="AJ60">
        <v>463.2</v>
      </c>
      <c r="AK60">
        <v>459.6</v>
      </c>
    </row>
    <row r="61" spans="1:37">
      <c r="A61" s="1">
        <v>60</v>
      </c>
      <c r="B61">
        <v>468.3</v>
      </c>
      <c r="C61">
        <v>466</v>
      </c>
      <c r="D61">
        <v>461.1</v>
      </c>
      <c r="E61">
        <v>458.8</v>
      </c>
      <c r="F61">
        <v>453.2</v>
      </c>
      <c r="G61">
        <v>446.9</v>
      </c>
      <c r="H61">
        <v>470.9</v>
      </c>
      <c r="I61">
        <v>468.3</v>
      </c>
      <c r="J61">
        <v>467.3</v>
      </c>
      <c r="K61">
        <v>466.79999999999995</v>
      </c>
      <c r="L61">
        <v>466.1</v>
      </c>
      <c r="M61">
        <v>462.4</v>
      </c>
      <c r="N61">
        <v>462.6</v>
      </c>
      <c r="O61">
        <v>459.7</v>
      </c>
      <c r="P61">
        <v>456.4</v>
      </c>
      <c r="Q61">
        <v>446.4</v>
      </c>
      <c r="R61">
        <v>445.70000000000005</v>
      </c>
      <c r="S61">
        <v>444.70000000000005</v>
      </c>
      <c r="T61">
        <v>464.8</v>
      </c>
      <c r="U61" s="10">
        <v>461.8</v>
      </c>
      <c r="V61">
        <v>461.3</v>
      </c>
      <c r="W61">
        <v>460</v>
      </c>
      <c r="X61">
        <v>459.2</v>
      </c>
      <c r="Y61">
        <v>458.7</v>
      </c>
      <c r="Z61" s="10">
        <v>457.8</v>
      </c>
      <c r="AA61">
        <v>453.8</v>
      </c>
      <c r="AB61">
        <v>464.2</v>
      </c>
      <c r="AC61">
        <v>463.2</v>
      </c>
      <c r="AD61">
        <v>462.3</v>
      </c>
      <c r="AE61">
        <v>461.6</v>
      </c>
      <c r="AF61">
        <v>458.9</v>
      </c>
      <c r="AG61" s="10">
        <v>458.2</v>
      </c>
      <c r="AH61">
        <v>456.8</v>
      </c>
      <c r="AI61" s="10">
        <v>452.4</v>
      </c>
      <c r="AJ61" s="10">
        <v>455</v>
      </c>
      <c r="AK61">
        <v>454.4</v>
      </c>
    </row>
    <row r="62" spans="1:37">
      <c r="A62" t="s">
        <v>135</v>
      </c>
      <c r="B62">
        <v>477</v>
      </c>
      <c r="C62">
        <v>475.3</v>
      </c>
      <c r="D62">
        <v>475</v>
      </c>
      <c r="E62">
        <v>474.4</v>
      </c>
      <c r="F62">
        <v>474.7</v>
      </c>
      <c r="G62">
        <v>474.3</v>
      </c>
      <c r="H62">
        <v>473.7</v>
      </c>
      <c r="I62">
        <v>473.3</v>
      </c>
      <c r="J62">
        <v>472.9</v>
      </c>
      <c r="K62">
        <v>472.4</v>
      </c>
      <c r="L62">
        <v>471.8</v>
      </c>
      <c r="M62">
        <v>469.7</v>
      </c>
      <c r="N62">
        <v>470</v>
      </c>
      <c r="O62">
        <v>469.5</v>
      </c>
      <c r="P62">
        <v>466.2</v>
      </c>
      <c r="Q62">
        <v>465.7</v>
      </c>
      <c r="R62">
        <v>465.29999999999995</v>
      </c>
      <c r="S62">
        <v>464.70000000000005</v>
      </c>
      <c r="T62">
        <v>467</v>
      </c>
      <c r="U62" s="10">
        <v>466.6</v>
      </c>
      <c r="V62">
        <v>466.3</v>
      </c>
      <c r="W62">
        <v>465.6</v>
      </c>
      <c r="X62">
        <v>465.1</v>
      </c>
      <c r="Y62">
        <v>464.8</v>
      </c>
      <c r="Z62" s="10">
        <v>464</v>
      </c>
      <c r="AA62">
        <v>463.6</v>
      </c>
      <c r="AB62">
        <v>463.2</v>
      </c>
      <c r="AC62">
        <v>462.7</v>
      </c>
      <c r="AD62">
        <v>462</v>
      </c>
      <c r="AE62">
        <v>461.4</v>
      </c>
      <c r="AF62">
        <v>460.7</v>
      </c>
      <c r="AG62" s="10">
        <v>460.3</v>
      </c>
      <c r="AH62">
        <v>458.7</v>
      </c>
      <c r="AI62" s="10">
        <v>454.2</v>
      </c>
      <c r="AJ62">
        <v>457.1</v>
      </c>
      <c r="AK62">
        <v>456.5</v>
      </c>
    </row>
    <row r="63" spans="1:37" s="18" customFormat="1">
      <c r="A63" s="18" t="s">
        <v>136</v>
      </c>
      <c r="B63" s="18">
        <v>468.4</v>
      </c>
      <c r="C63" s="18">
        <v>468.3</v>
      </c>
      <c r="D63" s="18">
        <v>468.3</v>
      </c>
      <c r="E63" s="18">
        <v>468.3</v>
      </c>
      <c r="F63" s="18">
        <v>474.3</v>
      </c>
      <c r="G63" s="18">
        <v>474.1</v>
      </c>
      <c r="H63" s="18">
        <v>473.6</v>
      </c>
      <c r="I63" s="18">
        <v>473.2</v>
      </c>
      <c r="J63" s="18">
        <v>472.7</v>
      </c>
      <c r="K63" s="18">
        <v>472.4</v>
      </c>
      <c r="L63" s="18">
        <v>471.90000000000003</v>
      </c>
      <c r="M63" s="18">
        <v>469.8</v>
      </c>
      <c r="N63" s="18">
        <v>470.2</v>
      </c>
      <c r="O63" s="18">
        <v>469.8</v>
      </c>
      <c r="P63" s="18">
        <v>466.5</v>
      </c>
      <c r="Q63" s="18">
        <v>466</v>
      </c>
      <c r="R63" s="18">
        <v>465.70000000000005</v>
      </c>
      <c r="S63" s="18">
        <v>465.20000000000005</v>
      </c>
      <c r="T63" s="18">
        <v>467.4</v>
      </c>
      <c r="U63" s="24">
        <v>466.9</v>
      </c>
      <c r="V63" s="18">
        <v>466.7</v>
      </c>
      <c r="W63" s="18">
        <v>466.1</v>
      </c>
      <c r="X63" s="18">
        <v>465.7</v>
      </c>
      <c r="Y63" s="18">
        <v>465.3</v>
      </c>
      <c r="Z63" s="24">
        <v>464.8</v>
      </c>
      <c r="AA63" s="18">
        <v>464.6</v>
      </c>
      <c r="AB63" s="18">
        <v>464.2</v>
      </c>
      <c r="AC63" s="18">
        <v>463.8</v>
      </c>
      <c r="AD63" s="18">
        <v>463.3</v>
      </c>
      <c r="AE63" s="18">
        <v>462.7</v>
      </c>
      <c r="AF63" s="18">
        <v>462</v>
      </c>
      <c r="AG63" s="24">
        <v>461.5</v>
      </c>
      <c r="AH63" s="18">
        <v>460.4</v>
      </c>
      <c r="AI63" s="24">
        <v>456.2</v>
      </c>
      <c r="AJ63" s="18">
        <v>458.9</v>
      </c>
      <c r="AK63" s="18">
        <v>458.4</v>
      </c>
    </row>
    <row r="64" spans="1:37">
      <c r="A64" t="s">
        <v>132</v>
      </c>
      <c r="B64">
        <v>500</v>
      </c>
      <c r="C64">
        <v>500</v>
      </c>
      <c r="D64">
        <v>500</v>
      </c>
      <c r="E64">
        <v>500</v>
      </c>
      <c r="F64">
        <v>500</v>
      </c>
      <c r="G64">
        <v>500</v>
      </c>
      <c r="H64">
        <v>500</v>
      </c>
      <c r="I64">
        <v>500</v>
      </c>
      <c r="J64">
        <v>500</v>
      </c>
      <c r="K64">
        <v>500</v>
      </c>
      <c r="L64">
        <v>500</v>
      </c>
      <c r="M64">
        <v>500</v>
      </c>
      <c r="N64">
        <v>500</v>
      </c>
      <c r="O64">
        <v>500</v>
      </c>
      <c r="P64">
        <v>497.1</v>
      </c>
      <c r="Q64">
        <v>497.3</v>
      </c>
      <c r="R64">
        <v>497.3</v>
      </c>
      <c r="S64">
        <v>497.2</v>
      </c>
      <c r="T64">
        <v>500</v>
      </c>
      <c r="U64" s="10">
        <v>499.9</v>
      </c>
      <c r="V64">
        <v>500.1</v>
      </c>
      <c r="W64">
        <v>500</v>
      </c>
      <c r="X64">
        <v>500.1</v>
      </c>
      <c r="Y64">
        <v>500</v>
      </c>
      <c r="Z64" s="10">
        <v>499.9</v>
      </c>
      <c r="AA64">
        <v>500</v>
      </c>
      <c r="AB64">
        <v>500</v>
      </c>
      <c r="AC64">
        <v>500</v>
      </c>
      <c r="AD64">
        <v>500</v>
      </c>
      <c r="AE64">
        <v>500</v>
      </c>
      <c r="AF64">
        <v>500</v>
      </c>
      <c r="AG64" s="10">
        <v>500</v>
      </c>
      <c r="AH64" s="10">
        <v>500</v>
      </c>
      <c r="AI64" s="10">
        <v>496.6</v>
      </c>
      <c r="AJ64" s="10">
        <v>500</v>
      </c>
      <c r="AK64" s="10">
        <v>499.9</v>
      </c>
    </row>
    <row r="65" spans="1:37">
      <c r="A65" t="s">
        <v>139</v>
      </c>
      <c r="B65">
        <f>500-B64</f>
        <v>0</v>
      </c>
      <c r="C65">
        <f t="shared" ref="C65:AK65" si="0">500-C64</f>
        <v>0</v>
      </c>
      <c r="D65">
        <f t="shared" si="0"/>
        <v>0</v>
      </c>
      <c r="E65">
        <f t="shared" si="0"/>
        <v>0</v>
      </c>
      <c r="F65">
        <f t="shared" si="0"/>
        <v>0</v>
      </c>
      <c r="G65">
        <f t="shared" si="0"/>
        <v>0</v>
      </c>
      <c r="H65">
        <f t="shared" si="0"/>
        <v>0</v>
      </c>
      <c r="I65">
        <f t="shared" si="0"/>
        <v>0</v>
      </c>
      <c r="J65">
        <f t="shared" si="0"/>
        <v>0</v>
      </c>
      <c r="K65">
        <f t="shared" si="0"/>
        <v>0</v>
      </c>
      <c r="L65">
        <f t="shared" si="0"/>
        <v>0</v>
      </c>
      <c r="M65">
        <f t="shared" si="0"/>
        <v>0</v>
      </c>
      <c r="N65">
        <f t="shared" si="0"/>
        <v>0</v>
      </c>
      <c r="O65">
        <f t="shared" si="0"/>
        <v>0</v>
      </c>
      <c r="P65">
        <f t="shared" si="0"/>
        <v>2.8999999999999773</v>
      </c>
      <c r="Q65">
        <f t="shared" si="0"/>
        <v>2.6999999999999886</v>
      </c>
      <c r="R65">
        <f t="shared" si="0"/>
        <v>2.6999999999999886</v>
      </c>
      <c r="S65">
        <f t="shared" si="0"/>
        <v>2.8000000000000114</v>
      </c>
      <c r="T65">
        <f t="shared" si="0"/>
        <v>0</v>
      </c>
      <c r="U65">
        <f t="shared" si="0"/>
        <v>0.10000000000002274</v>
      </c>
      <c r="V65">
        <f t="shared" si="0"/>
        <v>-0.10000000000002274</v>
      </c>
      <c r="W65">
        <f t="shared" si="0"/>
        <v>0</v>
      </c>
      <c r="X65">
        <f t="shared" si="0"/>
        <v>-0.10000000000002274</v>
      </c>
      <c r="Y65">
        <f t="shared" si="0"/>
        <v>0</v>
      </c>
      <c r="Z65">
        <f t="shared" si="0"/>
        <v>0.10000000000002274</v>
      </c>
      <c r="AA65">
        <f t="shared" si="0"/>
        <v>0</v>
      </c>
      <c r="AB65">
        <f t="shared" si="0"/>
        <v>0</v>
      </c>
      <c r="AC65">
        <f t="shared" si="0"/>
        <v>0</v>
      </c>
      <c r="AD65">
        <f t="shared" si="0"/>
        <v>0</v>
      </c>
      <c r="AE65">
        <f t="shared" si="0"/>
        <v>0</v>
      </c>
      <c r="AF65">
        <f t="shared" si="0"/>
        <v>0</v>
      </c>
      <c r="AG65">
        <f t="shared" si="0"/>
        <v>0</v>
      </c>
      <c r="AH65">
        <f t="shared" si="0"/>
        <v>0</v>
      </c>
      <c r="AI65">
        <f t="shared" si="0"/>
        <v>3.3999999999999773</v>
      </c>
      <c r="AJ65">
        <f t="shared" si="0"/>
        <v>0</v>
      </c>
      <c r="AK65">
        <f t="shared" si="0"/>
        <v>0.10000000000002274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DD04-7F04-451E-8032-5F072FC3C1E5}">
  <dimension ref="A1:BN90"/>
  <sheetViews>
    <sheetView topLeftCell="R10" workbookViewId="0">
      <selection activeCell="AN27" sqref="AN27"/>
    </sheetView>
  </sheetViews>
  <sheetFormatPr defaultColWidth="7.453125" defaultRowHeight="14.5"/>
  <cols>
    <col min="1" max="1" width="7.453125" style="29"/>
    <col min="22" max="36" width="7.453125" customWidth="1"/>
    <col min="37" max="37" width="7.453125" style="29" customWidth="1"/>
  </cols>
  <sheetData>
    <row r="1" spans="1:65" s="3" customFormat="1">
      <c r="A1" s="27" t="s">
        <v>1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15</v>
      </c>
      <c r="S1" s="3" t="s">
        <v>42</v>
      </c>
      <c r="T1" s="3" t="s">
        <v>43</v>
      </c>
      <c r="U1" s="3" t="s">
        <v>11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25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27" t="s">
        <v>58</v>
      </c>
    </row>
    <row r="2" spans="1:65">
      <c r="A2" s="30">
        <v>1</v>
      </c>
      <c r="B2" s="10">
        <f>water_ON!B2 - water_OFF!B2 - AVERAGE(B$62:B$63)</f>
        <v>10.750000000000028</v>
      </c>
      <c r="C2" s="10">
        <f>water_ON!C2 - water_OFF!C2 - AVERAGE(C$62:C$63)</f>
        <v>6.2000000000000171</v>
      </c>
      <c r="D2" s="10">
        <f>water_ON!D2 - water_OFF!D2 - AVERAGE(D$62:D$63)</f>
        <v>6.0999999999999943</v>
      </c>
      <c r="E2" s="10">
        <f>water_ON!E2 - water_OFF!E2 - AVERAGE(E$62:E$63)</f>
        <v>8.0000000000000284</v>
      </c>
      <c r="F2" s="10">
        <f>water_ON!F2 - water_OFF!F2 - AVERAGE(F$62:F$63)</f>
        <v>4.3499999999999943</v>
      </c>
      <c r="G2" s="10">
        <f>water_ON!G2 - water_OFF!G2 - AVERAGE(G$62:G$63)</f>
        <v>3.3000000000000398</v>
      </c>
      <c r="H2" s="10">
        <f>water_ON!H2 - water_OFF!H2 - AVERAGE(H$62:H$63)</f>
        <v>2.2999999999999829</v>
      </c>
      <c r="I2" s="10">
        <f>water_ON!I2 - water_OFF!I2 - AVERAGE(I$62:I$63)</f>
        <v>3.7999999999999545</v>
      </c>
      <c r="J2" s="10">
        <f>water_ON!J2 - water_OFF!J2 - AVERAGE(J$62:J$63)</f>
        <v>2.3500000000000227</v>
      </c>
      <c r="K2" s="10">
        <f>water_ON!K2 - water_OFF!K2 - AVERAGE(K$62:K$63)</f>
        <v>1.5500000000000114</v>
      </c>
      <c r="L2" s="10">
        <f>water_ON!L2 - water_OFF!L2 - AVERAGE(L$62:L$63)</f>
        <v>4.3000000000000114</v>
      </c>
      <c r="M2" s="10">
        <f>water_ON!M2 - water_OFF!M2 - AVERAGE(M$62:M$63)</f>
        <v>3.9500000000000455</v>
      </c>
      <c r="N2" s="10">
        <f>water_ON!N2 - water_OFF!N2 - AVERAGE(N$62:N$63)</f>
        <v>6.9499999999999602</v>
      </c>
      <c r="O2" s="10">
        <f>water_ON!O2 - water_OFF!O2 - AVERAGE(O$62:O$63)</f>
        <v>6.4499999999999886</v>
      </c>
      <c r="P2" s="10">
        <f>water_ON!P2 - water_OFF!P2 - AVERAGE(P$62:P$63)</f>
        <v>5.0500000000000114</v>
      </c>
      <c r="Q2" s="10">
        <f>water_ON!Q2 - water_OFF!Q2 - AVERAGE(Q$62:Q$63)</f>
        <v>9.0999999999999659</v>
      </c>
      <c r="R2" s="10">
        <f>water_ON!R2 - water_OFF!R2 - AVERAGE(R$62:R$63)</f>
        <v>4.75</v>
      </c>
      <c r="S2" s="10">
        <f>water_ON!S2 - water_OFF!S2 - AVERAGE(S$62:S$63)</f>
        <v>3.3000000000000398</v>
      </c>
      <c r="T2" s="10">
        <f>water_ON!T2 - water_OFF!T2 - AVERAGE(T$62:T$63)</f>
        <v>4.9999999999999716</v>
      </c>
      <c r="U2" s="10">
        <f>water_ON!U2 - water_OFF!U2 - AVERAGE(U$62:U$63)</f>
        <v>5.6000000000000227</v>
      </c>
      <c r="V2" s="10">
        <f>water_ON!V2 - water_OFF!V2 - AVERAGE(V$62:V$63)</f>
        <v>3.3499999999999943</v>
      </c>
      <c r="W2" s="10">
        <f>water_ON!W2 - water_OFF!W2 - AVERAGE(W$62:W$63)</f>
        <v>2.75</v>
      </c>
      <c r="X2" s="10">
        <f>water_ON!X2 - water_OFF!X2 - AVERAGE(X$62:X$63)</f>
        <v>5.0500000000000398</v>
      </c>
      <c r="Y2" s="10">
        <f>water_ON!Y2 - water_OFF!Y2 - AVERAGE(Y$62:Y$63)</f>
        <v>3.6500000000000057</v>
      </c>
      <c r="Z2" s="10">
        <f>water_ON!Z2 - water_OFF!Z2 - AVERAGE(Z$62:Z$63)</f>
        <v>2.3999999999999773</v>
      </c>
      <c r="AA2" s="10">
        <f>water_ON!AA2 - water_OFF!AA2 - AVERAGE(AA$62:AA$63)</f>
        <v>5.1000000000000512</v>
      </c>
      <c r="AB2" s="10">
        <f>water_ON!AB2 - water_OFF!AB2 - AVERAGE(AB$62:AB$63)</f>
        <v>5.8500000000000227</v>
      </c>
      <c r="AC2" s="10">
        <f>water_ON!AC2 - water_OFF!AC2 - AVERAGE(AC$62:AC$63)</f>
        <v>4.6499999999999773</v>
      </c>
      <c r="AD2" s="10">
        <f>water_ON!AD2 - water_OFF!AD2 - AVERAGE(AD$62:AD$63)</f>
        <v>5.5</v>
      </c>
      <c r="AE2" s="10">
        <f>water_ON!AE2 - water_OFF!AE2 - AVERAGE(AE$62:AE$63)</f>
        <v>4.8000000000000114</v>
      </c>
      <c r="AF2" s="10">
        <f>water_ON!AF2 - water_OFF!AF2 - AVERAGE(AF$62:AF$63)</f>
        <v>3.5999999999999659</v>
      </c>
      <c r="AG2" s="10">
        <f>water_ON!AG2 - water_OFF!AG2 - AVERAGE(AG$62:AG$63)</f>
        <v>1.3500000000000227</v>
      </c>
      <c r="AH2" s="10">
        <f>water_ON!AH2 - water_OFF!AH2 - AVERAGE(AH$62:AH$63)</f>
        <v>4.5999999999999375</v>
      </c>
      <c r="AI2" s="10">
        <f>water_ON!AI2 - water_OFF!AI2 - AVERAGE(AI$62:AI$63)</f>
        <v>1.5</v>
      </c>
      <c r="AJ2" s="10">
        <f>water_ON!AJ2 - water_OFF!AJ2 - AVERAGE(AJ$62:AJ$63)</f>
        <v>3.7000000000000171</v>
      </c>
      <c r="AK2" s="10">
        <f>water_ON!AK2 - water_OFF!AK2 - AVERAGE(AK$62:AK$63)</f>
        <v>3.7499999999999716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</row>
    <row r="3" spans="1:65">
      <c r="A3" s="30">
        <v>2</v>
      </c>
      <c r="B3" s="10">
        <f>water_ON!B3 - water_OFF!B3 - AVERAGE(B$62:B$63)</f>
        <v>13.250000000000028</v>
      </c>
      <c r="C3" s="10">
        <f>water_ON!C3 - water_OFF!C3 - AVERAGE(C$62:C$63)</f>
        <v>12.30000000000004</v>
      </c>
      <c r="D3" s="10">
        <f>water_ON!D3 - water_OFF!D3 - AVERAGE(D$62:D$63)</f>
        <v>13.200000000000017</v>
      </c>
      <c r="E3" s="10">
        <f>water_ON!E3 - water_OFF!E3 - AVERAGE(E$62:E$63)</f>
        <v>10.799999999999983</v>
      </c>
      <c r="F3" s="10">
        <f>water_ON!F3 - water_OFF!F3 - AVERAGE(F$62:F$63)</f>
        <v>6.3499999999999943</v>
      </c>
      <c r="G3" s="10">
        <f>water_ON!G3 - water_OFF!G3 - AVERAGE(G$62:G$63)</f>
        <v>3.9000000000000057</v>
      </c>
      <c r="H3" s="10">
        <f>water_ON!H3 - water_OFF!H3 - AVERAGE(H$62:H$63)</f>
        <v>4.0999999999999943</v>
      </c>
      <c r="I3" s="10">
        <f>water_ON!I3 - water_OFF!I3 - AVERAGE(I$62:I$63)</f>
        <v>5.8999999999999773</v>
      </c>
      <c r="J3" s="10">
        <f>water_ON!J3 - water_OFF!J3 - AVERAGE(J$62:J$63)</f>
        <v>2.5499999999999545</v>
      </c>
      <c r="K3" s="10">
        <f>water_ON!K3 - water_OFF!K3 - AVERAGE(K$62:K$63)</f>
        <v>3.5500000000000114</v>
      </c>
      <c r="L3" s="10">
        <f>water_ON!L3 - water_OFF!L3 - AVERAGE(L$62:L$63)</f>
        <v>0.89999999999997726</v>
      </c>
      <c r="M3" s="10">
        <f>water_ON!M3 - water_OFF!M3 - AVERAGE(M$62:M$63)</f>
        <v>4.9499999999999886</v>
      </c>
      <c r="N3" s="10">
        <f>water_ON!N3 - water_OFF!N3 - AVERAGE(N$62:N$63)</f>
        <v>3.6499999999999488</v>
      </c>
      <c r="O3" s="10">
        <f>water_ON!O3 - water_OFF!O3 - AVERAGE(O$62:O$63)</f>
        <v>2.25</v>
      </c>
      <c r="P3" s="10">
        <f>water_ON!P3 - water_OFF!P3 - AVERAGE(P$62:P$63)</f>
        <v>4.1500000000000341</v>
      </c>
      <c r="Q3" s="10">
        <f>water_ON!Q3 - water_OFF!Q3 - AVERAGE(Q$62:Q$63)</f>
        <v>5.7999999999999545</v>
      </c>
      <c r="R3" s="10">
        <f>water_ON!R3 - water_OFF!R3 - AVERAGE(R$62:R$63)</f>
        <v>4.9500000000000455</v>
      </c>
      <c r="S3" s="10">
        <f>water_ON!S3 - water_OFF!S3 - AVERAGE(S$62:S$63)</f>
        <v>6.4000000000000625</v>
      </c>
      <c r="T3" s="10">
        <f>water_ON!T3 - water_OFF!T3 - AVERAGE(T$62:T$63)</f>
        <v>5.0999999999999943</v>
      </c>
      <c r="U3" s="10">
        <f>water_ON!U3 - water_OFF!U3 - AVERAGE(U$62:U$63)</f>
        <v>4.1000000000000227</v>
      </c>
      <c r="V3" s="10">
        <f>water_ON!V3 - water_OFF!V3 - AVERAGE(V$62:V$63)</f>
        <v>5.9500000000000171</v>
      </c>
      <c r="W3" s="10">
        <f>water_ON!W3 - water_OFF!W3 - AVERAGE(W$62:W$63)</f>
        <v>4.0500000000000114</v>
      </c>
      <c r="X3" s="10">
        <f>water_ON!X3 - water_OFF!X3 - AVERAGE(X$62:X$63)</f>
        <v>5.2500000000000284</v>
      </c>
      <c r="Y3" s="10">
        <f>water_ON!Y3 - water_OFF!Y3 - AVERAGE(Y$62:Y$63)</f>
        <v>11.05000000000004</v>
      </c>
      <c r="Z3" s="10">
        <f>water_ON!Z3 - water_OFF!Z3 - AVERAGE(Z$62:Z$63)</f>
        <v>5.3000000000000114</v>
      </c>
      <c r="AA3" s="10">
        <f>water_ON!AA3 - water_OFF!AA3 - AVERAGE(AA$62:AA$63)</f>
        <v>4.5000000000000284</v>
      </c>
      <c r="AB3" s="10">
        <f>water_ON!AB3 - water_OFF!AB3 - AVERAGE(AB$62:AB$63)</f>
        <v>6.1499999999999773</v>
      </c>
      <c r="AC3" s="10">
        <f>water_ON!AC3 - water_OFF!AC3 - AVERAGE(AC$62:AC$63)</f>
        <v>5.2499999999999432</v>
      </c>
      <c r="AD3" s="10">
        <f>water_ON!AD3 - water_OFF!AD3 - AVERAGE(AD$62:AD$63)</f>
        <v>2.5999999999999659</v>
      </c>
      <c r="AE3" s="10">
        <f>water_ON!AE3 - water_OFF!AE3 - AVERAGE(AE$62:AE$63)</f>
        <v>3.5</v>
      </c>
      <c r="AF3" s="10">
        <f>water_ON!AF3 - water_OFF!AF3 - AVERAGE(AF$62:AF$63)</f>
        <v>3.9000000000000341</v>
      </c>
      <c r="AG3" s="10">
        <f>water_ON!AG3 - water_OFF!AG3 - AVERAGE(AG$62:AG$63)</f>
        <v>4.5500000000000114</v>
      </c>
      <c r="AH3" s="10">
        <f>water_ON!AH3 - water_OFF!AH3 - AVERAGE(AH$62:AH$63)</f>
        <v>0.79999999999998295</v>
      </c>
      <c r="AI3" s="10">
        <f>water_ON!AI3 - water_OFF!AI3 - AVERAGE(AI$62:AI$63)</f>
        <v>1.9999999999999432</v>
      </c>
      <c r="AJ3" s="10">
        <f>water_ON!AJ3 - water_OFF!AJ3 - AVERAGE(AJ$62:AJ$63)</f>
        <v>2.0000000000000284</v>
      </c>
      <c r="AK3" s="10">
        <f>water_ON!AK3 - water_OFF!AK3 - AVERAGE(AK$62:AK$63)</f>
        <v>2.9500000000000171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</row>
    <row r="4" spans="1:65">
      <c r="A4" s="30">
        <v>3</v>
      </c>
      <c r="B4" s="10">
        <f>water_ON!B4 - water_OFF!B4 - AVERAGE(B$62:B$63)</f>
        <v>9.0499999999999829</v>
      </c>
      <c r="C4" s="10">
        <f>water_ON!C4 - water_OFF!C4 - AVERAGE(C$62:C$63)</f>
        <v>9.0000000000000284</v>
      </c>
      <c r="D4" s="10">
        <f>water_ON!D4 - water_OFF!D4 - AVERAGE(D$62:D$63)</f>
        <v>6.4999999999999716</v>
      </c>
      <c r="E4" s="10">
        <f>water_ON!E4 - water_OFF!E4 - AVERAGE(E$62:E$63)</f>
        <v>6.2999999999999829</v>
      </c>
      <c r="F4" s="10">
        <f>water_ON!F4 - water_OFF!F4 - AVERAGE(F$62:F$63)</f>
        <v>9.4499999999999602</v>
      </c>
      <c r="G4" s="10">
        <f>water_ON!G4 - water_OFF!G4 - AVERAGE(G$62:G$63)</f>
        <v>5.0000000000000284</v>
      </c>
      <c r="H4" s="10">
        <f>water_ON!H4 - water_OFF!H4 - AVERAGE(H$62:H$63)</f>
        <v>2.4000000000000057</v>
      </c>
      <c r="I4" s="10">
        <f>water_ON!I4 - water_OFF!I4 - AVERAGE(I$62:I$63)</f>
        <v>0.19999999999998863</v>
      </c>
      <c r="J4" s="10">
        <f>water_ON!J4 - water_OFF!J4 - AVERAGE(J$62:J$63)</f>
        <v>4.1499999999999773</v>
      </c>
      <c r="K4" s="10">
        <f>water_ON!K4 - water_OFF!K4 - AVERAGE(K$62:K$63)</f>
        <v>4.5499999999999545</v>
      </c>
      <c r="L4" s="10">
        <f>water_ON!L4 - water_OFF!L4 - AVERAGE(L$62:L$63)</f>
        <v>5.6000000000000227</v>
      </c>
      <c r="M4" s="10">
        <f>water_ON!M4 - water_OFF!M4 - AVERAGE(M$62:M$63)</f>
        <v>1.0500000000000682</v>
      </c>
      <c r="N4" s="10">
        <f>water_ON!N4 - water_OFF!N4 - AVERAGE(N$62:N$63)</f>
        <v>4.7499999999999716</v>
      </c>
      <c r="O4" s="10">
        <f>water_ON!O4 - water_OFF!O4 - AVERAGE(O$62:O$63)</f>
        <v>4.6500000000000341</v>
      </c>
      <c r="P4" s="10">
        <f>water_ON!P4 - water_OFF!P4 - AVERAGE(P$62:P$63)</f>
        <v>1.4500000000000455</v>
      </c>
      <c r="Q4" s="10">
        <f>water_ON!Q4 - water_OFF!Q4 - AVERAGE(Q$62:Q$63)</f>
        <v>7.6999999999999886</v>
      </c>
      <c r="R4" s="10">
        <f>water_ON!R4 - water_OFF!R4 - AVERAGE(R$62:R$63)</f>
        <v>0.85000000000002274</v>
      </c>
      <c r="S4" s="10">
        <f>water_ON!S4 - water_OFF!S4 - AVERAGE(S$62:S$63)</f>
        <v>1.100000000000108</v>
      </c>
      <c r="T4" s="10">
        <f>water_ON!T4 - water_OFF!T4 - AVERAGE(T$62:T$63)</f>
        <v>3.7999999999999829</v>
      </c>
      <c r="U4" s="10">
        <f>water_ON!U4 - water_OFF!U4 - AVERAGE(U$62:U$63)</f>
        <v>3.5</v>
      </c>
      <c r="V4" s="10">
        <f>water_ON!V4 - water_OFF!V4 - AVERAGE(V$62:V$63)</f>
        <v>5.2500000000000284</v>
      </c>
      <c r="W4" s="10">
        <f>water_ON!W4 - water_OFF!W4 - AVERAGE(W$62:W$63)</f>
        <v>0.55000000000001137</v>
      </c>
      <c r="X4" s="10">
        <f>water_ON!X4 - water_OFF!X4 - AVERAGE(X$62:X$63)</f>
        <v>5.000000000003979E-2</v>
      </c>
      <c r="Y4" s="10">
        <f>water_ON!Y4 - water_OFF!Y4 - AVERAGE(Y$62:Y$63)</f>
        <v>3.7500000000000284</v>
      </c>
      <c r="Z4" s="10">
        <f>water_ON!Z4 - water_OFF!Z4 - AVERAGE(Z$62:Z$63)</f>
        <v>3.1999999999999886</v>
      </c>
      <c r="AA4" s="10">
        <f>water_ON!AA4 - water_OFF!AA4 - AVERAGE(AA$62:AA$63)</f>
        <v>2.5999999999999943</v>
      </c>
      <c r="AB4" s="10">
        <f>water_ON!AB4 - water_OFF!AB4 - AVERAGE(AB$62:AB$63)</f>
        <v>4.1499999999999773</v>
      </c>
      <c r="AC4" s="10">
        <f>water_ON!AC4 - water_OFF!AC4 - AVERAGE(AC$62:AC$63)</f>
        <v>5.8499999999999659</v>
      </c>
      <c r="AD4" s="10">
        <f>water_ON!AD4 - water_OFF!AD4 - AVERAGE(AD$62:AD$63)</f>
        <v>5.3000000000000114</v>
      </c>
      <c r="AE4" s="10">
        <f>water_ON!AE4 - water_OFF!AE4 - AVERAGE(AE$62:AE$63)</f>
        <v>0</v>
      </c>
      <c r="AF4" s="10">
        <f>water_ON!AF4 - water_OFF!AF4 - AVERAGE(AF$62:AF$63)</f>
        <v>2.5</v>
      </c>
      <c r="AG4" s="10">
        <f>water_ON!AG4 - water_OFF!AG4 - AVERAGE(AG$62:AG$63)</f>
        <v>1.3500000000000227</v>
      </c>
      <c r="AH4" s="10">
        <f>water_ON!AH4 - water_OFF!AH4 - AVERAGE(AH$62:AH$63)</f>
        <v>-0.70000000000001705</v>
      </c>
      <c r="AI4" s="10">
        <f>water_ON!AI4 - water_OFF!AI4 - AVERAGE(AI$62:AI$63)</f>
        <v>-0.10000000000002274</v>
      </c>
      <c r="AJ4" s="10">
        <f>water_ON!AJ4 - water_OFF!AJ4 - AVERAGE(AJ$62:AJ$63)</f>
        <v>1.8999999999999488</v>
      </c>
      <c r="AK4" s="10">
        <f>water_ON!AK4 - water_OFF!AK4 - AVERAGE(AK$62:AK$63)</f>
        <v>-5.000000000003979E-2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spans="1:65">
      <c r="A5" s="30">
        <v>4</v>
      </c>
      <c r="B5" s="10">
        <f>water_ON!B5 - water_OFF!B5 - AVERAGE(B$62:B$63)</f>
        <v>9.4499999999999602</v>
      </c>
      <c r="C5" s="10">
        <f>water_ON!C5 - water_OFF!C5 - AVERAGE(C$62:C$63)</f>
        <v>11.700000000000017</v>
      </c>
      <c r="D5" s="10">
        <f>water_ON!D5 - water_OFF!D5 - AVERAGE(D$62:D$63)</f>
        <v>12.299999999999983</v>
      </c>
      <c r="E5" s="10">
        <f>water_ON!E5 - water_OFF!E5 - AVERAGE(E$62:E$63)</f>
        <v>11.999999999999972</v>
      </c>
      <c r="F5" s="10">
        <f>water_ON!F5 - water_OFF!F5 - AVERAGE(F$62:F$63)</f>
        <v>6.8499999999999943</v>
      </c>
      <c r="G5" s="10">
        <f>water_ON!G5 - water_OFF!G5 - AVERAGE(G$62:G$63)</f>
        <v>9.5000000000000284</v>
      </c>
      <c r="H5" s="10">
        <f>water_ON!H5 - water_OFF!H5 - AVERAGE(H$62:H$63)</f>
        <v>2.7000000000000171</v>
      </c>
      <c r="I5" s="10">
        <f>water_ON!I5 - water_OFF!I5 - AVERAGE(I$62:I$63)</f>
        <v>3.6999999999999886</v>
      </c>
      <c r="J5" s="10">
        <f>water_ON!J5 - water_OFF!J5 - AVERAGE(J$62:J$63)</f>
        <v>5.4499999999999318</v>
      </c>
      <c r="K5" s="10">
        <f>water_ON!K5 - water_OFF!K5 - AVERAGE(K$62:K$63)</f>
        <v>5.4499999999999886</v>
      </c>
      <c r="L5" s="10">
        <f>water_ON!L5 - water_OFF!L5 - AVERAGE(L$62:L$63)</f>
        <v>5</v>
      </c>
      <c r="M5" s="10">
        <f>water_ON!M5 - water_OFF!M5 - AVERAGE(M$62:M$63)</f>
        <v>3.9500000000000455</v>
      </c>
      <c r="N5" s="10">
        <f>water_ON!N5 - water_OFF!N5 - AVERAGE(N$62:N$63)</f>
        <v>8.1500000000000057</v>
      </c>
      <c r="O5" s="10">
        <f>water_ON!O5 - water_OFF!O5 - AVERAGE(O$62:O$63)</f>
        <v>5.25</v>
      </c>
      <c r="P5" s="10">
        <f>water_ON!P5 - water_OFF!P5 - AVERAGE(P$62:P$63)</f>
        <v>8.1499999999999773</v>
      </c>
      <c r="Q5" s="10">
        <f>water_ON!Q5 - water_OFF!Q5 - AVERAGE(Q$62:Q$63)</f>
        <v>6.6000000000000227</v>
      </c>
      <c r="R5" s="10">
        <f>water_ON!R5 - water_OFF!R5 - AVERAGE(R$62:R$63)</f>
        <v>4.9500000000000455</v>
      </c>
      <c r="S5" s="10">
        <f>water_ON!S5 - water_OFF!S5 - AVERAGE(S$62:S$63)</f>
        <v>6.0000000000000853</v>
      </c>
      <c r="T5" s="10">
        <f>water_ON!T5 - water_OFF!T5 - AVERAGE(T$62:T$63)</f>
        <v>8.2999999999999829</v>
      </c>
      <c r="U5" s="10">
        <f>water_ON!U5 - water_OFF!U5 - AVERAGE(U$62:U$63)</f>
        <v>5.8999999999999773</v>
      </c>
      <c r="V5" s="10">
        <f>water_ON!V5 - water_OFF!V5 - AVERAGE(V$62:V$63)</f>
        <v>4.7499999999999716</v>
      </c>
      <c r="W5" s="10">
        <f>water_ON!W5 - water_OFF!W5 - AVERAGE(W$62:W$63)</f>
        <v>3.75</v>
      </c>
      <c r="X5" s="10">
        <f>water_ON!X5 - water_OFF!X5 - AVERAGE(X$62:X$63)</f>
        <v>8.1500000000000625</v>
      </c>
      <c r="Y5" s="10">
        <f>water_ON!Y5 - water_OFF!Y5 - AVERAGE(Y$62:Y$63)</f>
        <v>4.9499999999999602</v>
      </c>
      <c r="Z5" s="10">
        <f>water_ON!Z5 - water_OFF!Z5 - AVERAGE(Z$62:Z$63)</f>
        <v>4.6999999999999886</v>
      </c>
      <c r="AA5" s="10">
        <f>water_ON!AA5 - water_OFF!AA5 - AVERAGE(AA$62:AA$63)</f>
        <v>7.7000000000000171</v>
      </c>
      <c r="AB5" s="10">
        <f>water_ON!AB5 - water_OFF!AB5 - AVERAGE(AB$62:AB$63)</f>
        <v>10.449999999999989</v>
      </c>
      <c r="AC5" s="10">
        <f>water_ON!AC5 - water_OFF!AC5 - AVERAGE(AC$62:AC$63)</f>
        <v>8.6499999999999773</v>
      </c>
      <c r="AD5" s="10">
        <f>water_ON!AD5 - water_OFF!AD5 - AVERAGE(AD$62:AD$63)</f>
        <v>8.3000000000000114</v>
      </c>
      <c r="AE5" s="10">
        <f>water_ON!AE5 - water_OFF!AE5 - AVERAGE(AE$62:AE$63)</f>
        <v>7.1999999999999886</v>
      </c>
      <c r="AF5" s="10">
        <f>water_ON!AF5 - water_OFF!AF5 - AVERAGE(AF$62:AF$63)</f>
        <v>5.2000000000000455</v>
      </c>
      <c r="AG5" s="10">
        <f>water_ON!AG5 - water_OFF!AG5 - AVERAGE(AG$62:AG$63)</f>
        <v>7.8500000000000227</v>
      </c>
      <c r="AH5" s="10">
        <f>water_ON!AH5 - water_OFF!AH5 - AVERAGE(AH$62:AH$63)</f>
        <v>4.9000000000000057</v>
      </c>
      <c r="AI5" s="10">
        <f>water_ON!AI5 - water_OFF!AI5 - AVERAGE(AI$62:AI$63)</f>
        <v>1</v>
      </c>
      <c r="AJ5" s="10">
        <f>water_ON!AJ5 - water_OFF!AJ5 - AVERAGE(AJ$62:AJ$63)</f>
        <v>6.9000000000000057</v>
      </c>
      <c r="AK5" s="10">
        <f>water_ON!AK5 - water_OFF!AK5 - AVERAGE(AK$62:AK$63)</f>
        <v>6.6500000000000057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65">
      <c r="A6" s="30">
        <v>5</v>
      </c>
      <c r="B6" s="10">
        <f>water_ON!B6 - water_OFF!B6 - AVERAGE(B$62:B$63)</f>
        <v>37.049999999999983</v>
      </c>
      <c r="C6" s="10">
        <f>water_ON!C6 - water_OFF!C6 - AVERAGE(C$62:C$63)</f>
        <v>34.700000000000017</v>
      </c>
      <c r="D6" s="10">
        <f>water_ON!D6 - water_OFF!D6 - AVERAGE(D$62:D$63)</f>
        <v>27.600000000000051</v>
      </c>
      <c r="E6" s="10">
        <f>water_ON!E6 - water_OFF!E6 - AVERAGE(E$62:E$63)</f>
        <v>33.099999999999994</v>
      </c>
      <c r="F6" s="10">
        <f>water_ON!F6 - water_OFF!F6 - AVERAGE(F$62:F$63)</f>
        <v>32.650000000000006</v>
      </c>
      <c r="G6" s="10">
        <f>water_ON!G6 - water_OFF!G6 - AVERAGE(G$62:G$63)</f>
        <v>35.30000000000004</v>
      </c>
      <c r="H6" s="10">
        <f>water_ON!H6 - water_OFF!H6 - AVERAGE(H$62:H$63)</f>
        <v>28.299999999999983</v>
      </c>
      <c r="I6" s="10">
        <f>water_ON!I6 - water_OFF!I6 - AVERAGE(I$62:I$63)</f>
        <v>28.899999999999977</v>
      </c>
      <c r="J6" s="10">
        <f>water_ON!J6 - water_OFF!J6 - AVERAGE(J$62:J$63)</f>
        <v>30.649999999999977</v>
      </c>
      <c r="K6" s="10">
        <f>water_ON!K6 - water_OFF!K6 - AVERAGE(K$62:K$63)</f>
        <v>29.050000000000011</v>
      </c>
      <c r="L6" s="10">
        <f>water_ON!L6 - water_OFF!L6 - AVERAGE(L$62:L$63)</f>
        <v>28.800000000000011</v>
      </c>
      <c r="M6" s="10">
        <f>water_ON!M6 - water_OFF!M6 - AVERAGE(M$62:M$63)</f>
        <v>25.450000000000045</v>
      </c>
      <c r="N6" s="10">
        <f>water_ON!N6 - water_OFF!N6 - AVERAGE(N$62:N$63)</f>
        <v>32.149999999999949</v>
      </c>
      <c r="O6" s="10">
        <f>water_ON!O6 - water_OFF!O6 - AVERAGE(O$62:O$63)</f>
        <v>26.649999999999977</v>
      </c>
      <c r="P6" s="10">
        <f>water_ON!P6 - water_OFF!P6 - AVERAGE(P$62:P$63)</f>
        <v>30.850000000000023</v>
      </c>
      <c r="Q6" s="10">
        <f>water_ON!Q6 - water_OFF!Q6 - AVERAGE(Q$62:Q$63)</f>
        <v>26.600000000000023</v>
      </c>
      <c r="R6" s="10">
        <f>water_ON!R6 - water_OFF!R6 - AVERAGE(R$62:R$63)</f>
        <v>29.75</v>
      </c>
      <c r="S6" s="10">
        <f>water_ON!S6 - water_OFF!S6 - AVERAGE(S$62:S$63)</f>
        <v>27.80000000000004</v>
      </c>
      <c r="T6" s="10">
        <f>water_ON!T6 - water_OFF!T6 - AVERAGE(T$62:T$63)</f>
        <v>35.299999999999983</v>
      </c>
      <c r="U6" s="10">
        <f>water_ON!U6 - water_OFF!U6 - AVERAGE(U$62:U$63)</f>
        <v>24.5</v>
      </c>
      <c r="V6" s="10">
        <f>water_ON!V6 - water_OFF!V6 - AVERAGE(V$62:V$63)</f>
        <v>42.549999999999983</v>
      </c>
      <c r="W6" s="10">
        <f>water_ON!W6 - water_OFF!W6 - AVERAGE(W$62:W$63)</f>
        <v>30.350000000000023</v>
      </c>
      <c r="X6" s="10">
        <f>water_ON!X6 - water_OFF!X6 - AVERAGE(X$62:X$63)</f>
        <v>27.850000000000051</v>
      </c>
      <c r="Y6" s="10">
        <f>water_ON!Y6 - water_OFF!Y6 - AVERAGE(Y$62:Y$63)</f>
        <v>26.55000000000004</v>
      </c>
      <c r="Z6" s="10">
        <f>water_ON!Z6 - water_OFF!Z6 - AVERAGE(Z$62:Z$63)</f>
        <v>44.600000000000023</v>
      </c>
      <c r="AA6" s="10">
        <f>water_ON!AA6 - water_OFF!AA6 - AVERAGE(AA$62:AA$63)</f>
        <v>23.100000000000051</v>
      </c>
      <c r="AB6" s="10">
        <f>water_ON!AB6 - water_OFF!AB6 - AVERAGE(AB$62:AB$63)</f>
        <v>38.050000000000011</v>
      </c>
      <c r="AC6" s="10">
        <f>water_ON!AC6 - water_OFF!AC6 - AVERAGE(AC$62:AC$63)</f>
        <v>31.75</v>
      </c>
      <c r="AD6" s="10">
        <f>water_ON!AD6 - water_OFF!AD6 - AVERAGE(AD$62:AD$63)</f>
        <v>32.399999999999977</v>
      </c>
      <c r="AE6" s="10">
        <f>water_ON!AE6 - water_OFF!AE6 - AVERAGE(AE$62:AE$63)</f>
        <v>29.899999999999977</v>
      </c>
      <c r="AF6" s="10">
        <f>water_ON!AF6 - water_OFF!AF6 - AVERAGE(AF$62:AF$63)</f>
        <v>41.899999999999977</v>
      </c>
      <c r="AG6" s="10">
        <f>water_ON!AG6 - water_OFF!AG6 - AVERAGE(AG$62:AG$63)</f>
        <v>24.150000000000034</v>
      </c>
      <c r="AH6" s="10">
        <f>water_ON!AH6 - water_OFF!AH6 - AVERAGE(AH$62:AH$63)</f>
        <v>26.599999999999994</v>
      </c>
      <c r="AI6" s="10">
        <f>water_ON!AI6 - water_OFF!AI6 - AVERAGE(AI$62:AI$63)</f>
        <v>26.799999999999955</v>
      </c>
      <c r="AJ6" s="10">
        <f>water_ON!AJ6 - water_OFF!AJ6 - AVERAGE(AJ$62:AJ$63)</f>
        <v>30.900000000000006</v>
      </c>
      <c r="AK6" s="10">
        <f>water_ON!AK6 - water_OFF!AK6 - AVERAGE(AK$62:AK$63)</f>
        <v>26.249999999999972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</row>
    <row r="7" spans="1:65">
      <c r="A7" s="30">
        <v>6</v>
      </c>
      <c r="B7" s="10">
        <f>water_ON!B7 - water_OFF!B7 - AVERAGE(B$62:B$63)</f>
        <v>18.950000000000017</v>
      </c>
      <c r="C7" s="10">
        <f>water_ON!C7 - water_OFF!C7 - AVERAGE(C$62:C$63)</f>
        <v>3.5999999999999943</v>
      </c>
      <c r="D7" s="10">
        <f>water_ON!D7 - water_OFF!D7 - AVERAGE(D$62:D$63)</f>
        <v>20.700000000000017</v>
      </c>
      <c r="E7" s="10">
        <f>water_ON!E7 - water_OFF!E7 - AVERAGE(E$62:E$63)</f>
        <v>6.3999999999999488</v>
      </c>
      <c r="F7" s="10">
        <f>water_ON!F7 - water_OFF!F7 - AVERAGE(F$62:F$63)</f>
        <v>16.149999999999949</v>
      </c>
      <c r="G7" s="10">
        <f>water_ON!G7 - water_OFF!G7 - AVERAGE(G$62:G$63)</f>
        <v>14.400000000000063</v>
      </c>
      <c r="H7" s="10">
        <f>water_ON!H7 - water_OFF!H7 - AVERAGE(H$62:H$63)</f>
        <v>18.400000000000006</v>
      </c>
      <c r="I7" s="10">
        <f>water_ON!I7 - water_OFF!I7 - AVERAGE(I$62:I$63)</f>
        <v>15.899999999999977</v>
      </c>
      <c r="J7" s="10">
        <f>water_ON!J7 - water_OFF!J7 - AVERAGE(J$62:J$63)</f>
        <v>19.449999999999989</v>
      </c>
      <c r="K7" s="10">
        <f>water_ON!K7 - water_OFF!K7 - AVERAGE(K$62:K$63)</f>
        <v>-0.14999999999997726</v>
      </c>
      <c r="L7" s="10">
        <f>water_ON!L7 - water_OFF!L7 - AVERAGE(L$62:L$63)</f>
        <v>-0.5</v>
      </c>
      <c r="M7" s="10">
        <f>water_ON!M7 - water_OFF!M7 - AVERAGE(M$62:M$63)</f>
        <v>17.449999999999989</v>
      </c>
      <c r="N7" s="10">
        <f>water_ON!N7 - water_OFF!N7 - AVERAGE(N$62:N$63)</f>
        <v>12.549999999999983</v>
      </c>
      <c r="O7" s="10">
        <f>water_ON!O7 - water_OFF!O7 - AVERAGE(O$62:O$63)</f>
        <v>16.149999999999977</v>
      </c>
      <c r="P7" s="10">
        <f>water_ON!P7 - water_OFF!P7 - AVERAGE(P$62:P$63)</f>
        <v>16.349999999999966</v>
      </c>
      <c r="Q7" s="10">
        <f>water_ON!Q7 - water_OFF!Q7 - AVERAGE(Q$62:Q$63)</f>
        <v>23.399999999999977</v>
      </c>
      <c r="R7" s="10">
        <f>water_ON!R7 - water_OFF!R7 - AVERAGE(R$62:R$63)</f>
        <v>23.549999999999955</v>
      </c>
      <c r="S7" s="10">
        <f>water_ON!S7 - water_OFF!S7 - AVERAGE(S$62:S$63)</f>
        <v>23.000000000000028</v>
      </c>
      <c r="T7" s="10">
        <f>water_ON!T7 - water_OFF!T7 - AVERAGE(T$62:T$63)</f>
        <v>20.899999999999949</v>
      </c>
      <c r="U7" s="10">
        <f>water_ON!U7 - water_OFF!U7 - AVERAGE(U$62:U$63)</f>
        <v>22.300000000000011</v>
      </c>
      <c r="V7" s="10">
        <f>water_ON!V7 - water_OFF!V7 - AVERAGE(V$62:V$63)</f>
        <v>21.55000000000004</v>
      </c>
      <c r="W7" s="10">
        <f>water_ON!W7 - water_OFF!W7 - AVERAGE(W$62:W$63)</f>
        <v>11.550000000000011</v>
      </c>
      <c r="X7" s="10">
        <f>water_ON!X7 - water_OFF!X7 - AVERAGE(X$62:X$63)</f>
        <v>16.150000000000006</v>
      </c>
      <c r="Y7" s="10">
        <f>water_ON!Y7 - water_OFF!Y7 - AVERAGE(Y$62:Y$63)</f>
        <v>13.94999999999996</v>
      </c>
      <c r="Z7" s="10">
        <f>water_ON!Z7 - water_OFF!Z7 - AVERAGE(Z$62:Z$63)</f>
        <v>19.199999999999989</v>
      </c>
      <c r="AA7" s="10">
        <f>water_ON!AA7 - water_OFF!AA7 - AVERAGE(AA$62:AA$63)</f>
        <v>19.600000000000051</v>
      </c>
      <c r="AB7" s="10">
        <f>water_ON!AB7 - water_OFF!AB7 - AVERAGE(AB$62:AB$63)</f>
        <v>25.25</v>
      </c>
      <c r="AC7" s="10">
        <f>water_ON!AC7 - water_OFF!AC7 - AVERAGE(AC$62:AC$63)</f>
        <v>21.049999999999955</v>
      </c>
      <c r="AD7" s="10">
        <f>water_ON!AD7 - water_OFF!AD7 - AVERAGE(AD$62:AD$63)</f>
        <v>17.899999999999977</v>
      </c>
      <c r="AE7" s="10">
        <f>water_ON!AE7 - water_OFF!AE7 - AVERAGE(AE$62:AE$63)</f>
        <v>14.199999999999989</v>
      </c>
      <c r="AF7" s="10">
        <f>water_ON!AF7 - water_OFF!AF7 - AVERAGE(AF$62:AF$63)</f>
        <v>19.099999999999966</v>
      </c>
      <c r="AG7" s="10">
        <f>water_ON!AG7 - water_OFF!AG7 - AVERAGE(AG$62:AG$63)</f>
        <v>16.949999999999989</v>
      </c>
      <c r="AH7" s="10">
        <f>water_ON!AH7 - water_OFF!AH7 - AVERAGE(AH$62:AH$63)</f>
        <v>26.700000000000017</v>
      </c>
      <c r="AI7" s="10">
        <f>water_ON!AI7 - water_OFF!AI7 - AVERAGE(AI$62:AI$63)</f>
        <v>20.399999999999977</v>
      </c>
      <c r="AJ7" s="10">
        <f>water_ON!AJ7 - water_OFF!AJ7 - AVERAGE(AJ$62:AJ$63)</f>
        <v>22.400000000000006</v>
      </c>
      <c r="AK7" s="10">
        <f>water_ON!AK7 - water_OFF!AK7 - AVERAGE(AK$62:AK$63)</f>
        <v>16.250000000000028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1:65">
      <c r="A8" s="30">
        <v>7</v>
      </c>
      <c r="B8" s="10">
        <f>water_ON!B8 - water_OFF!B8 - AVERAGE(B$62:B$63)</f>
        <v>8.9500000000000171</v>
      </c>
      <c r="C8" s="10">
        <f>water_ON!C8 - water_OFF!C8 - AVERAGE(C$62:C$63)</f>
        <v>13.200000000000017</v>
      </c>
      <c r="D8" s="10">
        <f>water_ON!D8 - water_OFF!D8 - AVERAGE(D$62:D$63)</f>
        <v>4.0999999999999943</v>
      </c>
      <c r="E8" s="10">
        <f>water_ON!E8 - water_OFF!E8 - AVERAGE(E$62:E$63)</f>
        <v>8.0999999999999943</v>
      </c>
      <c r="F8" s="10">
        <f>water_ON!F8 - water_OFF!F8 - AVERAGE(F$62:F$63)</f>
        <v>6.1499999999999488</v>
      </c>
      <c r="G8" s="10">
        <f>water_ON!G8 - water_OFF!G8 - AVERAGE(G$62:G$63)</f>
        <v>4.9000000000000057</v>
      </c>
      <c r="H8" s="10">
        <f>water_ON!H8 - water_OFF!H8 - AVERAGE(H$62:H$63)</f>
        <v>5.5999999999999943</v>
      </c>
      <c r="I8" s="10">
        <f>water_ON!I8 - water_OFF!I8 - AVERAGE(I$62:I$63)</f>
        <v>3.9999999999999432</v>
      </c>
      <c r="J8" s="10">
        <f>water_ON!J8 - water_OFF!J8 - AVERAGE(J$62:J$63)</f>
        <v>4.25</v>
      </c>
      <c r="K8" s="10">
        <f>water_ON!K8 - water_OFF!K8 - AVERAGE(K$62:K$63)</f>
        <v>3.1499999999999773</v>
      </c>
      <c r="L8" s="10">
        <f>water_ON!L8 - water_OFF!L8 - AVERAGE(L$62:L$63)</f>
        <v>3.6999999999999886</v>
      </c>
      <c r="M8" s="10">
        <f>water_ON!M8 - water_OFF!M8 - AVERAGE(M$62:M$63)</f>
        <v>6.1500000000000341</v>
      </c>
      <c r="N8" s="10">
        <f>water_ON!N8 - water_OFF!N8 - AVERAGE(N$62:N$63)</f>
        <v>4.5499999999999829</v>
      </c>
      <c r="O8" s="10">
        <f>water_ON!O8 - water_OFF!O8 - AVERAGE(O$62:O$63)</f>
        <v>2.8500000000000227</v>
      </c>
      <c r="P8" s="10">
        <f>water_ON!P8 - water_OFF!P8 - AVERAGE(P$62:P$63)</f>
        <v>5.75</v>
      </c>
      <c r="Q8" s="10">
        <f>water_ON!Q8 - water_OFF!Q8 - AVERAGE(Q$62:Q$63)</f>
        <v>5.1000000000000227</v>
      </c>
      <c r="R8" s="10">
        <f>water_ON!R8 - water_OFF!R8 - AVERAGE(R$62:R$63)</f>
        <v>4.4500000000000455</v>
      </c>
      <c r="S8" s="10">
        <f>water_ON!S8 - water_OFF!S8 - AVERAGE(S$62:S$63)</f>
        <v>2.4000000000000625</v>
      </c>
      <c r="T8" s="10">
        <f>water_ON!T8 - water_OFF!T8 - AVERAGE(T$62:T$63)</f>
        <v>5.1999999999999602</v>
      </c>
      <c r="U8" s="10">
        <f>water_ON!U8 - water_OFF!U8 - AVERAGE(U$62:U$63)</f>
        <v>4.1999999999999886</v>
      </c>
      <c r="V8" s="10">
        <f>water_ON!V8 - water_OFF!V8 - AVERAGE(V$62:V$63)</f>
        <v>1.5500000000000398</v>
      </c>
      <c r="W8" s="10">
        <f>water_ON!W8 - water_OFF!W8 - AVERAGE(W$62:W$63)</f>
        <v>3.8500000000000227</v>
      </c>
      <c r="X8" s="10">
        <f>water_ON!X8 - water_OFF!X8 - AVERAGE(X$62:X$63)</f>
        <v>2.4500000000000171</v>
      </c>
      <c r="Y8" s="10">
        <f>water_ON!Y8 - water_OFF!Y8 - AVERAGE(Y$62:Y$63)</f>
        <v>2.5500000000000398</v>
      </c>
      <c r="Z8" s="10">
        <f>water_ON!Z8 - water_OFF!Z8 - AVERAGE(Z$62:Z$63)</f>
        <v>2.1000000000000227</v>
      </c>
      <c r="AA8" s="10">
        <f>water_ON!AA8 - water_OFF!AA8 - AVERAGE(AA$62:AA$63)</f>
        <v>2.2000000000000171</v>
      </c>
      <c r="AB8" s="10">
        <f>water_ON!AB8 - water_OFF!AB8 - AVERAGE(AB$62:AB$63)</f>
        <v>4.0499999999999545</v>
      </c>
      <c r="AC8" s="10">
        <f>water_ON!AC8 - water_OFF!AC8 - AVERAGE(AC$62:AC$63)</f>
        <v>2.8499999999999659</v>
      </c>
      <c r="AD8" s="10">
        <f>water_ON!AD8 - water_OFF!AD8 - AVERAGE(AD$62:AD$63)</f>
        <v>2.8000000000000114</v>
      </c>
      <c r="AE8" s="10">
        <f>water_ON!AE8 - water_OFF!AE8 - AVERAGE(AE$62:AE$63)</f>
        <v>1.6999999999999886</v>
      </c>
      <c r="AF8" s="10">
        <f>water_ON!AF8 - water_OFF!AF8 - AVERAGE(AF$62:AF$63)</f>
        <v>0.19999999999998863</v>
      </c>
      <c r="AG8" s="10">
        <f>water_ON!AG8 - water_OFF!AG8 - AVERAGE(AG$62:AG$63)</f>
        <v>3.0500000000000114</v>
      </c>
      <c r="AH8" s="10">
        <f>water_ON!AH8 - water_OFF!AH8 - AVERAGE(AH$62:AH$63)</f>
        <v>1.5999999999999943</v>
      </c>
      <c r="AI8" s="10">
        <f>water_ON!AI8 - water_OFF!AI8 - AVERAGE(AI$62:AI$63)</f>
        <v>9.9999999999965894E-2</v>
      </c>
      <c r="AJ8" s="10">
        <f>water_ON!AJ8 - water_OFF!AJ8 - AVERAGE(AJ$62:AJ$63)</f>
        <v>2.0999999999999943</v>
      </c>
      <c r="AK8" s="10">
        <f>water_ON!AK8 - water_OFF!AK8 - AVERAGE(AK$62:AK$63)</f>
        <v>6.2500000000000284</v>
      </c>
      <c r="AL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</row>
    <row r="9" spans="1:65">
      <c r="A9" s="30">
        <v>8</v>
      </c>
      <c r="B9" s="10">
        <f>water_ON!B9 - water_OFF!B9 - AVERAGE(B$62:B$63)</f>
        <v>4.0499999999999829</v>
      </c>
      <c r="C9" s="10">
        <f>water_ON!C9 - water_OFF!C9 - AVERAGE(C$62:C$63)</f>
        <v>6.9000000000000057</v>
      </c>
      <c r="D9" s="10">
        <f>water_ON!D9 - water_OFF!D9 - AVERAGE(D$62:D$63)</f>
        <v>5.4000000000000057</v>
      </c>
      <c r="E9" s="10">
        <f>water_ON!E9 - water_OFF!E9 - AVERAGE(E$62:E$63)</f>
        <v>0.99999999999997158</v>
      </c>
      <c r="F9" s="10">
        <f>water_ON!F9 - water_OFF!F9 - AVERAGE(F$62:F$63)</f>
        <v>7.2499999999999716</v>
      </c>
      <c r="G9" s="10">
        <f>water_ON!G9 - water_OFF!G9 - AVERAGE(G$62:G$63)</f>
        <v>0.20000000000001705</v>
      </c>
      <c r="H9" s="10">
        <f>water_ON!H9 - water_OFF!H9 - AVERAGE(H$62:H$63)</f>
        <v>9.9999999999994316E-2</v>
      </c>
      <c r="I9" s="10">
        <f>water_ON!I9 - water_OFF!I9 - AVERAGE(I$62:I$63)</f>
        <v>2.1999999999999886</v>
      </c>
      <c r="J9" s="10">
        <f>water_ON!J9 - water_OFF!J9 - AVERAGE(J$62:J$63)</f>
        <v>0.24999999999994316</v>
      </c>
      <c r="K9" s="10">
        <f>water_ON!K9 - water_OFF!K9 - AVERAGE(K$62:K$63)</f>
        <v>4.25</v>
      </c>
      <c r="L9" s="10">
        <f>water_ON!L9 - water_OFF!L9 - AVERAGE(L$62:L$63)</f>
        <v>1.8999999999999773</v>
      </c>
      <c r="M9" s="10">
        <f>water_ON!M9 - water_OFF!M9 - AVERAGE(M$62:M$63)</f>
        <v>12.950000000000045</v>
      </c>
      <c r="N9" s="10">
        <f>water_ON!N9 - water_OFF!N9 - AVERAGE(N$62:N$63)</f>
        <v>1.3499999999999375</v>
      </c>
      <c r="O9" s="10">
        <f>water_ON!O9 - water_OFF!O9 - AVERAGE(O$62:O$63)</f>
        <v>3.75</v>
      </c>
      <c r="P9" s="10">
        <f>water_ON!P9 - water_OFF!P9 - AVERAGE(P$62:P$63)</f>
        <v>0.44999999999998863</v>
      </c>
      <c r="Q9" s="10">
        <f>water_ON!Q9 - water_OFF!Q9 - AVERAGE(Q$62:Q$63)</f>
        <v>6.9000000000000341</v>
      </c>
      <c r="R9" s="10">
        <f>water_ON!R9 - water_OFF!R9 - AVERAGE(R$62:R$63)</f>
        <v>1.7499999999999432</v>
      </c>
      <c r="S9" s="10">
        <f>water_ON!S9 - water_OFF!S9 - AVERAGE(S$62:S$63)</f>
        <v>2.8000000000000966</v>
      </c>
      <c r="T9" s="10">
        <f>water_ON!T9 - water_OFF!T9 - AVERAGE(T$62:T$63)</f>
        <v>1.9000000000000057</v>
      </c>
      <c r="U9" s="10">
        <f>water_ON!U9 - water_OFF!U9 - AVERAGE(U$62:U$63)</f>
        <v>2.1000000000000227</v>
      </c>
      <c r="V9" s="10">
        <f>water_ON!V9 - water_OFF!V9 - AVERAGE(V$62:V$63)</f>
        <v>1.1500000000000057</v>
      </c>
      <c r="W9" s="10">
        <f>water_ON!W9 - water_OFF!W9 - AVERAGE(W$62:W$63)</f>
        <v>1.25</v>
      </c>
      <c r="X9" s="10">
        <f>water_ON!X9 - water_OFF!X9 - AVERAGE(X$62:X$63)</f>
        <v>3.0500000000000398</v>
      </c>
      <c r="Y9" s="10">
        <f>water_ON!Y9 - water_OFF!Y9 - AVERAGE(Y$62:Y$63)</f>
        <v>0.25000000000002842</v>
      </c>
      <c r="Z9" s="10">
        <f>water_ON!Z9 - water_OFF!Z9 - AVERAGE(Z$62:Z$63)</f>
        <v>1</v>
      </c>
      <c r="AA9" s="10">
        <f>water_ON!AA9 - water_OFF!AA9 - AVERAGE(AA$62:AA$63)</f>
        <v>1.9000000000000625</v>
      </c>
      <c r="AB9" s="10">
        <f>water_ON!AB9 - water_OFF!AB9 - AVERAGE(AB$62:AB$63)</f>
        <v>1.3499999999999659</v>
      </c>
      <c r="AC9" s="10">
        <f>water_ON!AC9 - water_OFF!AC9 - AVERAGE(AC$62:AC$63)</f>
        <v>0.44999999999998863</v>
      </c>
      <c r="AD9" s="10">
        <f>water_ON!AD9 - water_OFF!AD9 - AVERAGE(AD$62:AD$63)</f>
        <v>0.89999999999997726</v>
      </c>
      <c r="AE9" s="10">
        <f>water_ON!AE9 - water_OFF!AE9 - AVERAGE(AE$62:AE$63)</f>
        <v>1.3999999999999773</v>
      </c>
      <c r="AF9" s="10">
        <f>water_ON!AF9 - water_OFF!AF9 - AVERAGE(AF$62:AF$63)</f>
        <v>3.5</v>
      </c>
      <c r="AG9" s="10">
        <f>water_ON!AG9 - water_OFF!AG9 - AVERAGE(AG$62:AG$63)</f>
        <v>3.1500000000000341</v>
      </c>
      <c r="AH9" s="10">
        <f>water_ON!AH9 - water_OFF!AH9 - AVERAGE(AH$62:AH$63)</f>
        <v>9.9999999999994316E-2</v>
      </c>
      <c r="AI9" s="10">
        <f>water_ON!AI9 - water_OFF!AI9 - AVERAGE(AI$62:AI$63)</f>
        <v>1.8999999999999773</v>
      </c>
      <c r="AJ9" s="10">
        <f>water_ON!AJ9 - water_OFF!AJ9 - AVERAGE(AJ$62:AJ$63)</f>
        <v>1.7000000000000171</v>
      </c>
      <c r="AK9" s="10">
        <f>water_ON!AK9 - water_OFF!AK9 - AVERAGE(AK$62:AK$63)</f>
        <v>2.5499999999999829</v>
      </c>
      <c r="AL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</row>
    <row r="10" spans="1:65">
      <c r="A10" s="30">
        <v>9</v>
      </c>
      <c r="B10" s="10">
        <f>water_ON!B10 - water_OFF!B10 - AVERAGE(B$62:B$63)</f>
        <v>58.150000000000006</v>
      </c>
      <c r="C10" s="10">
        <f>water_ON!C10 - water_OFF!C10 - AVERAGE(C$62:C$63)</f>
        <v>46.000000000000028</v>
      </c>
      <c r="D10" s="10">
        <f>water_ON!D10 - water_OFF!D10 - AVERAGE(D$62:D$63)</f>
        <v>-0.19999999999996021</v>
      </c>
      <c r="E10" s="10">
        <f>water_ON!E10 - water_OFF!E10 - AVERAGE(E$62:E$63)</f>
        <v>39.299999999999983</v>
      </c>
      <c r="F10" s="10">
        <f>water_ON!F10 - water_OFF!F10 - AVERAGE(F$62:F$63)</f>
        <v>53.049999999999983</v>
      </c>
      <c r="G10" s="10">
        <f>water_ON!G10 - water_OFF!G10 - AVERAGE(G$62:G$63)</f>
        <v>54.30000000000004</v>
      </c>
      <c r="H10" s="10">
        <f>water_ON!H10 - water_OFF!H10 - AVERAGE(H$62:H$63)</f>
        <v>40.999999999999972</v>
      </c>
      <c r="I10" s="10">
        <f>water_ON!I10 - water_OFF!I10 - AVERAGE(I$62:I$63)</f>
        <v>39.5</v>
      </c>
      <c r="J10" s="10">
        <f>water_ON!J10 - water_OFF!J10 - AVERAGE(J$62:J$63)</f>
        <v>54.550000000000011</v>
      </c>
      <c r="K10" s="10">
        <f>water_ON!K10 - water_OFF!K10 - AVERAGE(K$62:K$63)</f>
        <v>49.25</v>
      </c>
      <c r="L10" s="10">
        <f>water_ON!L10 - water_OFF!L10 - AVERAGE(L$62:L$63)</f>
        <v>51</v>
      </c>
      <c r="M10" s="10">
        <f>water_ON!M10 - water_OFF!M10 - AVERAGE(M$62:M$63)</f>
        <v>56.25</v>
      </c>
      <c r="N10" s="10">
        <f>water_ON!N10 - water_OFF!N10 - AVERAGE(N$62:N$63)</f>
        <v>62.450000000000017</v>
      </c>
      <c r="O10" s="10">
        <f>water_ON!O10 - water_OFF!O10 - AVERAGE(O$62:O$63)</f>
        <v>47.349999999999966</v>
      </c>
      <c r="P10" s="10">
        <f>water_ON!P10 - water_OFF!P10 - AVERAGE(P$62:P$63)</f>
        <v>53.949999999999989</v>
      </c>
      <c r="Q10" s="10">
        <f>water_ON!Q10 - water_OFF!Q10 - AVERAGE(Q$62:Q$63)</f>
        <v>53.199999999999989</v>
      </c>
      <c r="R10" s="10">
        <f>water_ON!R10 - water_OFF!R10 - AVERAGE(R$62:R$63)</f>
        <v>69.749999999999943</v>
      </c>
      <c r="S10" s="10">
        <f>water_ON!S10 - water_OFF!S10 - AVERAGE(S$62:S$63)</f>
        <v>44.400000000000119</v>
      </c>
      <c r="T10" s="10">
        <f>water_ON!T10 - water_OFF!T10 - AVERAGE(T$62:T$63)</f>
        <v>63.499999999999972</v>
      </c>
      <c r="U10" s="10">
        <f>water_ON!U10 - water_OFF!U10 - AVERAGE(U$62:U$63)</f>
        <v>50.300000000000011</v>
      </c>
      <c r="V10" s="10">
        <f>water_ON!V10 - water_OFF!V10 - AVERAGE(V$62:V$63)</f>
        <v>70.549999999999983</v>
      </c>
      <c r="W10" s="10">
        <f>water_ON!W10 - water_OFF!W10 - AVERAGE(W$62:W$63)</f>
        <v>51.050000000000011</v>
      </c>
      <c r="X10" s="10">
        <f>water_ON!X10 - water_OFF!X10 - AVERAGE(X$62:X$63)</f>
        <v>59.750000000000028</v>
      </c>
      <c r="Y10" s="10">
        <f>water_ON!Y10 - water_OFF!Y10 - AVERAGE(Y$62:Y$63)</f>
        <v>38.250000000000028</v>
      </c>
      <c r="Z10" s="10">
        <f>water_ON!Z10 - water_OFF!Z10 - AVERAGE(Z$62:Z$63)</f>
        <v>60.399999999999977</v>
      </c>
      <c r="AA10" s="10">
        <f>water_ON!AA10 - water_OFF!AA10 - AVERAGE(AA$62:AA$63)</f>
        <v>50.900000000000063</v>
      </c>
      <c r="AB10" s="10">
        <f>water_ON!AB10 - water_OFF!AB10 - AVERAGE(AB$62:AB$63)</f>
        <v>69.25</v>
      </c>
      <c r="AC10" s="10">
        <f>water_ON!AC10 - water_OFF!AC10 - AVERAGE(AC$62:AC$63)</f>
        <v>55.949999999999932</v>
      </c>
      <c r="AD10" s="10">
        <f>water_ON!AD10 - water_OFF!AD10 - AVERAGE(AD$62:AD$63)</f>
        <v>55.699999999999989</v>
      </c>
      <c r="AE10" s="10">
        <f>water_ON!AE10 - water_OFF!AE10 - AVERAGE(AE$62:AE$63)</f>
        <v>49.100000000000023</v>
      </c>
      <c r="AF10" s="10">
        <f>water_ON!AF10 - water_OFF!AF10 - AVERAGE(AF$62:AF$63)</f>
        <v>64.600000000000023</v>
      </c>
      <c r="AG10" s="10">
        <f>water_ON!AG10 - water_OFF!AG10 - AVERAGE(AG$62:AG$63)</f>
        <v>43.550000000000011</v>
      </c>
      <c r="AH10" s="10">
        <f>water_ON!AH10 - water_OFF!AH10 - AVERAGE(AH$62:AH$63)</f>
        <v>60.400000000000006</v>
      </c>
      <c r="AI10" s="10">
        <f>water_ON!AI10 - water_OFF!AI10 - AVERAGE(AI$62:AI$63)</f>
        <v>50.5</v>
      </c>
      <c r="AJ10" s="10">
        <f>water_ON!AJ10 - water_OFF!AJ10 - AVERAGE(AJ$62:AJ$63)</f>
        <v>56.200000000000017</v>
      </c>
      <c r="AK10" s="10">
        <f>water_ON!AK10 - water_OFF!AK10 - AVERAGE(AK$62:AK$63)</f>
        <v>49.749999999999972</v>
      </c>
      <c r="AL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</row>
    <row r="11" spans="1:65">
      <c r="A11" s="30">
        <v>10</v>
      </c>
      <c r="B11" s="10">
        <f>water_ON!B11 - water_OFF!B11 - AVERAGE(B$62:B$63)</f>
        <v>32.549999999999983</v>
      </c>
      <c r="C11" s="10">
        <f>water_ON!C11 - water_OFF!C11 - AVERAGE(C$62:C$63)</f>
        <v>31.400000000000006</v>
      </c>
      <c r="D11" s="10">
        <f>water_ON!D11 - water_OFF!D11 - AVERAGE(D$62:D$63)</f>
        <v>34.000000000000028</v>
      </c>
      <c r="E11" s="10">
        <f>water_ON!E11 - water_OFF!E11 - AVERAGE(E$62:E$63)</f>
        <v>-0.20000000000001705</v>
      </c>
      <c r="F11" s="10">
        <f>water_ON!F11 - water_OFF!F11 - AVERAGE(F$62:F$63)</f>
        <v>36.349999999999994</v>
      </c>
      <c r="G11" s="10">
        <f>water_ON!G11 - water_OFF!G11 - AVERAGE(G$62:G$63)</f>
        <v>31.900000000000006</v>
      </c>
      <c r="H11" s="10">
        <f>water_ON!H11 - water_OFF!H11 - AVERAGE(H$62:H$63)</f>
        <v>32.399999999999949</v>
      </c>
      <c r="I11" s="10">
        <f>water_ON!I11 - water_OFF!I11 - AVERAGE(I$62:I$63)</f>
        <v>27.399999999999977</v>
      </c>
      <c r="J11" s="10">
        <f>water_ON!J11 - water_OFF!J11 - AVERAGE(J$62:J$63)</f>
        <v>33.949999999999989</v>
      </c>
      <c r="K11" s="10">
        <f>water_ON!K11 - water_OFF!K11 - AVERAGE(K$62:K$63)</f>
        <v>31.350000000000023</v>
      </c>
      <c r="L11" s="10">
        <f>water_ON!L11 - water_OFF!L11 - AVERAGE(L$62:L$63)</f>
        <v>32</v>
      </c>
      <c r="M11" s="10">
        <f>water_ON!M11 - water_OFF!M11 - AVERAGE(M$62:M$63)</f>
        <v>30.350000000000023</v>
      </c>
      <c r="N11" s="10">
        <f>water_ON!N11 - water_OFF!N11 - AVERAGE(N$62:N$63)</f>
        <v>27.249999999999972</v>
      </c>
      <c r="O11" s="10">
        <f>water_ON!O11 - water_OFF!O11 - AVERAGE(O$62:O$63)</f>
        <v>30.25</v>
      </c>
      <c r="P11" s="10">
        <f>water_ON!P11 - water_OFF!P11 - AVERAGE(P$62:P$63)</f>
        <v>31.649999999999977</v>
      </c>
      <c r="Q11" s="10">
        <f>water_ON!Q11 - water_OFF!Q11 - AVERAGE(Q$62:Q$63)</f>
        <v>26.899999999999977</v>
      </c>
      <c r="R11" s="10">
        <f>water_ON!R11 - water_OFF!R11 - AVERAGE(R$62:R$63)</f>
        <v>23.650000000000034</v>
      </c>
      <c r="S11" s="10">
        <f>water_ON!S11 - water_OFF!S11 - AVERAGE(S$62:S$63)</f>
        <v>27.600000000000051</v>
      </c>
      <c r="T11" s="10">
        <f>water_ON!T11 - water_OFF!T11 - AVERAGE(T$62:T$63)</f>
        <v>24.19999999999996</v>
      </c>
      <c r="U11" s="10">
        <f>water_ON!U11 - water_OFF!U11 - AVERAGE(U$62:U$63)</f>
        <v>26.599999999999966</v>
      </c>
      <c r="V11" s="10">
        <f>water_ON!V11 - water_OFF!V11 - AVERAGE(V$62:V$63)</f>
        <v>30.150000000000006</v>
      </c>
      <c r="W11" s="10">
        <f>water_ON!W11 - water_OFF!W11 - AVERAGE(W$62:W$63)</f>
        <v>23.75</v>
      </c>
      <c r="X11" s="10">
        <f>water_ON!X11 - water_OFF!X11 - AVERAGE(X$62:X$63)</f>
        <v>25.450000000000017</v>
      </c>
      <c r="Y11" s="10">
        <f>water_ON!Y11 - water_OFF!Y11 - AVERAGE(Y$62:Y$63)</f>
        <v>24.650000000000006</v>
      </c>
      <c r="Z11" s="10">
        <f>water_ON!Z11 - water_OFF!Z11 - AVERAGE(Z$62:Z$63)</f>
        <v>19.800000000000011</v>
      </c>
      <c r="AA11" s="10">
        <f>water_ON!AA11 - water_OFF!AA11 - AVERAGE(AA$62:AA$63)</f>
        <v>25.30000000000004</v>
      </c>
      <c r="AB11" s="10">
        <f>water_ON!AB11 - water_OFF!AB11 - AVERAGE(AB$62:AB$63)</f>
        <v>25.649999999999977</v>
      </c>
      <c r="AC11" s="10">
        <f>water_ON!AC11 - water_OFF!AC11 - AVERAGE(AC$62:AC$63)</f>
        <v>21.549999999999955</v>
      </c>
      <c r="AD11" s="10">
        <f>water_ON!AD11 - water_OFF!AD11 - AVERAGE(AD$62:AD$63)</f>
        <v>22.800000000000011</v>
      </c>
      <c r="AE11" s="10">
        <f>water_ON!AE11 - water_OFF!AE11 - AVERAGE(AE$62:AE$63)</f>
        <v>25.699999999999989</v>
      </c>
      <c r="AF11" s="10">
        <f>water_ON!AF11 - water_OFF!AF11 - AVERAGE(AF$62:AF$63)</f>
        <v>25.099999999999966</v>
      </c>
      <c r="AG11" s="10">
        <f>water_ON!AG11 - water_OFF!AG11 - AVERAGE(AG$62:AG$63)</f>
        <v>23.550000000000011</v>
      </c>
      <c r="AH11" s="10">
        <f>water_ON!AH11 - water_OFF!AH11 - AVERAGE(AH$62:AH$63)</f>
        <v>24.099999999999994</v>
      </c>
      <c r="AI11" s="10">
        <f>water_ON!AI11 - water_OFF!AI11 - AVERAGE(AI$62:AI$63)</f>
        <v>24</v>
      </c>
      <c r="AJ11" s="10">
        <f>water_ON!AJ11 - water_OFF!AJ11 - AVERAGE(AJ$62:AJ$63)</f>
        <v>25.80000000000004</v>
      </c>
      <c r="AK11" s="10">
        <f>water_ON!AK11 - water_OFF!AK11 - AVERAGE(AK$62:AK$63)</f>
        <v>27.650000000000006</v>
      </c>
      <c r="AL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</row>
    <row r="12" spans="1:65">
      <c r="A12" s="30">
        <v>11</v>
      </c>
      <c r="B12" s="10">
        <f>water_ON!B12 - water_OFF!B12 - AVERAGE(B$62:B$63)</f>
        <v>10.450000000000017</v>
      </c>
      <c r="C12" s="10">
        <f>water_ON!C12 - water_OFF!C12 - AVERAGE(C$62:C$63)</f>
        <v>4.9000000000000057</v>
      </c>
      <c r="D12" s="10">
        <f>water_ON!D12 - water_OFF!D12 - AVERAGE(D$62:D$63)</f>
        <v>6.4000000000000057</v>
      </c>
      <c r="E12" s="10">
        <f>water_ON!E12 - water_OFF!E12 - AVERAGE(E$62:E$63)</f>
        <v>2.4999999999999716</v>
      </c>
      <c r="F12" s="10">
        <f>water_ON!F12 - water_OFF!F12 - AVERAGE(F$62:F$63)</f>
        <v>15.049999999999983</v>
      </c>
      <c r="G12" s="10">
        <f>water_ON!G12 - water_OFF!G12 - AVERAGE(G$62:G$63)</f>
        <v>13.100000000000051</v>
      </c>
      <c r="H12" s="10">
        <f>water_ON!H12 - water_OFF!H12 - AVERAGE(H$62:H$63)</f>
        <v>14.799999999999983</v>
      </c>
      <c r="I12" s="10">
        <f>water_ON!I12 - water_OFF!I12 - AVERAGE(I$62:I$63)</f>
        <v>4.8999999999999773</v>
      </c>
      <c r="J12" s="10">
        <f>water_ON!J12 - water_OFF!J12 - AVERAGE(J$62:J$63)</f>
        <v>16.449999999999989</v>
      </c>
      <c r="K12" s="10">
        <f>water_ON!K12 - water_OFF!K12 - AVERAGE(K$62:K$63)</f>
        <v>17.949999999999989</v>
      </c>
      <c r="L12" s="10">
        <f>water_ON!L12 - water_OFF!L12 - AVERAGE(L$62:L$63)</f>
        <v>13.800000000000011</v>
      </c>
      <c r="M12" s="10">
        <f>water_ON!M12 - water_OFF!M12 - AVERAGE(M$62:M$63)</f>
        <v>2.1500000000000341</v>
      </c>
      <c r="N12" s="10">
        <f>water_ON!N12 - water_OFF!N12 - AVERAGE(N$62:N$63)</f>
        <v>5.3499999999999943</v>
      </c>
      <c r="O12" s="10">
        <f>water_ON!O12 - water_OFF!O12 - AVERAGE(O$62:O$63)</f>
        <v>4.3500000000000227</v>
      </c>
      <c r="P12" s="10">
        <f>water_ON!P12 - water_OFF!P12 - AVERAGE(P$62:P$63)</f>
        <v>3.4499999999999886</v>
      </c>
      <c r="Q12" s="10">
        <f>water_ON!Q12 - water_OFF!Q12 - AVERAGE(Q$62:Q$63)</f>
        <v>1.8000000000000114</v>
      </c>
      <c r="R12" s="10">
        <f>water_ON!R12 - water_OFF!R12 - AVERAGE(R$62:R$63)</f>
        <v>4.6500000000000341</v>
      </c>
      <c r="S12" s="10">
        <f>water_ON!S12 - water_OFF!S12 - AVERAGE(S$62:S$63)</f>
        <v>13.200000000000017</v>
      </c>
      <c r="T12" s="10">
        <f>water_ON!T12 - water_OFF!T12 - AVERAGE(T$62:T$63)</f>
        <v>3.7000000000000171</v>
      </c>
      <c r="U12" s="10">
        <f>water_ON!U12 - water_OFF!U12 - AVERAGE(U$62:U$63)</f>
        <v>5.3999999999999773</v>
      </c>
      <c r="V12" s="10">
        <f>water_ON!V12 - water_OFF!V12 - AVERAGE(V$62:V$63)</f>
        <v>5.9500000000000171</v>
      </c>
      <c r="W12" s="10">
        <f>water_ON!W12 - water_OFF!W12 - AVERAGE(W$62:W$63)</f>
        <v>4.0500000000000114</v>
      </c>
      <c r="X12" s="10">
        <f>water_ON!X12 - water_OFF!X12 - AVERAGE(X$62:X$63)</f>
        <v>5.7500000000000284</v>
      </c>
      <c r="Y12" s="10">
        <f>water_ON!Y12 - water_OFF!Y12 - AVERAGE(Y$62:Y$63)</f>
        <v>2.0499999999999829</v>
      </c>
      <c r="Z12" s="10">
        <f>water_ON!Z12 - water_OFF!Z12 - AVERAGE(Z$62:Z$63)</f>
        <v>3.5</v>
      </c>
      <c r="AA12" s="10">
        <f>water_ON!AA12 - water_OFF!AA12 - AVERAGE(AA$62:AA$63)</f>
        <v>2.5000000000000284</v>
      </c>
      <c r="AB12" s="10">
        <f>water_ON!AB12 - water_OFF!AB12 - AVERAGE(AB$62:AB$63)</f>
        <v>2.9499999999999886</v>
      </c>
      <c r="AC12" s="10">
        <f>water_ON!AC12 - water_OFF!AC12 - AVERAGE(AC$62:AC$63)</f>
        <v>10.050000000000011</v>
      </c>
      <c r="AD12" s="10">
        <f>water_ON!AD12 - water_OFF!AD12 - AVERAGE(AD$62:AD$63)</f>
        <v>3.6999999999999886</v>
      </c>
      <c r="AE12" s="10">
        <f>water_ON!AE12 - water_OFF!AE12 - AVERAGE(AE$62:AE$63)</f>
        <v>2.1000000000000227</v>
      </c>
      <c r="AF12" s="10">
        <f>water_ON!AF12 - water_OFF!AF12 - AVERAGE(AF$62:AF$63)</f>
        <v>2.6999999999999886</v>
      </c>
      <c r="AG12" s="10">
        <f>water_ON!AG12 - water_OFF!AG12 - AVERAGE(AG$62:AG$63)</f>
        <v>2.4499999999999886</v>
      </c>
      <c r="AH12" s="10">
        <f>water_ON!AH12 - water_OFF!AH12 - AVERAGE(AH$62:AH$63)</f>
        <v>3.7999999999999829</v>
      </c>
      <c r="AI12" s="10">
        <f>water_ON!AI12 - water_OFF!AI12 - AVERAGE(AI$62:AI$63)</f>
        <v>2.5999999999999659</v>
      </c>
      <c r="AJ12" s="10">
        <f>water_ON!AJ12 - water_OFF!AJ12 - AVERAGE(AJ$62:AJ$63)</f>
        <v>3.7999999999999829</v>
      </c>
      <c r="AK12" s="10">
        <f>water_ON!AK12 - water_OFF!AK12 - AVERAGE(AK$62:AK$63)</f>
        <v>1.4500000000000171</v>
      </c>
      <c r="AL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</row>
    <row r="13" spans="1:65">
      <c r="A13" s="30">
        <v>12</v>
      </c>
      <c r="B13" s="10">
        <f>water_ON!B13 - water_OFF!B13 - AVERAGE(B$62:B$63)</f>
        <v>2.4500000000000171</v>
      </c>
      <c r="C13" s="10">
        <f>water_ON!C13 - water_OFF!C13 - AVERAGE(C$62:C$63)</f>
        <v>2.0000000000000284</v>
      </c>
      <c r="D13" s="10">
        <f>water_ON!D13 - water_OFF!D13 - AVERAGE(D$62:D$63)</f>
        <v>5.9000000000000057</v>
      </c>
      <c r="E13" s="10">
        <f>water_ON!E13 - water_OFF!E13 - AVERAGE(E$62:E$63)</f>
        <v>3.9000000000000057</v>
      </c>
      <c r="F13" s="10">
        <f>water_ON!F13 - water_OFF!F13 - AVERAGE(F$62:F$63)</f>
        <v>6.2500000000000284</v>
      </c>
      <c r="G13" s="10">
        <f>water_ON!G13 - water_OFF!G13 - AVERAGE(G$62:G$63)</f>
        <v>8.8000000000000398</v>
      </c>
      <c r="H13" s="10">
        <f>water_ON!H13 - water_OFF!H13 - AVERAGE(H$62:H$63)</f>
        <v>4.7000000000000171</v>
      </c>
      <c r="I13" s="10">
        <f>water_ON!I13 - water_OFF!I13 - AVERAGE(I$62:I$63)</f>
        <v>12.300000000000011</v>
      </c>
      <c r="J13" s="10">
        <f>water_ON!J13 - water_OFF!J13 - AVERAGE(J$62:J$63)</f>
        <v>3.9499999999999886</v>
      </c>
      <c r="K13" s="10">
        <f>water_ON!K13 - water_OFF!K13 - AVERAGE(K$62:K$63)</f>
        <v>6.1499999999999773</v>
      </c>
      <c r="L13" s="10">
        <f>water_ON!L13 - water_OFF!L13 - AVERAGE(L$62:L$63)</f>
        <v>4.9000000000000341</v>
      </c>
      <c r="M13" s="10">
        <f>water_ON!M13 - water_OFF!M13 - AVERAGE(M$62:M$63)</f>
        <v>4.1500000000000341</v>
      </c>
      <c r="N13" s="10">
        <f>water_ON!N13 - water_OFF!N13 - AVERAGE(N$62:N$63)</f>
        <v>4.9499999999999602</v>
      </c>
      <c r="O13" s="10">
        <f>water_ON!O13 - water_OFF!O13 - AVERAGE(O$62:O$63)</f>
        <v>4.6499999999999773</v>
      </c>
      <c r="P13" s="10">
        <f>water_ON!P13 - water_OFF!P13 - AVERAGE(P$62:P$63)</f>
        <v>7.8500000000000227</v>
      </c>
      <c r="Q13" s="10">
        <f>water_ON!Q13 - water_OFF!Q13 - AVERAGE(Q$62:Q$63)</f>
        <v>5.1999999999999886</v>
      </c>
      <c r="R13" s="10">
        <f>water_ON!R13 - water_OFF!R13 - AVERAGE(R$62:R$63)</f>
        <v>9.1499999999999773</v>
      </c>
      <c r="S13" s="10">
        <f>water_ON!S13 - water_OFF!S13 - AVERAGE(S$62:S$63)</f>
        <v>3.3000000000000966</v>
      </c>
      <c r="T13" s="10">
        <f>water_ON!T13 - water_OFF!T13 - AVERAGE(T$62:T$63)</f>
        <v>9.7999999999999829</v>
      </c>
      <c r="U13" s="10">
        <f>water_ON!U13 - water_OFF!U13 - AVERAGE(U$62:U$63)</f>
        <v>2.5</v>
      </c>
      <c r="V13" s="10">
        <f>water_ON!V13 - water_OFF!V13 - AVERAGE(V$62:V$63)</f>
        <v>9.6500000000000057</v>
      </c>
      <c r="W13" s="10">
        <f>water_ON!W13 - water_OFF!W13 - AVERAGE(W$62:W$63)</f>
        <v>5.8500000000000227</v>
      </c>
      <c r="X13" s="10">
        <f>water_ON!X13 - water_OFF!X13 - AVERAGE(X$62:X$63)</f>
        <v>0.45000000000001705</v>
      </c>
      <c r="Y13" s="10">
        <f>water_ON!Y13 - water_OFF!Y13 - AVERAGE(Y$62:Y$63)</f>
        <v>5.000000000003979E-2</v>
      </c>
      <c r="Z13" s="10">
        <f>water_ON!Z13 - water_OFF!Z13 - AVERAGE(Z$62:Z$63)</f>
        <v>4.7000000000000455</v>
      </c>
      <c r="AA13" s="10">
        <f>water_ON!AA13 - water_OFF!AA13 - AVERAGE(AA$62:AA$63)</f>
        <v>1.9000000000000057</v>
      </c>
      <c r="AB13" s="10">
        <f>water_ON!AB13 - water_OFF!AB13 - AVERAGE(AB$62:AB$63)</f>
        <v>7.4499999999999886</v>
      </c>
      <c r="AC13" s="10">
        <f>water_ON!AC13 - water_OFF!AC13 - AVERAGE(AC$62:AC$63)</f>
        <v>3.1499999999999773</v>
      </c>
      <c r="AD13" s="10">
        <f>water_ON!AD13 - water_OFF!AD13 - AVERAGE(AD$62:AD$63)</f>
        <v>2</v>
      </c>
      <c r="AE13" s="10">
        <f>water_ON!AE13 - water_OFF!AE13 - AVERAGE(AE$62:AE$63)</f>
        <v>1.6999999999999886</v>
      </c>
      <c r="AF13" s="10">
        <f>water_ON!AF13 - water_OFF!AF13 - AVERAGE(AF$62:AF$63)</f>
        <v>2.3999999999999773</v>
      </c>
      <c r="AG13" s="10">
        <f>water_ON!AG13 - water_OFF!AG13 - AVERAGE(AG$62:AG$63)</f>
        <v>4.75</v>
      </c>
      <c r="AH13" s="10">
        <f>water_ON!AH13 - water_OFF!AH13 - AVERAGE(AH$62:AH$63)</f>
        <v>3.9000000000000057</v>
      </c>
      <c r="AI13" s="10">
        <f>water_ON!AI13 - water_OFF!AI13 - AVERAGE(AI$62:AI$63)</f>
        <v>7.5</v>
      </c>
      <c r="AJ13" s="10">
        <f>water_ON!AJ13 - water_OFF!AJ13 - AVERAGE(AJ$62:AJ$63)</f>
        <v>6.9000000000000057</v>
      </c>
      <c r="AK13" s="10">
        <f>water_ON!AK13 - water_OFF!AK13 - AVERAGE(AK$62:AK$63)</f>
        <v>3.9500000000000171</v>
      </c>
      <c r="AL13" s="11"/>
      <c r="AN13" s="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</row>
    <row r="14" spans="1:65">
      <c r="A14" s="30">
        <v>13</v>
      </c>
      <c r="B14" s="10">
        <f>water_ON!B14 - water_OFF!B14 - AVERAGE(B$62:B$63)</f>
        <v>-0.25000000000002842</v>
      </c>
      <c r="C14" s="10">
        <f>water_ON!C14 - water_OFF!C14 - AVERAGE(C$62:C$63)</f>
        <v>7.2999999999999829</v>
      </c>
      <c r="D14" s="10">
        <f>water_ON!D14 - water_OFF!D14 - AVERAGE(D$62:D$63)</f>
        <v>5.7000000000000171</v>
      </c>
      <c r="E14" s="10">
        <f>water_ON!E14 - water_OFF!E14 - AVERAGE(E$62:E$63)</f>
        <v>4.9000000000000057</v>
      </c>
      <c r="F14" s="10">
        <f>water_ON!F14 - water_OFF!F14 - AVERAGE(F$62:F$63)</f>
        <v>9.6499999999999488</v>
      </c>
      <c r="G14" s="10">
        <f>water_ON!G14 - water_OFF!G14 - AVERAGE(G$62:G$63)</f>
        <v>7.6000000000000512</v>
      </c>
      <c r="H14" s="10">
        <f>water_ON!H14 - water_OFF!H14 - AVERAGE(H$62:H$63)</f>
        <v>6.8000000000000398</v>
      </c>
      <c r="I14" s="10">
        <f>water_ON!I14 - water_OFF!I14 - AVERAGE(I$62:I$63)</f>
        <v>8.3000000000000114</v>
      </c>
      <c r="J14" s="10">
        <f>water_ON!J14 - water_OFF!J14 - AVERAGE(J$62:J$63)</f>
        <v>6.8499999999999659</v>
      </c>
      <c r="K14" s="10">
        <f>water_ON!K14 - water_OFF!K14 - AVERAGE(K$62:K$63)</f>
        <v>6.0500000000000114</v>
      </c>
      <c r="L14" s="10">
        <f>water_ON!L14 - water_OFF!L14 - AVERAGE(L$62:L$63)</f>
        <v>5.3999999999999773</v>
      </c>
      <c r="M14" s="10">
        <f>water_ON!M14 - water_OFF!M14 - AVERAGE(M$62:M$63)</f>
        <v>14.450000000000045</v>
      </c>
      <c r="N14" s="10">
        <f>water_ON!N14 - water_OFF!N14 - AVERAGE(N$62:N$63)</f>
        <v>13.44999999999996</v>
      </c>
      <c r="O14" s="10">
        <f>water_ON!O14 - water_OFF!O14 - AVERAGE(O$62:O$63)</f>
        <v>8.3500000000000227</v>
      </c>
      <c r="P14" s="10">
        <f>water_ON!P14 - water_OFF!P14 - AVERAGE(P$62:P$63)</f>
        <v>9.9500000000000455</v>
      </c>
      <c r="Q14" s="10">
        <f>water_ON!Q14 - water_OFF!Q14 - AVERAGE(Q$62:Q$63)</f>
        <v>10.199999999999989</v>
      </c>
      <c r="R14" s="10">
        <f>water_ON!R14 - water_OFF!R14 - AVERAGE(R$62:R$63)</f>
        <v>10.350000000000023</v>
      </c>
      <c r="S14" s="10">
        <f>water_ON!S14 - water_OFF!S14 - AVERAGE(S$62:S$63)</f>
        <v>8.2000000000000171</v>
      </c>
      <c r="T14" s="10">
        <f>water_ON!T14 - water_OFF!T14 - AVERAGE(T$62:T$63)</f>
        <v>12.900000000000006</v>
      </c>
      <c r="U14" s="10">
        <f>water_ON!U14 - water_OFF!U14 - AVERAGE(U$62:U$63)</f>
        <v>6.6999999999999886</v>
      </c>
      <c r="V14" s="10">
        <f>water_ON!V14 - water_OFF!V14 - AVERAGE(V$62:V$63)</f>
        <v>10.150000000000006</v>
      </c>
      <c r="W14" s="10">
        <f>water_ON!W14 - water_OFF!W14 - AVERAGE(W$62:W$63)</f>
        <v>4.9499999999999886</v>
      </c>
      <c r="X14" s="10">
        <f>water_ON!X14 - water_OFF!X14 - AVERAGE(X$62:X$63)</f>
        <v>7.2500000000000284</v>
      </c>
      <c r="Y14" s="10">
        <f>water_ON!Y14 - water_OFF!Y14 - AVERAGE(Y$62:Y$63)</f>
        <v>4.5499999999999829</v>
      </c>
      <c r="Z14" s="10">
        <f>water_ON!Z14 - water_OFF!Z14 - AVERAGE(Z$62:Z$63)</f>
        <v>7.1000000000000227</v>
      </c>
      <c r="AA14" s="10">
        <f>water_ON!AA14 - water_OFF!AA14 - AVERAGE(AA$62:AA$63)</f>
        <v>4.0000000000000284</v>
      </c>
      <c r="AB14" s="10">
        <f>water_ON!AB14 - water_OFF!AB14 - AVERAGE(AB$62:AB$63)</f>
        <v>10.75</v>
      </c>
      <c r="AC14" s="10">
        <f>water_ON!AC14 - water_OFF!AC14 - AVERAGE(AC$62:AC$63)</f>
        <v>9.8499999999999659</v>
      </c>
      <c r="AD14" s="10">
        <f>water_ON!AD14 - water_OFF!AD14 - AVERAGE(AD$62:AD$63)</f>
        <v>10</v>
      </c>
      <c r="AE14" s="10">
        <f>water_ON!AE14 - water_OFF!AE14 - AVERAGE(AE$62:AE$63)</f>
        <v>6</v>
      </c>
      <c r="AF14" s="10">
        <f>water_ON!AF14 - water_OFF!AF14 - AVERAGE(AF$62:AF$63)</f>
        <v>11</v>
      </c>
      <c r="AG14" s="10">
        <f>water_ON!AG14 - water_OFF!AG14 - AVERAGE(AG$62:AG$63)</f>
        <v>4.8500000000000227</v>
      </c>
      <c r="AH14" s="10">
        <f>water_ON!AH14 - water_OFF!AH14 - AVERAGE(AH$62:AH$63)</f>
        <v>3.7000000000000171</v>
      </c>
      <c r="AI14" s="10">
        <f>water_ON!AI14 - water_OFF!AI14 - AVERAGE(AI$62:AI$63)</f>
        <v>2</v>
      </c>
      <c r="AJ14" s="10">
        <f>water_ON!AJ14 - water_OFF!AJ14 - AVERAGE(AJ$62:AJ$63)</f>
        <v>6.7999999999999829</v>
      </c>
      <c r="AK14" s="10">
        <f>water_ON!AK14 - water_OFF!AK14 - AVERAGE(AK$62:AK$63)</f>
        <v>6.0499999999999829</v>
      </c>
      <c r="AL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</row>
    <row r="15" spans="1:65">
      <c r="A15" s="30">
        <v>14</v>
      </c>
      <c r="B15" s="10">
        <f>water_ON!B15 - water_OFF!B15 - AVERAGE(B$62:B$63)</f>
        <v>13.849999999999994</v>
      </c>
      <c r="C15" s="10">
        <f>water_ON!C15 - water_OFF!C15 - AVERAGE(C$62:C$63)</f>
        <v>-0.29999999999998295</v>
      </c>
      <c r="D15" s="10">
        <f>water_ON!D15 - water_OFF!D15 - AVERAGE(D$62:D$63)</f>
        <v>11.799999999999983</v>
      </c>
      <c r="E15" s="10">
        <f>water_ON!E15 - water_OFF!E15 - AVERAGE(E$62:E$63)</f>
        <v>10.099999999999994</v>
      </c>
      <c r="F15" s="10">
        <f>water_ON!F15 - water_OFF!F15 - AVERAGE(F$62:F$63)</f>
        <v>7.7499999999999716</v>
      </c>
      <c r="G15" s="10">
        <f>water_ON!G15 - water_OFF!G15 - AVERAGE(G$62:G$63)</f>
        <v>6.9000000000000057</v>
      </c>
      <c r="H15" s="10">
        <f>water_ON!H15 - water_OFF!H15 - AVERAGE(H$62:H$63)</f>
        <v>10.400000000000006</v>
      </c>
      <c r="I15" s="10">
        <f>water_ON!I15 - water_OFF!I15 - AVERAGE(I$62:I$63)</f>
        <v>9.4999999999999432</v>
      </c>
      <c r="J15" s="10">
        <f>water_ON!J15 - water_OFF!J15 - AVERAGE(J$62:J$63)</f>
        <v>8.5499999999999545</v>
      </c>
      <c r="K15" s="10">
        <f>water_ON!K15 - water_OFF!K15 - AVERAGE(K$62:K$63)</f>
        <v>6.5500000000000114</v>
      </c>
      <c r="L15" s="10">
        <f>water_ON!L15 - water_OFF!L15 - AVERAGE(L$62:L$63)</f>
        <v>9.3000000000000114</v>
      </c>
      <c r="M15" s="10">
        <f>water_ON!M15 - water_OFF!M15 - AVERAGE(M$62:M$63)</f>
        <v>8.6499999999999773</v>
      </c>
      <c r="N15" s="10">
        <f>water_ON!N15 - water_OFF!N15 - AVERAGE(N$62:N$63)</f>
        <v>10.650000000000006</v>
      </c>
      <c r="O15" s="10">
        <f>water_ON!O15 - water_OFF!O15 - AVERAGE(O$62:O$63)</f>
        <v>7.6499999999999773</v>
      </c>
      <c r="P15" s="10">
        <f>water_ON!P15 - water_OFF!P15 - AVERAGE(P$62:P$63)</f>
        <v>10.75</v>
      </c>
      <c r="Q15" s="10">
        <f>water_ON!Q15 - water_OFF!Q15 - AVERAGE(Q$62:Q$63)</f>
        <v>14.600000000000023</v>
      </c>
      <c r="R15" s="10">
        <f>water_ON!R15 - water_OFF!R15 - AVERAGE(R$62:R$63)</f>
        <v>7.8499999999999659</v>
      </c>
      <c r="S15" s="10">
        <f>water_ON!S15 - water_OFF!S15 - AVERAGE(S$62:S$63)</f>
        <v>10.700000000000074</v>
      </c>
      <c r="T15" s="10">
        <f>water_ON!T15 - water_OFF!T15 - AVERAGE(T$62:T$63)</f>
        <v>6.3999999999999488</v>
      </c>
      <c r="U15" s="10">
        <f>water_ON!U15 - water_OFF!U15 - AVERAGE(U$62:U$63)</f>
        <v>9.3999999999999773</v>
      </c>
      <c r="V15" s="10">
        <f>water_ON!V15 - water_OFF!V15 - AVERAGE(V$62:V$63)</f>
        <v>6.2500000000000284</v>
      </c>
      <c r="W15" s="10">
        <f>water_ON!W15 - water_OFF!W15 - AVERAGE(W$62:W$63)</f>
        <v>23.350000000000023</v>
      </c>
      <c r="X15" s="10">
        <f>water_ON!X15 - water_OFF!X15 - AVERAGE(X$62:X$63)</f>
        <v>12.150000000000006</v>
      </c>
      <c r="Y15" s="10">
        <f>water_ON!Y15 - water_OFF!Y15 - AVERAGE(Y$62:Y$63)</f>
        <v>9.5500000000000398</v>
      </c>
      <c r="Z15" s="10">
        <f>water_ON!Z15 - water_OFF!Z15 - AVERAGE(Z$62:Z$63)</f>
        <v>7</v>
      </c>
      <c r="AA15" s="10">
        <f>water_ON!AA15 - water_OFF!AA15 - AVERAGE(AA$62:AA$63)</f>
        <v>10.000000000000085</v>
      </c>
      <c r="AB15" s="10">
        <f>water_ON!AB15 - water_OFF!AB15 - AVERAGE(AB$62:AB$63)</f>
        <v>9.9499999999999318</v>
      </c>
      <c r="AC15" s="10">
        <f>water_ON!AC15 - water_OFF!AC15 - AVERAGE(AC$62:AC$63)</f>
        <v>5.5499999999999545</v>
      </c>
      <c r="AD15" s="10">
        <f>water_ON!AD15 - water_OFF!AD15 - AVERAGE(AD$62:AD$63)</f>
        <v>12</v>
      </c>
      <c r="AE15" s="10">
        <f>water_ON!AE15 - water_OFF!AE15 - AVERAGE(AE$62:AE$63)</f>
        <v>7.1999999999999886</v>
      </c>
      <c r="AF15" s="10">
        <f>water_ON!AF15 - water_OFF!AF15 - AVERAGE(AF$62:AF$63)</f>
        <v>9.6999999999999886</v>
      </c>
      <c r="AG15" s="10">
        <f>water_ON!AG15 - water_OFF!AG15 - AVERAGE(AG$62:AG$63)</f>
        <v>6.4500000000000455</v>
      </c>
      <c r="AH15" s="10">
        <f>water_ON!AH15 - water_OFF!AH15 - AVERAGE(AH$62:AH$63)</f>
        <v>6.2000000000000171</v>
      </c>
      <c r="AI15" s="10">
        <f>water_ON!AI15 - water_OFF!AI15 - AVERAGE(AI$62:AI$63)</f>
        <v>3.9000000000000341</v>
      </c>
      <c r="AJ15" s="10">
        <f>water_ON!AJ15 - water_OFF!AJ15 - AVERAGE(AJ$62:AJ$63)</f>
        <v>8.9000000000000057</v>
      </c>
      <c r="AK15" s="10">
        <f>water_ON!AK15 - water_OFF!AK15 - AVERAGE(AK$62:AK$63)</f>
        <v>5.0499999999999829</v>
      </c>
      <c r="AL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</row>
    <row r="16" spans="1:65">
      <c r="A16" s="30">
        <v>15</v>
      </c>
      <c r="B16" s="10">
        <f>water_ON!B16 - water_OFF!B16 - AVERAGE(B$62:B$63)</f>
        <v>32.650000000000006</v>
      </c>
      <c r="C16" s="10">
        <f>water_ON!C16 - water_OFF!C16 - AVERAGE(C$62:C$63)</f>
        <v>-0.40000000000000568</v>
      </c>
      <c r="D16" s="10">
        <f>water_ON!D16 - water_OFF!D16 - AVERAGE(D$62:D$63)</f>
        <v>30.799999999999983</v>
      </c>
      <c r="E16" s="10">
        <f>water_ON!E16 - water_OFF!E16 - AVERAGE(E$62:E$63)</f>
        <v>29.499999999999972</v>
      </c>
      <c r="F16" s="10">
        <f>water_ON!F16 - water_OFF!F16 - AVERAGE(F$62:F$63)</f>
        <v>34.549999999999983</v>
      </c>
      <c r="G16" s="10">
        <f>water_ON!G16 - water_OFF!G16 - AVERAGE(G$62:G$63)</f>
        <v>36.099999999999994</v>
      </c>
      <c r="H16" s="10">
        <f>water_ON!H16 - water_OFF!H16 - AVERAGE(H$62:H$63)</f>
        <v>32.400000000000006</v>
      </c>
      <c r="I16" s="10">
        <f>water_ON!I16 - water_OFF!I16 - AVERAGE(I$62:I$63)</f>
        <v>33.699999999999989</v>
      </c>
      <c r="J16" s="10">
        <f>water_ON!J16 - water_OFF!J16 - AVERAGE(J$62:J$63)</f>
        <v>37.349999999999966</v>
      </c>
      <c r="K16" s="10">
        <f>water_ON!K16 - water_OFF!K16 - AVERAGE(K$62:K$63)</f>
        <v>29.050000000000011</v>
      </c>
      <c r="L16" s="10">
        <f>water_ON!L16 - water_OFF!L16 - AVERAGE(L$62:L$63)</f>
        <v>35.199999999999989</v>
      </c>
      <c r="M16" s="10">
        <f>water_ON!M16 - water_OFF!M16 - AVERAGE(M$62:M$63)</f>
        <v>35.350000000000023</v>
      </c>
      <c r="N16" s="10">
        <f>water_ON!N16 - water_OFF!N16 - AVERAGE(N$62:N$63)</f>
        <v>33.549999999999983</v>
      </c>
      <c r="O16" s="10">
        <f>water_ON!O16 - water_OFF!O16 - AVERAGE(O$62:O$63)</f>
        <v>29.75</v>
      </c>
      <c r="P16" s="10">
        <f>water_ON!P16 - water_OFF!P16 - AVERAGE(P$62:P$63)</f>
        <v>36.649999999999977</v>
      </c>
      <c r="Q16" s="10">
        <f>water_ON!Q16 - water_OFF!Q16 - AVERAGE(Q$62:Q$63)</f>
        <v>32.699999999999989</v>
      </c>
      <c r="R16" s="10">
        <f>water_ON!R16 - water_OFF!R16 - AVERAGE(R$62:R$63)</f>
        <v>29.249999999999943</v>
      </c>
      <c r="S16" s="10">
        <f>water_ON!S16 - water_OFF!S16 - AVERAGE(S$62:S$63)</f>
        <v>28.200000000000074</v>
      </c>
      <c r="T16" s="10">
        <f>water_ON!T16 - water_OFF!T16 - AVERAGE(T$62:T$63)</f>
        <v>29.599999999999994</v>
      </c>
      <c r="U16" s="10">
        <f>water_ON!U16 - water_OFF!U16 - AVERAGE(U$62:U$63)</f>
        <v>32.899999999999977</v>
      </c>
      <c r="V16" s="10">
        <f>water_ON!V16 - water_OFF!V16 - AVERAGE(V$62:V$63)</f>
        <v>34.049999999999983</v>
      </c>
      <c r="W16" s="10">
        <f>water_ON!W16 - water_OFF!W16 - AVERAGE(W$62:W$63)</f>
        <v>31.949999999999989</v>
      </c>
      <c r="X16" s="10">
        <f>water_ON!X16 - water_OFF!X16 - AVERAGE(X$62:X$63)</f>
        <v>34.250000000000028</v>
      </c>
      <c r="Y16" s="10">
        <f>water_ON!Y16 - water_OFF!Y16 - AVERAGE(Y$62:Y$63)</f>
        <v>32.549999999999983</v>
      </c>
      <c r="Z16" s="10">
        <f>water_ON!Z16 - water_OFF!Z16 - AVERAGE(Z$62:Z$63)</f>
        <v>30.399999999999977</v>
      </c>
      <c r="AA16" s="10">
        <f>water_ON!AA16 - water_OFF!AA16 - AVERAGE(AA$62:AA$63)</f>
        <v>28.100000000000051</v>
      </c>
      <c r="AB16" s="10">
        <f>water_ON!AB16 - water_OFF!AB16 - AVERAGE(AB$62:AB$63)</f>
        <v>34.349999999999966</v>
      </c>
      <c r="AC16" s="10">
        <f>water_ON!AC16 - water_OFF!AC16 - AVERAGE(AC$62:AC$63)</f>
        <v>30.349999999999966</v>
      </c>
      <c r="AD16" s="10">
        <f>water_ON!AD16 - water_OFF!AD16 - AVERAGE(AD$62:AD$63)</f>
        <v>33.900000000000034</v>
      </c>
      <c r="AE16" s="10">
        <f>water_ON!AE16 - water_OFF!AE16 - AVERAGE(AE$62:AE$63)</f>
        <v>29.799999999999955</v>
      </c>
      <c r="AF16" s="10">
        <f>water_ON!AF16 - water_OFF!AF16 - AVERAGE(AF$62:AF$63)</f>
        <v>34.699999999999989</v>
      </c>
      <c r="AG16" s="10">
        <f>water_ON!AG16 - water_OFF!AG16 - AVERAGE(AG$62:AG$63)</f>
        <v>24.849999999999966</v>
      </c>
      <c r="AH16" s="10">
        <f>water_ON!AH16 - water_OFF!AH16 - AVERAGE(AH$62:AH$63)</f>
        <v>35.799999999999983</v>
      </c>
      <c r="AI16" s="10">
        <f>water_ON!AI16 - water_OFF!AI16 - AVERAGE(AI$62:AI$63)</f>
        <v>26</v>
      </c>
      <c r="AJ16" s="10">
        <f>water_ON!AJ16 - water_OFF!AJ16 - AVERAGE(AJ$62:AJ$63)</f>
        <v>25.299999999999983</v>
      </c>
      <c r="AK16" s="10">
        <f>water_ON!AK16 - water_OFF!AK16 - AVERAGE(AK$62:AK$63)</f>
        <v>26.849999999999994</v>
      </c>
      <c r="AL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</row>
    <row r="17" spans="1:65">
      <c r="A17" s="30">
        <v>16</v>
      </c>
      <c r="B17" s="10">
        <f>water_ON!B17 - water_OFF!B17 - AVERAGE(B$62:B$63)</f>
        <v>32.549999999999983</v>
      </c>
      <c r="C17" s="10">
        <f>water_ON!C17 - water_OFF!C17 - AVERAGE(C$62:C$63)</f>
        <v>-0.20000000000001705</v>
      </c>
      <c r="D17" s="10">
        <f>water_ON!D17 - water_OFF!D17 - AVERAGE(D$62:D$63)</f>
        <v>23.000000000000028</v>
      </c>
      <c r="E17" s="10">
        <f>water_ON!E17 - water_OFF!E17 - AVERAGE(E$62:E$63)</f>
        <v>20.599999999999994</v>
      </c>
      <c r="F17" s="10">
        <f>water_ON!F17 - water_OFF!F17 - AVERAGE(F$62:F$63)</f>
        <v>21.250000000000028</v>
      </c>
      <c r="G17" s="10">
        <f>water_ON!G17 - water_OFF!G17 - AVERAGE(G$62:G$63)</f>
        <v>28.799999999999983</v>
      </c>
      <c r="H17" s="10">
        <f>water_ON!H17 - water_OFF!H17 - AVERAGE(H$62:H$63)</f>
        <v>21.499999999999972</v>
      </c>
      <c r="I17" s="10">
        <f>water_ON!I17 - water_OFF!I17 - AVERAGE(I$62:I$63)</f>
        <v>-0.30000000000001137</v>
      </c>
      <c r="J17" s="10">
        <f>water_ON!J17 - water_OFF!J17 - AVERAGE(J$62:J$63)</f>
        <v>33.349999999999966</v>
      </c>
      <c r="K17" s="10">
        <f>water_ON!K17 - water_OFF!K17 - AVERAGE(K$62:K$63)</f>
        <v>29.349999999999966</v>
      </c>
      <c r="L17" s="10">
        <f>water_ON!L17 - water_OFF!L17 - AVERAGE(L$62:L$63)</f>
        <v>33.899999999999977</v>
      </c>
      <c r="M17" s="10">
        <f>water_ON!M17 - water_OFF!M17 - AVERAGE(M$62:M$63)</f>
        <v>36.949999999999989</v>
      </c>
      <c r="N17" s="10">
        <f>water_ON!N17 - water_OFF!N17 - AVERAGE(N$62:N$63)</f>
        <v>23.950000000000017</v>
      </c>
      <c r="O17" s="10">
        <f>water_ON!O17 - water_OFF!O17 - AVERAGE(O$62:O$63)</f>
        <v>23.850000000000023</v>
      </c>
      <c r="P17" s="10">
        <f>water_ON!P17 - water_OFF!P17 - AVERAGE(P$62:P$63)</f>
        <v>25.949999999999989</v>
      </c>
      <c r="Q17" s="10">
        <f>water_ON!Q17 - water_OFF!Q17 - AVERAGE(Q$62:Q$63)</f>
        <v>29</v>
      </c>
      <c r="R17" s="10">
        <f>water_ON!R17 - water_OFF!R17 - AVERAGE(R$62:R$63)</f>
        <v>34.850000000000023</v>
      </c>
      <c r="S17" s="10">
        <f>water_ON!S17 - water_OFF!S17 - AVERAGE(S$62:S$63)</f>
        <v>33.80000000000004</v>
      </c>
      <c r="T17" s="10">
        <f>water_ON!T17 - water_OFF!T17 - AVERAGE(T$62:T$63)</f>
        <v>25.099999999999994</v>
      </c>
      <c r="U17" s="10">
        <f>water_ON!U17 - water_OFF!U17 - AVERAGE(U$62:U$63)</f>
        <v>26.100000000000023</v>
      </c>
      <c r="V17" s="10">
        <f>water_ON!V17 - water_OFF!V17 - AVERAGE(V$62:V$63)</f>
        <v>25.049999999999983</v>
      </c>
      <c r="W17" s="10">
        <f>water_ON!W17 - water_OFF!W17 - AVERAGE(W$62:W$63)</f>
        <v>32.550000000000011</v>
      </c>
      <c r="X17" s="10">
        <f>water_ON!X17 - water_OFF!X17 - AVERAGE(X$62:X$63)</f>
        <v>21.150000000000063</v>
      </c>
      <c r="Y17" s="10">
        <f>water_ON!Y17 - water_OFF!Y17 - AVERAGE(Y$62:Y$63)</f>
        <v>32.450000000000017</v>
      </c>
      <c r="Z17" s="10">
        <f>water_ON!Z17 - water_OFF!Z17 - AVERAGE(Z$62:Z$63)</f>
        <v>27.699999999999989</v>
      </c>
      <c r="AA17" s="10">
        <f>water_ON!AA17 - water_OFF!AA17 - AVERAGE(AA$62:AA$63)</f>
        <v>32.400000000000006</v>
      </c>
      <c r="AB17" s="10">
        <f>water_ON!AB17 - water_OFF!AB17 - AVERAGE(AB$62:AB$63)</f>
        <v>24.550000000000011</v>
      </c>
      <c r="AC17" s="10">
        <f>water_ON!AC17 - water_OFF!AC17 - AVERAGE(AC$62:AC$63)</f>
        <v>26.449999999999932</v>
      </c>
      <c r="AD17" s="10">
        <f>water_ON!AD17 - water_OFF!AD17 - AVERAGE(AD$62:AD$63)</f>
        <v>20.299999999999955</v>
      </c>
      <c r="AE17" s="10">
        <f>water_ON!AE17 - water_OFF!AE17 - AVERAGE(AE$62:AE$63)</f>
        <v>43.299999999999955</v>
      </c>
      <c r="AF17" s="10">
        <f>water_ON!AF17 - water_OFF!AF17 - AVERAGE(AF$62:AF$63)</f>
        <v>24.400000000000034</v>
      </c>
      <c r="AG17" s="10">
        <f>water_ON!AG17 - water_OFF!AG17 - AVERAGE(AG$62:AG$63)</f>
        <v>37.050000000000011</v>
      </c>
      <c r="AH17" s="10">
        <f>water_ON!AH17 - water_OFF!AH17 - AVERAGE(AH$62:AH$63)</f>
        <v>23.599999999999994</v>
      </c>
      <c r="AI17" s="10">
        <f>water_ON!AI17 - water_OFF!AI17 - AVERAGE(AI$62:AI$63)</f>
        <v>25.299999999999955</v>
      </c>
      <c r="AJ17" s="10">
        <f>water_ON!AJ17 - water_OFF!AJ17 - AVERAGE(AJ$62:AJ$63)</f>
        <v>24.299999999999983</v>
      </c>
      <c r="AK17" s="10">
        <f>water_ON!AK17 - water_OFF!AK17 - AVERAGE(AK$62:AK$63)</f>
        <v>21.749999999999972</v>
      </c>
      <c r="AL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</row>
    <row r="18" spans="1:65">
      <c r="A18" s="30">
        <v>17</v>
      </c>
      <c r="B18" s="10">
        <f>water_ON!B18 - water_OFF!B18 - AVERAGE(B$62:B$63)</f>
        <v>5.4499999999999602</v>
      </c>
      <c r="C18" s="10">
        <f>water_ON!C18 - water_OFF!C18 - AVERAGE(C$62:C$63)</f>
        <v>7.9000000000000057</v>
      </c>
      <c r="D18" s="10">
        <f>water_ON!D18 - water_OFF!D18 - AVERAGE(D$62:D$63)</f>
        <v>3.9999999999999716</v>
      </c>
      <c r="E18" s="10">
        <f>water_ON!E18 - water_OFF!E18 - AVERAGE(E$62:E$63)</f>
        <v>9.3999999999999488</v>
      </c>
      <c r="F18" s="10">
        <f>water_ON!F18 - water_OFF!F18 - AVERAGE(F$62:F$63)</f>
        <v>5.0500000000000398</v>
      </c>
      <c r="G18" s="10">
        <f>water_ON!G18 - water_OFF!G18 - AVERAGE(G$62:G$63)</f>
        <v>9.5000000000000284</v>
      </c>
      <c r="H18" s="10">
        <f>water_ON!H18 - water_OFF!H18 - AVERAGE(H$62:H$63)</f>
        <v>6.7999999999999829</v>
      </c>
      <c r="I18" s="10">
        <f>water_ON!I18 - water_OFF!I18 - AVERAGE(I$62:I$63)</f>
        <v>10.099999999999966</v>
      </c>
      <c r="J18" s="10">
        <f>water_ON!J18 - water_OFF!J18 - AVERAGE(J$62:J$63)</f>
        <v>10.149999999999977</v>
      </c>
      <c r="K18" s="10">
        <f>water_ON!K18 - water_OFF!K18 - AVERAGE(K$62:K$63)</f>
        <v>4.3500000000000227</v>
      </c>
      <c r="L18" s="10">
        <f>water_ON!L18 - water_OFF!L18 - AVERAGE(L$62:L$63)</f>
        <v>8</v>
      </c>
      <c r="M18" s="10">
        <f>water_ON!M18 - water_OFF!M18 - AVERAGE(M$62:M$63)</f>
        <v>3.0500000000000114</v>
      </c>
      <c r="N18" s="10">
        <f>water_ON!N18 - water_OFF!N18 - AVERAGE(N$62:N$63)</f>
        <v>4.0499999999999829</v>
      </c>
      <c r="O18" s="10">
        <f>water_ON!O18 - water_OFF!O18 - AVERAGE(O$62:O$63)</f>
        <v>3.3499999999999659</v>
      </c>
      <c r="P18" s="10">
        <f>water_ON!P18 - water_OFF!P18 - AVERAGE(P$62:P$63)</f>
        <v>6.9499999999999886</v>
      </c>
      <c r="Q18" s="10">
        <f>water_ON!Q18 - water_OFF!Q18 - AVERAGE(Q$62:Q$63)</f>
        <v>2.9000000000000341</v>
      </c>
      <c r="R18" s="10">
        <f>water_ON!R18 - water_OFF!R18 - AVERAGE(R$62:R$63)</f>
        <v>6.4499999999999886</v>
      </c>
      <c r="S18" s="10">
        <f>water_ON!S18 - water_OFF!S18 - AVERAGE(S$62:S$63)</f>
        <v>2.4000000000001194</v>
      </c>
      <c r="T18" s="10">
        <f>water_ON!T18 - water_OFF!T18 - AVERAGE(T$62:T$63)</f>
        <v>4.2999999999999829</v>
      </c>
      <c r="U18" s="10">
        <f>water_ON!U18 - water_OFF!U18 - AVERAGE(U$62:U$63)</f>
        <v>1.8000000000000114</v>
      </c>
      <c r="V18" s="10">
        <f>water_ON!V18 - water_OFF!V18 - AVERAGE(V$62:V$63)</f>
        <v>5.4499999999999602</v>
      </c>
      <c r="W18" s="10">
        <f>water_ON!W18 - water_OFF!W18 - AVERAGE(W$62:W$63)</f>
        <v>5.1499999999999773</v>
      </c>
      <c r="X18" s="10">
        <f>water_ON!X18 - water_OFF!X18 - AVERAGE(X$62:X$63)</f>
        <v>4.5499999999999829</v>
      </c>
      <c r="Y18" s="10">
        <f>water_ON!Y18 - water_OFF!Y18 - AVERAGE(Y$62:Y$63)</f>
        <v>0.95000000000001705</v>
      </c>
      <c r="Z18" s="10">
        <f>water_ON!Z18 - water_OFF!Z18 - AVERAGE(Z$62:Z$63)</f>
        <v>3</v>
      </c>
      <c r="AA18" s="10">
        <f>water_ON!AA18 - water_OFF!AA18 - AVERAGE(AA$62:AA$63)</f>
        <v>0.20000000000001705</v>
      </c>
      <c r="AB18" s="10">
        <f>water_ON!AB18 - water_OFF!AB18 - AVERAGE(AB$62:AB$63)</f>
        <v>1.5499999999999545</v>
      </c>
      <c r="AC18" s="10">
        <f>water_ON!AC18 - water_OFF!AC18 - AVERAGE(AC$62:AC$63)</f>
        <v>3.6499999999999773</v>
      </c>
      <c r="AD18" s="10">
        <f>water_ON!AD18 - water_OFF!AD18 - AVERAGE(AD$62:AD$63)</f>
        <v>0.40000000000003411</v>
      </c>
      <c r="AE18" s="10">
        <f>water_ON!AE18 - water_OFF!AE18 - AVERAGE(AE$62:AE$63)</f>
        <v>2.3000000000000114</v>
      </c>
      <c r="AF18" s="10">
        <f>water_ON!AF18 - water_OFF!AF18 - AVERAGE(AF$62:AF$63)</f>
        <v>3.1000000000000227</v>
      </c>
      <c r="AG18" s="10">
        <f>water_ON!AG18 - water_OFF!AG18 - AVERAGE(AG$62:AG$63)</f>
        <v>0.25</v>
      </c>
      <c r="AH18" s="10">
        <f>water_ON!AH18 - water_OFF!AH18 - AVERAGE(AH$62:AH$63)</f>
        <v>-0.50000000000002842</v>
      </c>
      <c r="AI18" s="10">
        <f>water_ON!AI18 - water_OFF!AI18 - AVERAGE(AI$62:AI$63)</f>
        <v>2.5999999999999659</v>
      </c>
      <c r="AJ18" s="10">
        <f>water_ON!AJ18 - water_OFF!AJ18 - AVERAGE(AJ$62:AJ$63)</f>
        <v>0.90000000000000568</v>
      </c>
      <c r="AK18" s="10">
        <f>water_ON!AK18 - water_OFF!AK18 - AVERAGE(AK$62:AK$63)</f>
        <v>1.8499999999999943</v>
      </c>
      <c r="AL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</row>
    <row r="19" spans="1:65">
      <c r="A19" s="30">
        <v>18</v>
      </c>
      <c r="B19" s="10">
        <f>water_ON!B19 - water_OFF!B19 - AVERAGE(B$62:B$63)</f>
        <v>15.150000000000006</v>
      </c>
      <c r="C19" s="10">
        <f>water_ON!C19 - water_OFF!C19 - AVERAGE(C$62:C$63)</f>
        <v>17.900000000000006</v>
      </c>
      <c r="D19" s="10">
        <f>water_ON!D19 - water_OFF!D19 - AVERAGE(D$62:D$63)</f>
        <v>17.900000000000006</v>
      </c>
      <c r="E19" s="10">
        <f>water_ON!E19 - water_OFF!E19 - AVERAGE(E$62:E$63)</f>
        <v>16.299999999999983</v>
      </c>
      <c r="F19" s="10">
        <f>water_ON!F19 - water_OFF!F19 - AVERAGE(F$62:F$63)</f>
        <v>19.249999999999972</v>
      </c>
      <c r="G19" s="10">
        <f>water_ON!G19 - water_OFF!G19 - AVERAGE(G$62:G$63)</f>
        <v>18.900000000000006</v>
      </c>
      <c r="H19" s="10">
        <f>water_ON!H19 - water_OFF!H19 - AVERAGE(H$62:H$63)</f>
        <v>-0.30000000000003979</v>
      </c>
      <c r="I19" s="10">
        <f>water_ON!I19 - water_OFF!I19 - AVERAGE(I$62:I$63)</f>
        <v>8.3000000000000114</v>
      </c>
      <c r="J19" s="10">
        <f>water_ON!J19 - water_OFF!J19 - AVERAGE(J$62:J$63)</f>
        <v>9.4499999999999886</v>
      </c>
      <c r="K19" s="10">
        <f>water_ON!K19 - water_OFF!K19 - AVERAGE(K$62:K$63)</f>
        <v>13.25</v>
      </c>
      <c r="L19" s="10">
        <f>water_ON!L19 - water_OFF!L19 - AVERAGE(L$62:L$63)</f>
        <v>11.5</v>
      </c>
      <c r="M19" s="10">
        <f>water_ON!M19 - water_OFF!M19 - AVERAGE(M$62:M$63)</f>
        <v>15.550000000000011</v>
      </c>
      <c r="N19" s="10">
        <f>water_ON!N19 - water_OFF!N19 - AVERAGE(N$62:N$63)</f>
        <v>9.4500000000000171</v>
      </c>
      <c r="O19" s="10">
        <f>water_ON!O19 - water_OFF!O19 - AVERAGE(O$62:O$63)</f>
        <v>10.949999999999989</v>
      </c>
      <c r="P19" s="10">
        <f>water_ON!P19 - water_OFF!P19 - AVERAGE(P$62:P$63)</f>
        <v>9.0499999999999545</v>
      </c>
      <c r="Q19" s="10">
        <f>water_ON!Q19 - water_OFF!Q19 - AVERAGE(Q$62:Q$63)</f>
        <v>13.199999999999989</v>
      </c>
      <c r="R19" s="10">
        <f>water_ON!R19 - water_OFF!R19 - AVERAGE(R$62:R$63)</f>
        <v>12.349999999999966</v>
      </c>
      <c r="S19" s="10">
        <f>water_ON!S19 - water_OFF!S19 - AVERAGE(S$62:S$63)</f>
        <v>13.500000000000085</v>
      </c>
      <c r="T19" s="10">
        <f>water_ON!T19 - water_OFF!T19 - AVERAGE(T$62:T$63)</f>
        <v>13.69999999999996</v>
      </c>
      <c r="U19" s="10">
        <f>water_ON!U19 - water_OFF!U19 - AVERAGE(U$62:U$63)</f>
        <v>12.400000000000034</v>
      </c>
      <c r="V19" s="10">
        <f>water_ON!V19 - water_OFF!V19 - AVERAGE(V$62:V$63)</f>
        <v>12.55000000000004</v>
      </c>
      <c r="W19" s="10">
        <f>water_ON!W19 - water_OFF!W19 - AVERAGE(W$62:W$63)</f>
        <v>15.150000000000034</v>
      </c>
      <c r="X19" s="10">
        <f>water_ON!X19 - water_OFF!X19 - AVERAGE(X$62:X$63)</f>
        <v>11.750000000000028</v>
      </c>
      <c r="Y19" s="10">
        <f>water_ON!Y19 - water_OFF!Y19 - AVERAGE(Y$62:Y$63)</f>
        <v>9.6500000000000057</v>
      </c>
      <c r="Z19" s="10">
        <f>water_ON!Z19 - water_OFF!Z19 - AVERAGE(Z$62:Z$63)</f>
        <v>9.3999999999999773</v>
      </c>
      <c r="AA19" s="10">
        <f>water_ON!AA19 - water_OFF!AA19 - AVERAGE(AA$62:AA$63)</f>
        <v>10.900000000000063</v>
      </c>
      <c r="AB19" s="10">
        <f>water_ON!AB19 - water_OFF!AB19 - AVERAGE(AB$62:AB$63)</f>
        <v>14.449999999999989</v>
      </c>
      <c r="AC19" s="10">
        <f>water_ON!AC19 - water_OFF!AC19 - AVERAGE(AC$62:AC$63)</f>
        <v>11.249999999999943</v>
      </c>
      <c r="AD19" s="10">
        <f>water_ON!AD19 - water_OFF!AD19 - AVERAGE(AD$62:AD$63)</f>
        <v>19.800000000000011</v>
      </c>
      <c r="AE19" s="10">
        <f>water_ON!AE19 - water_OFF!AE19 - AVERAGE(AE$62:AE$63)</f>
        <v>12.300000000000011</v>
      </c>
      <c r="AF19" s="10">
        <f>water_ON!AF19 - water_OFF!AF19 - AVERAGE(AF$62:AF$63)</f>
        <v>8.3000000000000114</v>
      </c>
      <c r="AG19" s="10">
        <f>water_ON!AG19 - water_OFF!AG19 - AVERAGE(AG$62:AG$63)</f>
        <v>14.849999999999966</v>
      </c>
      <c r="AH19" s="10">
        <f>water_ON!AH19 - water_OFF!AH19 - AVERAGE(AH$62:AH$63)</f>
        <v>11.69999999999996</v>
      </c>
      <c r="AI19" s="10">
        <f>water_ON!AI19 - water_OFF!AI19 - AVERAGE(AI$62:AI$63)</f>
        <v>8.6999999999999886</v>
      </c>
      <c r="AJ19" s="10">
        <f>water_ON!AJ19 - water_OFF!AJ19 - AVERAGE(AJ$62:AJ$63)</f>
        <v>9.9000000000000057</v>
      </c>
      <c r="AK19" s="10">
        <f>water_ON!AK19 - water_OFF!AK19 - AVERAGE(AK$62:AK$63)</f>
        <v>13.250000000000028</v>
      </c>
      <c r="AL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</row>
    <row r="20" spans="1:65">
      <c r="A20" s="30">
        <v>19</v>
      </c>
      <c r="B20" s="10">
        <f>water_ON!B20 - water_OFF!B20 - AVERAGE(B$62:B$63)</f>
        <v>30.249999999999972</v>
      </c>
      <c r="C20" s="10">
        <f>water_ON!C20 - water_OFF!C20 - AVERAGE(C$62:C$63)</f>
        <v>-0.29999999999998295</v>
      </c>
      <c r="D20" s="10">
        <f>water_ON!D20 - water_OFF!D20 - AVERAGE(D$62:D$63)</f>
        <v>31.600000000000051</v>
      </c>
      <c r="E20" s="10">
        <f>water_ON!E20 - water_OFF!E20 - AVERAGE(E$62:E$63)</f>
        <v>23.400000000000006</v>
      </c>
      <c r="F20" s="10">
        <f>water_ON!F20 - water_OFF!F20 - AVERAGE(F$62:F$63)</f>
        <v>28.349999999999994</v>
      </c>
      <c r="G20" s="10">
        <f>water_ON!G20 - water_OFF!G20 - AVERAGE(G$62:G$63)</f>
        <v>22.799999999999983</v>
      </c>
      <c r="H20" s="10">
        <f>water_ON!H20 - water_OFF!H20 - AVERAGE(H$62:H$63)</f>
        <v>10.500000000000028</v>
      </c>
      <c r="I20" s="10">
        <f>water_ON!I20 - water_OFF!I20 - AVERAGE(I$62:I$63)</f>
        <v>24.599999999999966</v>
      </c>
      <c r="J20" s="10">
        <f>water_ON!J20 - water_OFF!J20 - AVERAGE(J$62:J$63)</f>
        <v>20.75</v>
      </c>
      <c r="K20" s="10">
        <f>water_ON!K20 - water_OFF!K20 - AVERAGE(K$62:K$63)</f>
        <v>24.449999999999989</v>
      </c>
      <c r="L20" s="10">
        <f>water_ON!L20 - water_OFF!L20 - AVERAGE(L$62:L$63)</f>
        <v>22.5</v>
      </c>
      <c r="M20" s="10">
        <f>water_ON!M20 - water_OFF!M20 - AVERAGE(M$62:M$63)</f>
        <v>28.850000000000023</v>
      </c>
      <c r="N20" s="10">
        <f>water_ON!N20 - water_OFF!N20 - AVERAGE(N$62:N$63)</f>
        <v>25.549999999999983</v>
      </c>
      <c r="O20" s="10">
        <f>water_ON!O20 - water_OFF!O20 - AVERAGE(O$62:O$63)</f>
        <v>22.850000000000023</v>
      </c>
      <c r="P20" s="10">
        <f>water_ON!P20 - water_OFF!P20 - AVERAGE(P$62:P$63)</f>
        <v>28.150000000000034</v>
      </c>
      <c r="Q20" s="10">
        <f>water_ON!Q20 - water_OFF!Q20 - AVERAGE(Q$62:Q$63)</f>
        <v>25</v>
      </c>
      <c r="R20" s="10">
        <f>water_ON!R20 - water_OFF!R20 - AVERAGE(R$62:R$63)</f>
        <v>22.450000000000045</v>
      </c>
      <c r="S20" s="10">
        <f>water_ON!S20 - water_OFF!S20 - AVERAGE(S$62:S$63)</f>
        <v>30.400000000000063</v>
      </c>
      <c r="T20" s="10">
        <f>water_ON!T20 - water_OFF!T20 - AVERAGE(T$62:T$63)</f>
        <v>24.599999999999994</v>
      </c>
      <c r="U20" s="10">
        <f>water_ON!U20 - water_OFF!U20 - AVERAGE(U$62:U$63)</f>
        <v>30</v>
      </c>
      <c r="V20" s="10">
        <f>water_ON!V20 - water_OFF!V20 - AVERAGE(V$62:V$63)</f>
        <v>24.650000000000006</v>
      </c>
      <c r="W20" s="10">
        <f>water_ON!W20 - water_OFF!W20 - AVERAGE(W$62:W$63)</f>
        <v>33.650000000000034</v>
      </c>
      <c r="X20" s="10">
        <f>water_ON!X20 - water_OFF!X20 - AVERAGE(X$62:X$63)</f>
        <v>25.05000000000004</v>
      </c>
      <c r="Y20" s="10">
        <f>water_ON!Y20 - water_OFF!Y20 - AVERAGE(Y$62:Y$63)</f>
        <v>30.049999999999983</v>
      </c>
      <c r="Z20" s="10">
        <f>water_ON!Z20 - water_OFF!Z20 - AVERAGE(Z$62:Z$63)</f>
        <v>29.899999999999977</v>
      </c>
      <c r="AA20" s="10">
        <f>water_ON!AA20 - water_OFF!AA20 - AVERAGE(AA$62:AA$63)</f>
        <v>25.80000000000004</v>
      </c>
      <c r="AB20" s="10">
        <f>water_ON!AB20 - water_OFF!AB20 - AVERAGE(AB$62:AB$63)</f>
        <v>29.850000000000023</v>
      </c>
      <c r="AC20" s="10">
        <f>water_ON!AC20 - water_OFF!AC20 - AVERAGE(AC$62:AC$63)</f>
        <v>32.550000000000011</v>
      </c>
      <c r="AD20" s="10">
        <f>water_ON!AD20 - water_OFF!AD20 - AVERAGE(AD$62:AD$63)</f>
        <v>25</v>
      </c>
      <c r="AE20" s="10">
        <f>water_ON!AE20 - water_OFF!AE20 - AVERAGE(AE$62:AE$63)</f>
        <v>28.199999999999989</v>
      </c>
      <c r="AF20" s="10">
        <f>water_ON!AF20 - water_OFF!AF20 - AVERAGE(AF$62:AF$63)</f>
        <v>18.699999999999989</v>
      </c>
      <c r="AG20" s="10">
        <f>water_ON!AG20 - water_OFF!AG20 - AVERAGE(AG$62:AG$63)</f>
        <v>32.25</v>
      </c>
      <c r="AH20" s="10">
        <f>water_ON!AH20 - water_OFF!AH20 - AVERAGE(AH$62:AH$63)</f>
        <v>27.299999999999983</v>
      </c>
      <c r="AI20" s="10">
        <f>water_ON!AI20 - water_OFF!AI20 - AVERAGE(AI$62:AI$63)</f>
        <v>36.699999999999989</v>
      </c>
      <c r="AJ20" s="10">
        <f>water_ON!AJ20 - water_OFF!AJ20 - AVERAGE(AJ$62:AJ$63)</f>
        <v>27.400000000000006</v>
      </c>
      <c r="AK20" s="10">
        <f>water_ON!AK20 - water_OFF!AK20 - AVERAGE(AK$62:AK$63)</f>
        <v>33.349999999999994</v>
      </c>
      <c r="AL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</row>
    <row r="21" spans="1:65">
      <c r="A21" s="30">
        <v>20</v>
      </c>
      <c r="B21" s="10">
        <f>water_ON!B21 - water_OFF!B21 - AVERAGE(B$62:B$63)</f>
        <v>25.149999999999949</v>
      </c>
      <c r="C21" s="10">
        <f>water_ON!C21 - water_OFF!C21 - AVERAGE(C$62:C$63)</f>
        <v>-0.29999999999998295</v>
      </c>
      <c r="D21" s="10">
        <f>water_ON!D21 - water_OFF!D21 - AVERAGE(D$62:D$63)</f>
        <v>26.500000000000028</v>
      </c>
      <c r="E21" s="10">
        <f>water_ON!E21 - water_OFF!E21 - AVERAGE(E$62:E$63)</f>
        <v>25.499999999999972</v>
      </c>
      <c r="F21" s="10">
        <f>water_ON!F21 - water_OFF!F21 - AVERAGE(F$62:F$63)</f>
        <v>24.849999999999994</v>
      </c>
      <c r="G21" s="10">
        <f>water_ON!G21 - water_OFF!G21 - AVERAGE(G$62:G$63)</f>
        <v>27.799999999999983</v>
      </c>
      <c r="H21" s="10">
        <f>water_ON!H21 - water_OFF!H21 - AVERAGE(H$62:H$63)</f>
        <v>27.599999999999994</v>
      </c>
      <c r="I21" s="10">
        <f>water_ON!I21 - water_OFF!I21 - AVERAGE(I$62:I$63)</f>
        <v>-0.30000000000001137</v>
      </c>
      <c r="J21" s="10">
        <f>water_ON!J21 - water_OFF!J21 - AVERAGE(J$62:J$63)</f>
        <v>31.949999999999932</v>
      </c>
      <c r="K21" s="10">
        <f>water_ON!K21 - water_OFF!K21 - AVERAGE(K$62:K$63)</f>
        <v>30.349999999999966</v>
      </c>
      <c r="L21" s="10">
        <f>water_ON!L21 - water_OFF!L21 - AVERAGE(L$62:L$63)</f>
        <v>27.199999999999989</v>
      </c>
      <c r="M21" s="10">
        <f>water_ON!M21 - water_OFF!M21 - AVERAGE(M$62:M$63)</f>
        <v>33.75</v>
      </c>
      <c r="N21" s="10">
        <f>water_ON!N21 - water_OFF!N21 - AVERAGE(N$62:N$63)</f>
        <v>32.749999999999972</v>
      </c>
      <c r="O21" s="10">
        <f>water_ON!O21 - water_OFF!O21 - AVERAGE(O$62:O$63)</f>
        <v>27.150000000000034</v>
      </c>
      <c r="P21" s="10">
        <f>water_ON!P21 - water_OFF!P21 - AVERAGE(P$62:P$63)</f>
        <v>32.649999999999977</v>
      </c>
      <c r="Q21" s="10">
        <f>water_ON!Q21 - water_OFF!Q21 - AVERAGE(Q$62:Q$63)</f>
        <v>32.300000000000011</v>
      </c>
      <c r="R21" s="10">
        <f>water_ON!R21 - water_OFF!R21 - AVERAGE(R$62:R$63)</f>
        <v>31.149999999999977</v>
      </c>
      <c r="S21" s="10">
        <f>water_ON!S21 - water_OFF!S21 - AVERAGE(S$62:S$63)</f>
        <v>30.200000000000074</v>
      </c>
      <c r="T21" s="10">
        <f>water_ON!T21 - water_OFF!T21 - AVERAGE(T$62:T$63)</f>
        <v>32.400000000000006</v>
      </c>
      <c r="U21" s="10">
        <f>water_ON!U21 - water_OFF!U21 - AVERAGE(U$62:U$63)</f>
        <v>29</v>
      </c>
      <c r="V21" s="10">
        <f>water_ON!V21 - water_OFF!V21 - AVERAGE(V$62:V$63)</f>
        <v>40.650000000000006</v>
      </c>
      <c r="W21" s="10">
        <f>water_ON!W21 - water_OFF!W21 - AVERAGE(W$62:W$63)</f>
        <v>31.650000000000034</v>
      </c>
      <c r="X21" s="10">
        <f>water_ON!X21 - water_OFF!X21 - AVERAGE(X$62:X$63)</f>
        <v>33.349999999999994</v>
      </c>
      <c r="Y21" s="10">
        <f>water_ON!Y21 - water_OFF!Y21 - AVERAGE(Y$62:Y$63)</f>
        <v>33.250000000000028</v>
      </c>
      <c r="Z21" s="10">
        <f>water_ON!Z21 - water_OFF!Z21 - AVERAGE(Z$62:Z$63)</f>
        <v>34.400000000000034</v>
      </c>
      <c r="AA21" s="10">
        <f>water_ON!AA21 - water_OFF!AA21 - AVERAGE(AA$62:AA$63)</f>
        <v>31.80000000000004</v>
      </c>
      <c r="AB21" s="10">
        <f>water_ON!AB21 - water_OFF!AB21 - AVERAGE(AB$62:AB$63)</f>
        <v>29.049999999999955</v>
      </c>
      <c r="AC21" s="10">
        <f>water_ON!AC21 - water_OFF!AC21 - AVERAGE(AC$62:AC$63)</f>
        <v>26.649999999999977</v>
      </c>
      <c r="AD21" s="10">
        <f>water_ON!AD21 - water_OFF!AD21 - AVERAGE(AD$62:AD$63)</f>
        <v>18.899999999999977</v>
      </c>
      <c r="AE21" s="10">
        <f>water_ON!AE21 - water_OFF!AE21 - AVERAGE(AE$62:AE$63)</f>
        <v>24.399999999999977</v>
      </c>
      <c r="AF21" s="10">
        <f>water_ON!AF21 - water_OFF!AF21 - AVERAGE(AF$62:AF$63)</f>
        <v>33.800000000000011</v>
      </c>
      <c r="AG21" s="10">
        <f>water_ON!AG21 - water_OFF!AG21 - AVERAGE(AG$62:AG$63)</f>
        <v>24.450000000000045</v>
      </c>
      <c r="AH21" s="10">
        <f>water_ON!AH21 - water_OFF!AH21 - AVERAGE(AH$62:AH$63)</f>
        <v>24.900000000000006</v>
      </c>
      <c r="AI21" s="10">
        <f>water_ON!AI21 - water_OFF!AI21 - AVERAGE(AI$62:AI$63)</f>
        <v>27.199999999999989</v>
      </c>
      <c r="AJ21" s="10">
        <f>water_ON!AJ21 - water_OFF!AJ21 - AVERAGE(AJ$62:AJ$63)</f>
        <v>30.799999999999983</v>
      </c>
      <c r="AK21" s="10">
        <f>water_ON!AK21 - water_OFF!AK21 - AVERAGE(AK$62:AK$63)</f>
        <v>28.150000000000006</v>
      </c>
      <c r="AL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</row>
    <row r="22" spans="1:65">
      <c r="A22" s="30">
        <v>21</v>
      </c>
      <c r="B22" s="10">
        <f>water_ON!B22 - water_OFF!B22 - AVERAGE(B$62:B$63)</f>
        <v>15.750000000000028</v>
      </c>
      <c r="C22" s="10">
        <f>water_ON!C22 - water_OFF!C22 - AVERAGE(C$62:C$63)</f>
        <v>-0.29999999999998295</v>
      </c>
      <c r="D22" s="10">
        <f>water_ON!D22 - water_OFF!D22 - AVERAGE(D$62:D$63)</f>
        <v>-0.19999999999996021</v>
      </c>
      <c r="E22" s="10">
        <f>water_ON!E22 - water_OFF!E22 - AVERAGE(E$62:E$63)</f>
        <v>-0.29999999999998295</v>
      </c>
      <c r="F22" s="10">
        <f>water_ON!F22 - water_OFF!F22 - AVERAGE(F$62:F$63)</f>
        <v>15.450000000000017</v>
      </c>
      <c r="G22" s="10">
        <f>water_ON!G22 - water_OFF!G22 - AVERAGE(G$62:G$63)</f>
        <v>2.8000000000000398</v>
      </c>
      <c r="H22" s="10">
        <f>water_ON!H22 - water_OFF!H22 - AVERAGE(H$62:H$63)</f>
        <v>16.000000000000028</v>
      </c>
      <c r="I22" s="10">
        <f>water_ON!I22 - water_OFF!I22 - AVERAGE(I$62:I$63)</f>
        <v>5</v>
      </c>
      <c r="J22" s="10">
        <f>water_ON!J22 - water_OFF!J22 - AVERAGE(J$62:J$63)</f>
        <v>7.6499999999999773</v>
      </c>
      <c r="K22" s="10">
        <f>water_ON!K22 - water_OFF!K22 - AVERAGE(K$62:K$63)</f>
        <v>3.6499999999999773</v>
      </c>
      <c r="L22" s="10">
        <f>water_ON!L22 - water_OFF!L22 - AVERAGE(L$62:L$63)</f>
        <v>5.3999999999999773</v>
      </c>
      <c r="M22" s="10">
        <f>water_ON!M22 - water_OFF!M22 - AVERAGE(M$62:M$63)</f>
        <v>1.6499999999999773</v>
      </c>
      <c r="N22" s="10">
        <f>water_ON!N22 - water_OFF!N22 - AVERAGE(N$62:N$63)</f>
        <v>2.6500000000000057</v>
      </c>
      <c r="O22" s="10">
        <f>water_ON!O22 - water_OFF!O22 - AVERAGE(O$62:O$63)</f>
        <v>2.8499999999999659</v>
      </c>
      <c r="P22" s="10">
        <f>water_ON!P22 - water_OFF!P22 - AVERAGE(P$62:P$63)</f>
        <v>2.3500000000000227</v>
      </c>
      <c r="Q22" s="10">
        <f>water_ON!Q22 - water_OFF!Q22 - AVERAGE(Q$62:Q$63)</f>
        <v>9.9999999999965894E-2</v>
      </c>
      <c r="R22" s="10">
        <f>water_ON!R22 - water_OFF!R22 - AVERAGE(R$62:R$63)</f>
        <v>1.1499999999999773</v>
      </c>
      <c r="S22" s="10">
        <f>water_ON!S22 - water_OFF!S22 - AVERAGE(S$62:S$63)</f>
        <v>0.50000000000002842</v>
      </c>
      <c r="T22" s="10">
        <f>water_ON!T22 - water_OFF!T22 - AVERAGE(T$62:T$63)</f>
        <v>1.9000000000000057</v>
      </c>
      <c r="U22" s="10">
        <f>water_ON!U22 - water_OFF!U22 - AVERAGE(U$62:U$63)</f>
        <v>1.5</v>
      </c>
      <c r="V22" s="10">
        <f>water_ON!V22 - water_OFF!V22 - AVERAGE(V$62:V$63)</f>
        <v>3.6500000000000057</v>
      </c>
      <c r="W22" s="10">
        <f>water_ON!W22 - water_OFF!W22 - AVERAGE(W$62:W$63)</f>
        <v>0.44999999999998863</v>
      </c>
      <c r="X22" s="10">
        <f>water_ON!X22 - water_OFF!X22 - AVERAGE(X$62:X$63)</f>
        <v>2.9500000000000171</v>
      </c>
      <c r="Y22" s="10">
        <f>water_ON!Y22 - water_OFF!Y22 - AVERAGE(Y$62:Y$63)</f>
        <v>5.000000000003979E-2</v>
      </c>
      <c r="Z22" s="10">
        <f>water_ON!Z22 - water_OFF!Z22 - AVERAGE(Z$62:Z$63)</f>
        <v>0.69999999999998863</v>
      </c>
      <c r="AA22" s="10">
        <f>water_ON!AA22 - water_OFF!AA22 - AVERAGE(AA$62:AA$63)</f>
        <v>0.50000000000002842</v>
      </c>
      <c r="AB22" s="10">
        <f>water_ON!AB22 - water_OFF!AB22 - AVERAGE(AB$62:AB$63)</f>
        <v>4.9999999999954525E-2</v>
      </c>
      <c r="AC22" s="10">
        <f>water_ON!AC22 - water_OFF!AC22 - AVERAGE(AC$62:AC$63)</f>
        <v>1.2499999999999432</v>
      </c>
      <c r="AD22" s="10">
        <f>water_ON!AD22 - water_OFF!AD22 - AVERAGE(AD$62:AD$63)</f>
        <v>1.1000000000000227</v>
      </c>
      <c r="AE22" s="10">
        <f>water_ON!AE22 - water_OFF!AE22 - AVERAGE(AE$62:AE$63)</f>
        <v>3</v>
      </c>
      <c r="AF22" s="10">
        <f>water_ON!AF22 - water_OFF!AF22 - AVERAGE(AF$62:AF$63)</f>
        <v>1</v>
      </c>
      <c r="AG22" s="10">
        <f>water_ON!AG22 - water_OFF!AG22 - AVERAGE(AG$62:AG$63)</f>
        <v>1.2500000000000568</v>
      </c>
      <c r="AH22" s="10">
        <f>water_ON!AH22 - water_OFF!AH22 - AVERAGE(AH$62:AH$63)</f>
        <v>0.79999999999998295</v>
      </c>
      <c r="AI22" s="10">
        <f>water_ON!AI22 - water_OFF!AI22 - AVERAGE(AI$62:AI$63)</f>
        <v>1.0999999999999659</v>
      </c>
      <c r="AJ22" s="10">
        <f>water_ON!AJ22 - water_OFF!AJ22 - AVERAGE(AJ$62:AJ$63)</f>
        <v>0.20000000000001705</v>
      </c>
      <c r="AK22" s="10">
        <f>water_ON!AK22 - water_OFF!AK22 - AVERAGE(AK$62:AK$63)</f>
        <v>2.0499999999999829</v>
      </c>
      <c r="AL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</row>
    <row r="23" spans="1:65">
      <c r="A23" s="30">
        <v>22</v>
      </c>
      <c r="B23" s="10">
        <f>water_ON!B23 - water_OFF!B23 - AVERAGE(B$62:B$63)</f>
        <v>13.549999999999983</v>
      </c>
      <c r="C23" s="10">
        <f>water_ON!C23 - water_OFF!C23 - AVERAGE(C$62:C$63)</f>
        <v>-0.29999999999998295</v>
      </c>
      <c r="D23" s="10">
        <f>water_ON!D23 - water_OFF!D23 - AVERAGE(D$62:D$63)</f>
        <v>-9.9999999999994316E-2</v>
      </c>
      <c r="E23" s="10">
        <f>water_ON!E23 - water_OFF!E23 - AVERAGE(E$62:E$63)</f>
        <v>-0.20000000000001705</v>
      </c>
      <c r="F23" s="10">
        <f>water_ON!F23 - water_OFF!F23 - AVERAGE(F$62:F$63)</f>
        <v>0.75000000000002842</v>
      </c>
      <c r="G23" s="10">
        <f>water_ON!G23 - water_OFF!G23 - AVERAGE(G$62:G$63)</f>
        <v>0.20000000000001705</v>
      </c>
      <c r="H23" s="10">
        <f>water_ON!H23 - water_OFF!H23 - AVERAGE(H$62:H$63)</f>
        <v>9.4000000000000057</v>
      </c>
      <c r="I23" s="10">
        <f>water_ON!I23 - water_OFF!I23 - AVERAGE(I$62:I$63)</f>
        <v>5.6000000000000227</v>
      </c>
      <c r="J23" s="10">
        <f>water_ON!J23 - water_OFF!J23 - AVERAGE(J$62:J$63)</f>
        <v>10.149999999999977</v>
      </c>
      <c r="K23" s="10">
        <f>water_ON!K23 - water_OFF!K23 - AVERAGE(K$62:K$63)</f>
        <v>13.449999999999989</v>
      </c>
      <c r="L23" s="10">
        <f>water_ON!L23 - water_OFF!L23 - AVERAGE(L$62:L$63)</f>
        <v>4.6999999999999886</v>
      </c>
      <c r="M23" s="10">
        <f>water_ON!M23 - water_OFF!M23 - AVERAGE(M$62:M$63)</f>
        <v>5.1500000000000341</v>
      </c>
      <c r="N23" s="10">
        <f>water_ON!N23 - water_OFF!N23 - AVERAGE(N$62:N$63)</f>
        <v>3.2500000000000284</v>
      </c>
      <c r="O23" s="10">
        <f>water_ON!O23 - water_OFF!O23 - AVERAGE(O$62:O$63)</f>
        <v>5.1499999999999773</v>
      </c>
      <c r="P23" s="10">
        <f>water_ON!P23 - water_OFF!P23 - AVERAGE(P$62:P$63)</f>
        <v>6.0500000000000114</v>
      </c>
      <c r="Q23" s="10">
        <f>water_ON!Q23 - water_OFF!Q23 - AVERAGE(Q$62:Q$63)</f>
        <v>8.6999999999999886</v>
      </c>
      <c r="R23" s="10">
        <f>water_ON!R23 - water_OFF!R23 - AVERAGE(R$62:R$63)</f>
        <v>8.1499999999999773</v>
      </c>
      <c r="S23" s="10">
        <f>water_ON!S23 - water_OFF!S23 - AVERAGE(S$62:S$63)</f>
        <v>3.1000000000000512</v>
      </c>
      <c r="T23" s="10">
        <f>water_ON!T23 - water_OFF!T23 - AVERAGE(T$62:T$63)</f>
        <v>6.8000000000000398</v>
      </c>
      <c r="U23" s="10">
        <f>water_ON!U23 - water_OFF!U23 - AVERAGE(U$62:U$63)</f>
        <v>1.3999999999999773</v>
      </c>
      <c r="V23" s="10">
        <f>water_ON!V23 - water_OFF!V23 - AVERAGE(V$62:V$63)</f>
        <v>5.8499999999999943</v>
      </c>
      <c r="W23" s="10">
        <f>water_ON!W23 - water_OFF!W23 - AVERAGE(W$62:W$63)</f>
        <v>1.9500000000000455</v>
      </c>
      <c r="X23" s="10">
        <f>water_ON!X23 - water_OFF!X23 - AVERAGE(X$62:X$63)</f>
        <v>2.1500000000000057</v>
      </c>
      <c r="Y23" s="10">
        <f>water_ON!Y23 - water_OFF!Y23 - AVERAGE(Y$62:Y$63)</f>
        <v>4.0499999999999829</v>
      </c>
      <c r="Z23" s="10">
        <f>water_ON!Z23 - water_OFF!Z23 - AVERAGE(Z$62:Z$63)</f>
        <v>6.7999999999999545</v>
      </c>
      <c r="AA23" s="10">
        <f>water_ON!AA23 - water_OFF!AA23 - AVERAGE(AA$62:AA$63)</f>
        <v>2.8421709430404007E-14</v>
      </c>
      <c r="AB23" s="10">
        <f>water_ON!AB23 - water_OFF!AB23 - AVERAGE(AB$62:AB$63)</f>
        <v>6.6499999999999773</v>
      </c>
      <c r="AC23" s="10">
        <f>water_ON!AC23 - water_OFF!AC23 - AVERAGE(AC$62:AC$63)</f>
        <v>6.7499999999999432</v>
      </c>
      <c r="AD23" s="10">
        <f>water_ON!AD23 - water_OFF!AD23 - AVERAGE(AD$62:AD$63)</f>
        <v>2.6000000000000227</v>
      </c>
      <c r="AE23" s="10">
        <f>water_ON!AE23 - water_OFF!AE23 - AVERAGE(AE$62:AE$63)</f>
        <v>4.1000000000000227</v>
      </c>
      <c r="AF23" s="10">
        <f>water_ON!AF23 - water_OFF!AF23 - AVERAGE(AF$62:AF$63)</f>
        <v>5</v>
      </c>
      <c r="AG23" s="10">
        <f>water_ON!AG23 - water_OFF!AG23 - AVERAGE(AG$62:AG$63)</f>
        <v>3.3499999999999659</v>
      </c>
      <c r="AH23" s="10">
        <f>water_ON!AH23 - water_OFF!AH23 - AVERAGE(AH$62:AH$63)</f>
        <v>5.6999999999999602</v>
      </c>
      <c r="AI23" s="10">
        <f>water_ON!AI23 - water_OFF!AI23 - AVERAGE(AI$62:AI$63)</f>
        <v>7.3999999999999773</v>
      </c>
      <c r="AJ23" s="10">
        <f>water_ON!AJ23 - water_OFF!AJ23 - AVERAGE(AJ$62:AJ$63)</f>
        <v>8.0999999999999943</v>
      </c>
      <c r="AK23" s="10">
        <f>water_ON!AK23 - water_OFF!AK23 - AVERAGE(AK$62:AK$63)</f>
        <v>2.1500000000000057</v>
      </c>
      <c r="AL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</row>
    <row r="24" spans="1:65">
      <c r="A24" s="30">
        <v>23</v>
      </c>
      <c r="B24" s="10">
        <f>water_ON!B24 - water_OFF!B24 - AVERAGE(B$62:B$63)</f>
        <v>14.749999999999972</v>
      </c>
      <c r="C24" s="10">
        <f>water_ON!C24 - water_OFF!C24 - AVERAGE(C$62:C$63)</f>
        <v>19.500000000000028</v>
      </c>
      <c r="D24" s="10">
        <f>water_ON!D24 - water_OFF!D24 - AVERAGE(D$62:D$63)</f>
        <v>14.999999999999972</v>
      </c>
      <c r="E24" s="10">
        <f>water_ON!E24 - water_OFF!E24 - AVERAGE(E$62:E$63)</f>
        <v>16.400000000000006</v>
      </c>
      <c r="F24" s="10">
        <f>water_ON!F24 - water_OFF!F24 - AVERAGE(F$62:F$63)</f>
        <v>25.549999999999983</v>
      </c>
      <c r="G24" s="10">
        <f>water_ON!G24 - water_OFF!G24 - AVERAGE(G$62:G$63)</f>
        <v>18.200000000000017</v>
      </c>
      <c r="H24" s="10">
        <f>water_ON!H24 - water_OFF!H24 - AVERAGE(H$62:H$63)</f>
        <v>9.2999999999999829</v>
      </c>
      <c r="I24" s="10">
        <f>water_ON!I24 - water_OFF!I24 - AVERAGE(I$62:I$63)</f>
        <v>21.299999999999955</v>
      </c>
      <c r="J24" s="10">
        <f>water_ON!J24 - water_OFF!J24 - AVERAGE(J$62:J$63)</f>
        <v>12.75</v>
      </c>
      <c r="K24" s="10">
        <f>water_ON!K24 - water_OFF!K24 - AVERAGE(K$62:K$63)</f>
        <v>11.349999999999966</v>
      </c>
      <c r="L24" s="10">
        <f>water_ON!L24 - water_OFF!L24 - AVERAGE(L$62:L$63)</f>
        <v>19.5</v>
      </c>
      <c r="M24" s="10">
        <f>water_ON!M24 - water_OFF!M24 - AVERAGE(M$62:M$63)</f>
        <v>16.050000000000011</v>
      </c>
      <c r="N24" s="10">
        <f>water_ON!N24 - water_OFF!N24 - AVERAGE(N$62:N$63)</f>
        <v>12.150000000000006</v>
      </c>
      <c r="O24" s="10">
        <f>water_ON!O24 - water_OFF!O24 - AVERAGE(O$62:O$63)</f>
        <v>10.350000000000023</v>
      </c>
      <c r="P24" s="10">
        <f>water_ON!P24 - water_OFF!P24 - AVERAGE(P$62:P$63)</f>
        <v>14.650000000000034</v>
      </c>
      <c r="Q24" s="10">
        <f>water_ON!Q24 - water_OFF!Q24 - AVERAGE(Q$62:Q$63)</f>
        <v>10.799999999999955</v>
      </c>
      <c r="R24" s="10">
        <f>water_ON!R24 - water_OFF!R24 - AVERAGE(R$62:R$63)</f>
        <v>16.149999999999977</v>
      </c>
      <c r="S24" s="10">
        <f>water_ON!S24 - water_OFF!S24 - AVERAGE(S$62:S$63)</f>
        <v>11.80000000000004</v>
      </c>
      <c r="T24" s="10">
        <f>water_ON!T24 - water_OFF!T24 - AVERAGE(T$62:T$63)</f>
        <v>9.5999999999999943</v>
      </c>
      <c r="U24" s="10">
        <f>water_ON!U24 - water_OFF!U24 - AVERAGE(U$62:U$63)</f>
        <v>14.099999999999966</v>
      </c>
      <c r="V24" s="10">
        <f>water_ON!V24 - water_OFF!V24 - AVERAGE(V$62:V$63)</f>
        <v>12.250000000000028</v>
      </c>
      <c r="W24" s="10">
        <f>water_ON!W24 - water_OFF!W24 - AVERAGE(W$62:W$63)</f>
        <v>8.6500000000000341</v>
      </c>
      <c r="X24" s="10">
        <f>water_ON!X24 - water_OFF!X24 - AVERAGE(X$62:X$63)</f>
        <v>17.850000000000051</v>
      </c>
      <c r="Y24" s="10">
        <f>water_ON!Y24 - water_OFF!Y24 - AVERAGE(Y$62:Y$63)</f>
        <v>13.049999999999983</v>
      </c>
      <c r="Z24" s="10">
        <f>water_ON!Z24 - water_OFF!Z24 - AVERAGE(Z$62:Z$63)</f>
        <v>6.6000000000000227</v>
      </c>
      <c r="AA24" s="10">
        <f>water_ON!AA24 - water_OFF!AA24 - AVERAGE(AA$62:AA$63)</f>
        <v>16.000000000000028</v>
      </c>
      <c r="AB24" s="10">
        <f>water_ON!AB24 - water_OFF!AB24 - AVERAGE(AB$62:AB$63)</f>
        <v>9.6499999999999773</v>
      </c>
      <c r="AC24" s="10">
        <f>water_ON!AC24 - water_OFF!AC24 - AVERAGE(AC$62:AC$63)</f>
        <v>11.949999999999989</v>
      </c>
      <c r="AD24" s="10">
        <f>water_ON!AD24 - water_OFF!AD24 - AVERAGE(AD$62:AD$63)</f>
        <v>15.600000000000023</v>
      </c>
      <c r="AE24" s="10">
        <f>water_ON!AE24 - water_OFF!AE24 - AVERAGE(AE$62:AE$63)</f>
        <v>12</v>
      </c>
      <c r="AF24" s="10">
        <f>water_ON!AF24 - water_OFF!AF24 - AVERAGE(AF$62:AF$63)</f>
        <v>14.300000000000011</v>
      </c>
      <c r="AG24" s="10">
        <f>water_ON!AG24 - water_OFF!AG24 - AVERAGE(AG$62:AG$63)</f>
        <v>17.75</v>
      </c>
      <c r="AH24" s="10">
        <f>water_ON!AH24 - water_OFF!AH24 - AVERAGE(AH$62:AH$63)</f>
        <v>9.3999999999999488</v>
      </c>
      <c r="AI24" s="10">
        <f>water_ON!AI24 - water_OFF!AI24 - AVERAGE(AI$62:AI$63)</f>
        <v>9.0999999999999659</v>
      </c>
      <c r="AJ24" s="10"/>
      <c r="AK24" s="10">
        <f>water_ON!AK24 - water_OFF!AK24 - AVERAGE(AK$62:AK$63)</f>
        <v>12.649999999999949</v>
      </c>
      <c r="AL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</row>
    <row r="25" spans="1:65">
      <c r="A25" s="30">
        <v>24</v>
      </c>
      <c r="B25" s="10">
        <f>water_ON!B25 - water_OFF!B25 - AVERAGE(B$62:B$63)</f>
        <v>5.6500000000000057</v>
      </c>
      <c r="C25" s="10">
        <f>water_ON!C25 - water_OFF!C25 - AVERAGE(C$62:C$63)</f>
        <v>-0.29999999999998295</v>
      </c>
      <c r="D25" s="10">
        <f>water_ON!D25 - water_OFF!D25 - AVERAGE(D$62:D$63)</f>
        <v>2.2000000000000171</v>
      </c>
      <c r="E25" s="10">
        <f>water_ON!E25 - water_OFF!E25 - AVERAGE(E$62:E$63)</f>
        <v>5.9999999999999716</v>
      </c>
      <c r="F25" s="10">
        <f>water_ON!F25 - water_OFF!F25 - AVERAGE(F$62:F$63)</f>
        <v>11.650000000000006</v>
      </c>
      <c r="G25" s="10">
        <f>water_ON!G25 - water_OFF!G25 - AVERAGE(G$62:G$63)</f>
        <v>7.7999999999999829</v>
      </c>
      <c r="H25" s="10">
        <f>water_ON!H25 - water_OFF!H25 - AVERAGE(H$62:H$63)</f>
        <v>-2.8421709430404007E-14</v>
      </c>
      <c r="I25" s="10">
        <f>water_ON!I25 - water_OFF!I25 - AVERAGE(I$62:I$63)</f>
        <v>0.99999999999994316</v>
      </c>
      <c r="J25" s="10">
        <f>water_ON!J25 - water_OFF!J25 - AVERAGE(J$62:J$63)</f>
        <v>2.5500000000000114</v>
      </c>
      <c r="K25" s="10">
        <f>water_ON!K25 - water_OFF!K25 - AVERAGE(K$62:K$63)</f>
        <v>5.0000000000011369E-2</v>
      </c>
      <c r="L25" s="10">
        <f>water_ON!L25 - water_OFF!L25 - AVERAGE(L$62:L$63)</f>
        <v>1.9000000000000341</v>
      </c>
      <c r="M25" s="10">
        <f>water_ON!M25 - water_OFF!M25 - AVERAGE(M$62:M$63)</f>
        <v>-5.0000000000011369E-2</v>
      </c>
      <c r="N25" s="10">
        <f>water_ON!N25 - water_OFF!N25 - AVERAGE(N$62:N$63)</f>
        <v>4.9999999999982947E-2</v>
      </c>
      <c r="O25" s="10">
        <f>water_ON!O25 - water_OFF!O25 - AVERAGE(O$62:O$63)</f>
        <v>0.74999999999994316</v>
      </c>
      <c r="P25" s="10">
        <f>water_ON!P25 - water_OFF!P25 - AVERAGE(P$62:P$63)</f>
        <v>0.15000000000003411</v>
      </c>
      <c r="Q25" s="10">
        <f>water_ON!Q25 - water_OFF!Q25 - AVERAGE(Q$62:Q$63)</f>
        <v>2.5999999999999659</v>
      </c>
      <c r="R25" s="10">
        <f>water_ON!R25 - water_OFF!R25 - AVERAGE(R$62:R$63)</f>
        <v>0.14999999999997726</v>
      </c>
      <c r="S25" s="10">
        <f>water_ON!S25 - water_OFF!S25 - AVERAGE(S$62:S$63)</f>
        <v>2.8421709430404007E-14</v>
      </c>
      <c r="T25" s="10">
        <f>water_ON!T25 - water_OFF!T25 - AVERAGE(T$62:T$63)</f>
        <v>-2.8421709430404007E-14</v>
      </c>
      <c r="U25" s="10">
        <f>water_ON!U25 - water_OFF!U25 - AVERAGE(U$62:U$63)</f>
        <v>0.10000000000002274</v>
      </c>
      <c r="V25" s="10">
        <f>water_ON!V25 - water_OFF!V25 - AVERAGE(V$62:V$63)</f>
        <v>0.15000000000000568</v>
      </c>
      <c r="W25" s="10">
        <f>water_ON!W25 - water_OFF!W25 - AVERAGE(W$62:W$63)</f>
        <v>0.95000000000004547</v>
      </c>
      <c r="X25" s="10">
        <f>water_ON!X25 - water_OFF!X25 - AVERAGE(X$62:X$63)</f>
        <v>0.84999999999999432</v>
      </c>
      <c r="Y25" s="10">
        <f>water_ON!Y25 - water_OFF!Y25 - AVERAGE(Y$62:Y$63)</f>
        <v>-0.34999999999999432</v>
      </c>
      <c r="Z25" s="10">
        <f>water_ON!Z25 - water_OFF!Z25 - AVERAGE(Z$62:Z$63)</f>
        <v>0.10000000000002274</v>
      </c>
      <c r="AA25" s="10">
        <f>water_ON!AA25 - water_OFF!AA25 - AVERAGE(AA$62:AA$63)</f>
        <v>0.90000000000006253</v>
      </c>
      <c r="AB25" s="10">
        <f>water_ON!AB25 - water_OFF!AB25 - AVERAGE(AB$62:AB$63)</f>
        <v>0.94999999999998863</v>
      </c>
      <c r="AC25" s="10">
        <f>water_ON!AC25 - water_OFF!AC25 - AVERAGE(AC$62:AC$63)</f>
        <v>2.8500000000000227</v>
      </c>
      <c r="AD25" s="10">
        <f>water_ON!AD25 - water_OFF!AD25 - AVERAGE(AD$62:AD$63)</f>
        <v>0.29999999999995453</v>
      </c>
      <c r="AE25" s="10">
        <f>water_ON!AE25 - water_OFF!AE25 - AVERAGE(AE$62:AE$63)</f>
        <v>0.20000000000004547</v>
      </c>
      <c r="AF25" s="10">
        <f>water_ON!AF25 - water_OFF!AF25 - AVERAGE(AF$62:AF$63)</f>
        <v>-9.9999999999965894E-2</v>
      </c>
      <c r="AG25" s="10">
        <f>water_ON!AG25 - water_OFF!AG25 - AVERAGE(AG$62:AG$63)</f>
        <v>5.0000000000011369E-2</v>
      </c>
      <c r="AH25" s="10">
        <f>water_ON!AH25 - water_OFF!AH25 - AVERAGE(AH$62:AH$63)</f>
        <v>-0.79999999999998295</v>
      </c>
      <c r="AI25" s="10">
        <f>water_ON!AI25 - water_OFF!AI25 - AVERAGE(AI$62:AI$63)</f>
        <v>0</v>
      </c>
      <c r="AJ25" s="10">
        <f>water_ON!AJ25 - water_OFF!AJ25 - AVERAGE(AJ$62:AJ$63)</f>
        <v>2.3000000000000398</v>
      </c>
      <c r="AK25" s="10">
        <f>water_ON!AK25 - water_OFF!AK25 - AVERAGE(AK$62:AK$63)</f>
        <v>0.15000000000000568</v>
      </c>
      <c r="AL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</row>
    <row r="26" spans="1:65">
      <c r="A26" s="30">
        <v>25</v>
      </c>
      <c r="B26" s="10">
        <f>water_ON!B26 - water_OFF!B26 - AVERAGE(B$62:B$63)</f>
        <v>10.749999999999972</v>
      </c>
      <c r="C26" s="10">
        <f>water_ON!C26 - water_OFF!C26 - AVERAGE(C$62:C$63)</f>
        <v>-0.29999999999998295</v>
      </c>
      <c r="D26" s="10">
        <f>water_ON!D26 - water_OFF!D26 - AVERAGE(D$62:D$63)</f>
        <v>4.5999999999999943</v>
      </c>
      <c r="E26" s="10">
        <f>water_ON!E26 - water_OFF!E26 - AVERAGE(E$62:E$63)</f>
        <v>5.5999999999999943</v>
      </c>
      <c r="F26" s="10">
        <f>water_ON!F26 - water_OFF!F26 - AVERAGE(F$62:F$63)</f>
        <v>0.34999999999999432</v>
      </c>
      <c r="G26" s="10">
        <f>water_ON!G26 - water_OFF!G26 - AVERAGE(G$62:G$63)</f>
        <v>0.79999999999998295</v>
      </c>
      <c r="H26" s="10">
        <f>water_ON!H26 - water_OFF!H26 - AVERAGE(H$62:H$63)</f>
        <v>9.9999999999994316E-2</v>
      </c>
      <c r="I26" s="10">
        <f>water_ON!I26 - water_OFF!I26 - AVERAGE(I$62:I$63)</f>
        <v>3.8000000000000114</v>
      </c>
      <c r="J26" s="10">
        <f>water_ON!J26 - water_OFF!J26 - AVERAGE(J$62:J$63)</f>
        <v>1.25</v>
      </c>
      <c r="K26" s="10">
        <f>water_ON!K26 - water_OFF!K26 - AVERAGE(K$62:K$63)</f>
        <v>2.0499999999999545</v>
      </c>
      <c r="L26" s="10">
        <f>water_ON!L26 - water_OFF!L26 - AVERAGE(L$62:L$63)</f>
        <v>0.10000000000002274</v>
      </c>
      <c r="M26" s="10">
        <f>water_ON!M26 - water_OFF!M26 - AVERAGE(M$62:M$63)</f>
        <v>2.75</v>
      </c>
      <c r="N26" s="10">
        <f>water_ON!N26 - water_OFF!N26 - AVERAGE(N$62:N$63)</f>
        <v>4.9999999999982947E-2</v>
      </c>
      <c r="O26" s="10">
        <f>water_ON!O26 - water_OFF!O26 - AVERAGE(O$62:O$63)</f>
        <v>0.74999999999994316</v>
      </c>
      <c r="P26" s="10">
        <f>water_ON!P26 - water_OFF!P26 - AVERAGE(P$62:P$63)</f>
        <v>5.0000000000011369E-2</v>
      </c>
      <c r="Q26" s="10">
        <f>water_ON!Q26 - water_OFF!Q26 - AVERAGE(Q$62:Q$63)</f>
        <v>0.19999999999998863</v>
      </c>
      <c r="R26" s="10">
        <f>water_ON!R26 - water_OFF!R26 - AVERAGE(R$62:R$63)</f>
        <v>0.85000000000002274</v>
      </c>
      <c r="S26" s="10">
        <f>water_ON!S26 - water_OFF!S26 - AVERAGE(S$62:S$63)</f>
        <v>8.5265128291212022E-14</v>
      </c>
      <c r="T26" s="10">
        <f>water_ON!T26 - water_OFF!T26 - AVERAGE(T$62:T$63)</f>
        <v>0.29999999999998295</v>
      </c>
      <c r="U26" s="10">
        <f>water_ON!U26 - water_OFF!U26 - AVERAGE(U$62:U$63)</f>
        <v>0.10000000000002274</v>
      </c>
      <c r="V26" s="10">
        <f>water_ON!V26 - water_OFF!V26 - AVERAGE(V$62:V$63)</f>
        <v>0.65000000000000568</v>
      </c>
      <c r="W26" s="10">
        <f>water_ON!W26 - water_OFF!W26 - AVERAGE(W$62:W$63)</f>
        <v>5.0000000000011369E-2</v>
      </c>
      <c r="X26" s="10">
        <f>water_ON!X26 - water_OFF!X26 - AVERAGE(X$62:X$63)</f>
        <v>0.25000000000002842</v>
      </c>
      <c r="Y26" s="10">
        <f>water_ON!Y26 - water_OFF!Y26 - AVERAGE(Y$62:Y$63)</f>
        <v>0.45000000000001705</v>
      </c>
      <c r="Z26" s="10">
        <f>water_ON!Z26 - water_OFF!Z26 - AVERAGE(Z$62:Z$63)</f>
        <v>0.29999999999995453</v>
      </c>
      <c r="AA26" s="10">
        <f>water_ON!AA26 - water_OFF!AA26 - AVERAGE(AA$62:AA$63)</f>
        <v>0.30000000000003979</v>
      </c>
      <c r="AB26" s="10">
        <f>water_ON!AB26 - water_OFF!AB26 - AVERAGE(AB$62:AB$63)</f>
        <v>0.24999999999994316</v>
      </c>
      <c r="AC26" s="10">
        <f>water_ON!AC26 - water_OFF!AC26 - AVERAGE(AC$62:AC$63)</f>
        <v>0.34999999999996589</v>
      </c>
      <c r="AD26" s="10">
        <f>water_ON!AD26 - water_OFF!AD26 - AVERAGE(AD$62:AD$63)</f>
        <v>0.59999999999996589</v>
      </c>
      <c r="AE26" s="10">
        <f>water_ON!AE26 - water_OFF!AE26 - AVERAGE(AE$62:AE$63)</f>
        <v>0.39999999999997726</v>
      </c>
      <c r="AF26" s="10">
        <f>water_ON!AF26 - water_OFF!AF26 - AVERAGE(AF$62:AF$63)</f>
        <v>0</v>
      </c>
      <c r="AG26" s="10">
        <f>water_ON!AG26 - water_OFF!AG26 - AVERAGE(AG$62:AG$63)</f>
        <v>5.0000000000011369E-2</v>
      </c>
      <c r="AH26" s="10">
        <f>water_ON!AH26 - water_OFF!AH26 - AVERAGE(AH$62:AH$63)</f>
        <v>5.2999999999999829</v>
      </c>
      <c r="AI26" s="10">
        <f>water_ON!AI26 - water_OFF!AI26 - AVERAGE(AI$62:AI$63)</f>
        <v>-5.6843418860808015E-14</v>
      </c>
      <c r="AJ26" s="10">
        <f>water_ON!AJ26 - water_OFF!AJ26 - AVERAGE(AJ$62:AJ$63)</f>
        <v>0.19999999999996021</v>
      </c>
      <c r="AK26" s="10">
        <f>water_ON!AK26 - water_OFF!AK26 - AVERAGE(AK$62:AK$63)</f>
        <v>-5.000000000003979E-2</v>
      </c>
      <c r="AL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</row>
    <row r="27" spans="1:65">
      <c r="A27" s="30">
        <v>26</v>
      </c>
      <c r="B27" s="10">
        <f>water_ON!B27 - water_OFF!B27 - AVERAGE(B$62:B$63)</f>
        <v>14.44999999999996</v>
      </c>
      <c r="C27" s="10">
        <f>water_ON!C27 - water_OFF!C27 - AVERAGE(C$62:C$63)</f>
        <v>6.9000000000000057</v>
      </c>
      <c r="D27" s="10">
        <f>water_ON!D27 - water_OFF!D27 - AVERAGE(D$62:D$63)</f>
        <v>12.999999999999972</v>
      </c>
      <c r="E27" s="10">
        <f>water_ON!E27 - water_OFF!E27 - AVERAGE(E$62:E$63)</f>
        <v>9.0999999999999943</v>
      </c>
      <c r="F27" s="10">
        <f>water_ON!F27 - water_OFF!F27 - AVERAGE(F$62:F$63)</f>
        <v>24.249999999999972</v>
      </c>
      <c r="G27" s="10">
        <f>water_ON!G27 - water_OFF!G27 - AVERAGE(G$62:G$63)</f>
        <v>15.600000000000051</v>
      </c>
      <c r="H27" s="10">
        <f>water_ON!H27 - water_OFF!H27 - AVERAGE(H$62:H$63)</f>
        <v>9.7000000000000171</v>
      </c>
      <c r="I27" s="10">
        <f>water_ON!I27 - water_OFF!I27 - AVERAGE(I$62:I$63)</f>
        <v>10.399999999999977</v>
      </c>
      <c r="J27" s="10">
        <f>water_ON!J27 - water_OFF!J27 - AVERAGE(J$62:J$63)</f>
        <v>12.850000000000023</v>
      </c>
      <c r="K27" s="10">
        <f>water_ON!K27 - water_OFF!K27 - AVERAGE(K$62:K$63)</f>
        <v>8.4499999999999886</v>
      </c>
      <c r="L27" s="10">
        <f>water_ON!L27 - water_OFF!L27 - AVERAGE(L$62:L$63)</f>
        <v>8.8999999999999773</v>
      </c>
      <c r="M27" s="10">
        <f>water_ON!M27 - water_OFF!M27 - AVERAGE(M$62:M$63)</f>
        <v>8.3500000000000227</v>
      </c>
      <c r="N27" s="10">
        <f>water_ON!N27 - water_OFF!N27 - AVERAGE(N$62:N$63)</f>
        <v>6.8499999999999943</v>
      </c>
      <c r="O27" s="10">
        <f>water_ON!O27 - water_OFF!O27 - AVERAGE(O$62:O$63)</f>
        <v>10.849999999999966</v>
      </c>
      <c r="P27" s="10">
        <f>water_ON!P27 - water_OFF!P27 - AVERAGE(P$62:P$63)</f>
        <v>7.8499999999999659</v>
      </c>
      <c r="Q27" s="10">
        <f>water_ON!Q27 - water_OFF!Q27 - AVERAGE(Q$62:Q$63)</f>
        <v>4.5999999999999659</v>
      </c>
      <c r="R27" s="10">
        <f>water_ON!R27 - water_OFF!R27 - AVERAGE(R$62:R$63)</f>
        <v>9.3500000000000227</v>
      </c>
      <c r="S27" s="10">
        <f>water_ON!S27 - water_OFF!S27 - AVERAGE(S$62:S$63)</f>
        <v>7.0000000000000853</v>
      </c>
      <c r="T27" s="10">
        <f>water_ON!T27 - water_OFF!T27 - AVERAGE(T$62:T$63)</f>
        <v>6.4999999999999716</v>
      </c>
      <c r="U27" s="10">
        <f>water_ON!U27 - water_OFF!U27 - AVERAGE(U$62:U$63)</f>
        <v>7.7000000000000455</v>
      </c>
      <c r="V27" s="10">
        <f>water_ON!V27 - water_OFF!V27 - AVERAGE(V$62:V$63)</f>
        <v>4.7500000000000284</v>
      </c>
      <c r="W27" s="10">
        <f>water_ON!W27 - water_OFF!W27 - AVERAGE(W$62:W$63)</f>
        <v>5.9500000000000455</v>
      </c>
      <c r="X27" s="10">
        <f>water_ON!X27 - water_OFF!X27 - AVERAGE(X$62:X$63)</f>
        <v>9.0499999999999829</v>
      </c>
      <c r="Y27" s="10">
        <f>water_ON!Y27 - water_OFF!Y27 - AVERAGE(Y$62:Y$63)</f>
        <v>1.5500000000000398</v>
      </c>
      <c r="Z27" s="10">
        <f>water_ON!Z27 - water_OFF!Z27 - AVERAGE(Z$62:Z$63)</f>
        <v>5</v>
      </c>
      <c r="AA27" s="10">
        <f>water_ON!AA27 - water_OFF!AA27 - AVERAGE(AA$62:AA$63)</f>
        <v>2.6000000000000512</v>
      </c>
      <c r="AB27" s="10">
        <f>water_ON!AB27 - water_OFF!AB27 - AVERAGE(AB$62:AB$63)</f>
        <v>3.8499999999999659</v>
      </c>
      <c r="AC27" s="10">
        <f>water_ON!AC27 - water_OFF!AC27 - AVERAGE(AC$62:AC$63)</f>
        <v>2.2499999999999432</v>
      </c>
      <c r="AD27" s="10">
        <f>water_ON!AD27 - water_OFF!AD27 - AVERAGE(AD$62:AD$63)</f>
        <v>7</v>
      </c>
      <c r="AE27" s="10">
        <f>water_ON!AE27 - water_OFF!AE27 - AVERAGE(AE$62:AE$63)</f>
        <v>6.4000000000000341</v>
      </c>
      <c r="AF27" s="10">
        <f>water_ON!AF27 - water_OFF!AF27 - AVERAGE(AF$62:AF$63)</f>
        <v>4.8000000000000114</v>
      </c>
      <c r="AG27" s="10">
        <f>water_ON!AG27 - water_OFF!AG27 - AVERAGE(AG$62:AG$63)</f>
        <v>2.5500000000000114</v>
      </c>
      <c r="AH27" s="10">
        <f>water_ON!AH27 - water_OFF!AH27 - AVERAGE(AH$62:AH$63)</f>
        <v>6.6999999999999602</v>
      </c>
      <c r="AI27" s="10">
        <f>water_ON!AI27 - water_OFF!AI27 - AVERAGE(AI$62:AI$63)</f>
        <v>5.5999999999999659</v>
      </c>
      <c r="AJ27" s="10">
        <f>water_ON!AJ27 - water_OFF!AJ27 - AVERAGE(AJ$62:AJ$63)</f>
        <v>4.2999999999999829</v>
      </c>
      <c r="AK27" s="10">
        <f>water_ON!AK27 - water_OFF!AK27 - AVERAGE(AK$62:AK$63)</f>
        <v>4.1499999999999488</v>
      </c>
      <c r="AL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</row>
    <row r="28" spans="1:65">
      <c r="A28" s="30">
        <v>27</v>
      </c>
      <c r="B28" s="10">
        <f>water_ON!B28 - water_OFF!B28 - AVERAGE(B$62:B$63)</f>
        <v>19.549999999999983</v>
      </c>
      <c r="C28" s="10">
        <f>water_ON!C28 - water_OFF!C28 - AVERAGE(C$62:C$63)</f>
        <v>13.200000000000017</v>
      </c>
      <c r="D28" s="10">
        <f>water_ON!D28 - water_OFF!D28 - AVERAGE(D$62:D$63)</f>
        <v>10.099999999999994</v>
      </c>
      <c r="E28" s="10">
        <f>water_ON!E28 - water_OFF!E28 - AVERAGE(E$62:E$63)</f>
        <v>8.4999999999999716</v>
      </c>
      <c r="F28" s="10">
        <f>water_ON!F28 - water_OFF!F28 - AVERAGE(F$62:F$63)</f>
        <v>22.150000000000006</v>
      </c>
      <c r="G28" s="10">
        <f>water_ON!G28 - water_OFF!G28 - AVERAGE(G$62:G$63)</f>
        <v>5.9000000000000057</v>
      </c>
      <c r="H28" s="10">
        <f>water_ON!H28 - water_OFF!H28 - AVERAGE(H$62:H$63)</f>
        <v>9.6999999999999602</v>
      </c>
      <c r="I28" s="10">
        <f>water_ON!I28 - water_OFF!I28 - AVERAGE(I$62:I$63)</f>
        <v>6.6999999999999886</v>
      </c>
      <c r="J28" s="10">
        <f>water_ON!J28 - water_OFF!J28 - AVERAGE(J$62:J$63)</f>
        <v>5.9499999999999886</v>
      </c>
      <c r="K28" s="10">
        <f>water_ON!K28 - water_OFF!K28 - AVERAGE(K$62:K$63)</f>
        <v>9.6499999999999773</v>
      </c>
      <c r="L28" s="10">
        <f>water_ON!L28 - water_OFF!L28 - AVERAGE(L$62:L$63)</f>
        <v>8.3999999999999773</v>
      </c>
      <c r="M28" s="10">
        <f>water_ON!M28 - water_OFF!M28 - AVERAGE(M$62:M$63)</f>
        <v>7.75</v>
      </c>
      <c r="N28" s="10">
        <f>water_ON!N28 - water_OFF!N28 - AVERAGE(N$62:N$63)</f>
        <v>10.150000000000006</v>
      </c>
      <c r="O28" s="10">
        <f>water_ON!O28 - water_OFF!O28 - AVERAGE(O$62:O$63)</f>
        <v>2.4499999999999886</v>
      </c>
      <c r="P28" s="10">
        <f>water_ON!P28 - water_OFF!P28 - AVERAGE(P$62:P$63)</f>
        <v>7.3500000000000227</v>
      </c>
      <c r="Q28" s="10">
        <f>water_ON!Q28 - water_OFF!Q28 - AVERAGE(Q$62:Q$63)</f>
        <v>7.7999999999999545</v>
      </c>
      <c r="R28" s="10">
        <f>water_ON!R28 - water_OFF!R28 - AVERAGE(R$62:R$63)</f>
        <v>5.5499999999999545</v>
      </c>
      <c r="S28" s="10">
        <f>water_ON!S28 - water_OFF!S28 - AVERAGE(S$62:S$63)</f>
        <v>5.5000000000000284</v>
      </c>
      <c r="T28" s="10">
        <f>water_ON!T28 - water_OFF!T28 - AVERAGE(T$62:T$63)</f>
        <v>3.0999999999999943</v>
      </c>
      <c r="U28" s="10">
        <f>water_ON!U28 - water_OFF!U28 - AVERAGE(U$62:U$63)</f>
        <v>5.2000000000000455</v>
      </c>
      <c r="V28" s="10">
        <f>water_ON!V28 - water_OFF!V28 - AVERAGE(V$62:V$63)</f>
        <v>7.0499999999999829</v>
      </c>
      <c r="W28" s="10">
        <f>water_ON!W28 - water_OFF!W28 - AVERAGE(W$62:W$63)</f>
        <v>1.6499999999999773</v>
      </c>
      <c r="X28" s="10">
        <f>water_ON!X28 - water_OFF!X28 - AVERAGE(X$62:X$63)</f>
        <v>2.5500000000000398</v>
      </c>
      <c r="Y28" s="10">
        <f>water_ON!Y28 - water_OFF!Y28 - AVERAGE(Y$62:Y$63)</f>
        <v>-0.15000000000000568</v>
      </c>
      <c r="Z28" s="10">
        <f>water_ON!Z28 - water_OFF!Z28 - AVERAGE(Z$62:Z$63)</f>
        <v>2.2000000000000455</v>
      </c>
      <c r="AA28" s="10">
        <f>water_ON!AA28 - water_OFF!AA28 - AVERAGE(AA$62:AA$63)</f>
        <v>2.5000000000000853</v>
      </c>
      <c r="AB28" s="10">
        <f>water_ON!AB28 - water_OFF!AB28 - AVERAGE(AB$62:AB$63)</f>
        <v>5.8499999999999659</v>
      </c>
      <c r="AC28" s="10">
        <f>water_ON!AC28 - water_OFF!AC28 - AVERAGE(AC$62:AC$63)</f>
        <v>2.5500000000000114</v>
      </c>
      <c r="AD28" s="10">
        <f>water_ON!AD28 - water_OFF!AD28 - AVERAGE(AD$62:AD$63)</f>
        <v>3.3000000000000114</v>
      </c>
      <c r="AE28" s="10">
        <f>water_ON!AE28 - water_OFF!AE28 - AVERAGE(AE$62:AE$63)</f>
        <v>1.8000000000000114</v>
      </c>
      <c r="AF28" s="10">
        <f>water_ON!AF28 - water_OFF!AF28 - AVERAGE(AF$62:AF$63)</f>
        <v>2.5</v>
      </c>
      <c r="AG28" s="10">
        <f>water_ON!AG28 - water_OFF!AG28 - AVERAGE(AG$62:AG$63)</f>
        <v>0.45000000000004547</v>
      </c>
      <c r="AH28" s="10">
        <f>water_ON!AH28 - water_OFF!AH28 - AVERAGE(AH$62:AH$63)</f>
        <v>2.0999999999999943</v>
      </c>
      <c r="AI28" s="10">
        <f>water_ON!AI28 - water_OFF!AI28 - AVERAGE(AI$62:AI$63)</f>
        <v>1.9999999999999432</v>
      </c>
      <c r="AJ28" s="10">
        <f>water_ON!AJ28 - water_OFF!AJ28 - AVERAGE(AJ$62:AJ$63)</f>
        <v>3.3999999999999488</v>
      </c>
      <c r="AK28" s="10">
        <f>water_ON!AK28 - water_OFF!AK28 - AVERAGE(AK$62:AK$63)</f>
        <v>2.7500000000000284</v>
      </c>
      <c r="AL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</row>
    <row r="29" spans="1:65">
      <c r="A29" s="30">
        <v>28</v>
      </c>
      <c r="B29" s="10">
        <f>water_ON!B29 - water_OFF!B29 - AVERAGE(B$62:B$63)</f>
        <v>10.950000000000017</v>
      </c>
      <c r="C29" s="10">
        <f>water_ON!C29 - water_OFF!C29 - AVERAGE(C$62:C$63)</f>
        <v>12.000000000000028</v>
      </c>
      <c r="D29" s="10">
        <f>water_ON!D29 - water_OFF!D29 - AVERAGE(D$62:D$63)</f>
        <v>9.8000000000000398</v>
      </c>
      <c r="E29" s="10">
        <f>water_ON!E29 - water_OFF!E29 - AVERAGE(E$62:E$63)</f>
        <v>5.9999999999999716</v>
      </c>
      <c r="F29" s="10">
        <f>water_ON!F29 - water_OFF!F29 - AVERAGE(F$62:F$63)</f>
        <v>-0.15000000000000568</v>
      </c>
      <c r="G29" s="10">
        <f>water_ON!G29 - water_OFF!G29 - AVERAGE(G$62:G$63)</f>
        <v>-0.40000000000000568</v>
      </c>
      <c r="H29" s="10">
        <f>water_ON!H29 - water_OFF!H29 - AVERAGE(H$62:H$63)</f>
        <v>-0.40000000000000568</v>
      </c>
      <c r="I29" s="10">
        <f>water_ON!I29 - water_OFF!I29 - AVERAGE(I$62:I$63)</f>
        <v>4.8000000000000114</v>
      </c>
      <c r="J29" s="10">
        <f>water_ON!J29 - water_OFF!J29 - AVERAGE(J$62:J$63)</f>
        <v>19.349999999999966</v>
      </c>
      <c r="K29" s="10">
        <f>water_ON!K29 - water_OFF!K29 - AVERAGE(K$62:K$63)</f>
        <v>7.75</v>
      </c>
      <c r="L29" s="10">
        <f>water_ON!L29 - water_OFF!L29 - AVERAGE(L$62:L$63)</f>
        <v>8.1000000000000227</v>
      </c>
      <c r="M29" s="10">
        <f>water_ON!M29 - water_OFF!M29 - AVERAGE(M$62:M$63)</f>
        <v>12.350000000000023</v>
      </c>
      <c r="N29" s="10">
        <f>water_ON!N29 - water_OFF!N29 - AVERAGE(N$62:N$63)</f>
        <v>7.6499999999999488</v>
      </c>
      <c r="O29" s="10">
        <f>water_ON!O29 - water_OFF!O29 - AVERAGE(O$62:O$63)</f>
        <v>6.25</v>
      </c>
      <c r="P29" s="10">
        <f>water_ON!P29 - water_OFF!P29 - AVERAGE(P$62:P$63)</f>
        <v>6.1500000000000341</v>
      </c>
      <c r="Q29" s="10">
        <f>water_ON!Q29 - water_OFF!Q29 - AVERAGE(Q$62:Q$63)</f>
        <v>8.8999999999999773</v>
      </c>
      <c r="R29" s="10">
        <f>water_ON!R29 - water_OFF!R29 - AVERAGE(R$62:R$63)</f>
        <v>7.25</v>
      </c>
      <c r="S29" s="10">
        <f>water_ON!S29 - water_OFF!S29 - AVERAGE(S$62:S$63)</f>
        <v>6.8000000000000966</v>
      </c>
      <c r="T29" s="10">
        <f>water_ON!T29 - water_OFF!T29 - AVERAGE(T$62:T$63)</f>
        <v>7.0000000000000284</v>
      </c>
      <c r="U29" s="10">
        <f>water_ON!U29 - water_OFF!U29 - AVERAGE(U$62:U$63)</f>
        <v>4.6999999999999886</v>
      </c>
      <c r="V29" s="10">
        <f>water_ON!V29 - water_OFF!V29 - AVERAGE(V$62:V$63)</f>
        <v>3.2499999999999716</v>
      </c>
      <c r="W29" s="10">
        <f>water_ON!W29 - water_OFF!W29 - AVERAGE(W$62:W$63)</f>
        <v>3.1500000000000341</v>
      </c>
      <c r="X29" s="10">
        <f>water_ON!X29 - water_OFF!X29 - AVERAGE(X$62:X$63)</f>
        <v>3.1500000000000057</v>
      </c>
      <c r="Y29" s="10">
        <f>water_ON!Y29 - water_OFF!Y29 - AVERAGE(Y$62:Y$63)</f>
        <v>5.9500000000000171</v>
      </c>
      <c r="Z29" s="10">
        <f>water_ON!Z29 - water_OFF!Z29 - AVERAGE(Z$62:Z$63)</f>
        <v>2.1000000000000227</v>
      </c>
      <c r="AA29" s="10">
        <f>water_ON!AA29 - water_OFF!AA29 - AVERAGE(AA$62:AA$63)</f>
        <v>1.8000000000000398</v>
      </c>
      <c r="AB29" s="10">
        <f>water_ON!AB29 - water_OFF!AB29 - AVERAGE(AB$62:AB$63)</f>
        <v>2.5499999999999545</v>
      </c>
      <c r="AC29" s="10">
        <f>water_ON!AC29 - water_OFF!AC29 - AVERAGE(AC$62:AC$63)</f>
        <v>5.9499999999999318</v>
      </c>
      <c r="AD29" s="10">
        <f>water_ON!AD29 - water_OFF!AD29 - AVERAGE(AD$62:AD$63)</f>
        <v>3.8000000000000114</v>
      </c>
      <c r="AE29" s="10">
        <f>water_ON!AE29 - water_OFF!AE29 - AVERAGE(AE$62:AE$63)</f>
        <v>4.7000000000000455</v>
      </c>
      <c r="AF29" s="10">
        <f>water_ON!AF29 - water_OFF!AF29 - AVERAGE(AF$62:AF$63)</f>
        <v>6.8999999999999773</v>
      </c>
      <c r="AG29" s="10">
        <f>water_ON!AG29 - water_OFF!AG29 - AVERAGE(AG$62:AG$63)</f>
        <v>2.0500000000000114</v>
      </c>
      <c r="AH29" s="10">
        <f>water_ON!AH29 - water_OFF!AH29 - AVERAGE(AH$62:AH$63)</f>
        <v>1.5999999999999943</v>
      </c>
      <c r="AI29" s="10">
        <f>water_ON!AI29 - water_OFF!AI29 - AVERAGE(AI$62:AI$63)</f>
        <v>2.3999999999999773</v>
      </c>
      <c r="AJ29" s="10"/>
      <c r="AK29" s="10">
        <f>water_ON!AK29 - water_OFF!AK29 - AVERAGE(AK$62:AK$63)</f>
        <v>-4.9999999999982947E-2</v>
      </c>
      <c r="AL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</row>
    <row r="30" spans="1:65">
      <c r="A30" s="30">
        <v>29</v>
      </c>
      <c r="B30" s="10">
        <f>water_ON!B30 - water_OFF!B30 - AVERAGE(B$62:B$63)</f>
        <v>38.049999999999983</v>
      </c>
      <c r="C30" s="10">
        <f>water_ON!C30 - water_OFF!C30 - AVERAGE(C$62:C$63)</f>
        <v>28.900000000000063</v>
      </c>
      <c r="D30" s="10">
        <f>water_ON!D30 - water_OFF!D30 - AVERAGE(D$62:D$63)</f>
        <v>32.200000000000017</v>
      </c>
      <c r="E30" s="10">
        <f>water_ON!E30 - water_OFF!E30 - AVERAGE(E$62:E$63)</f>
        <v>34.599999999999994</v>
      </c>
      <c r="F30" s="10">
        <f>water_ON!F30 - water_OFF!F30 - AVERAGE(F$62:F$63)</f>
        <v>36.750000000000028</v>
      </c>
      <c r="G30" s="10">
        <f>water_ON!G30 - water_OFF!G30 - AVERAGE(G$62:G$63)</f>
        <v>33.000000000000028</v>
      </c>
      <c r="H30" s="10">
        <f>water_ON!H30 - water_OFF!H30 - AVERAGE(H$62:H$63)</f>
        <v>33.599999999999994</v>
      </c>
      <c r="I30" s="10">
        <f>water_ON!I30 - water_OFF!I30 - AVERAGE(I$62:I$63)</f>
        <v>33.300000000000011</v>
      </c>
      <c r="J30" s="10">
        <f>water_ON!J30 - water_OFF!J30 - AVERAGE(J$62:J$63)</f>
        <v>32.149999999999977</v>
      </c>
      <c r="K30" s="10">
        <f>water_ON!K30 - water_OFF!K30 - AVERAGE(K$62:K$63)</f>
        <v>32.75</v>
      </c>
      <c r="L30" s="10">
        <f>water_ON!L30 - water_OFF!L30 - AVERAGE(L$62:L$63)</f>
        <v>30.399999999999977</v>
      </c>
      <c r="M30" s="10">
        <f>water_ON!M30 - water_OFF!M30 - AVERAGE(M$62:M$63)</f>
        <v>30.550000000000011</v>
      </c>
      <c r="N30" s="10">
        <f>water_ON!N30 - water_OFF!N30 - AVERAGE(N$62:N$63)</f>
        <v>26.450000000000017</v>
      </c>
      <c r="O30" s="10">
        <f>water_ON!O30 - water_OFF!O30 - AVERAGE(O$62:O$63)</f>
        <v>32.25</v>
      </c>
      <c r="P30" s="10">
        <f>water_ON!P30 - water_OFF!P30 - AVERAGE(P$62:P$63)</f>
        <v>31.149999999999977</v>
      </c>
      <c r="Q30" s="10">
        <f>water_ON!Q30 - water_OFF!Q30 - AVERAGE(Q$62:Q$63)</f>
        <v>27.699999999999989</v>
      </c>
      <c r="R30" s="10">
        <f>water_ON!R30 - water_OFF!R30 - AVERAGE(R$62:R$63)</f>
        <v>31.649999999999977</v>
      </c>
      <c r="S30" s="10">
        <f>water_ON!S30 - water_OFF!S30 - AVERAGE(S$62:S$63)</f>
        <v>31.200000000000074</v>
      </c>
      <c r="T30" s="10">
        <f>water_ON!T30 - water_OFF!T30 - AVERAGE(T$62:T$63)</f>
        <v>26.099999999999994</v>
      </c>
      <c r="U30" s="10">
        <f>water_ON!U30 - water_OFF!U30 - AVERAGE(U$62:U$63)</f>
        <v>28.899999999999977</v>
      </c>
      <c r="V30" s="10">
        <f>water_ON!V30 - water_OFF!V30 - AVERAGE(V$62:V$63)</f>
        <v>24.150000000000006</v>
      </c>
      <c r="W30" s="10">
        <f>water_ON!W30 - water_OFF!W30 - AVERAGE(W$62:W$63)</f>
        <v>28.850000000000023</v>
      </c>
      <c r="X30" s="10">
        <f>water_ON!X30 - water_OFF!X30 - AVERAGE(X$62:X$63)</f>
        <v>27.750000000000028</v>
      </c>
      <c r="Y30" s="10">
        <f>water_ON!Y30 - water_OFF!Y30 - AVERAGE(Y$62:Y$63)</f>
        <v>28.049999999999983</v>
      </c>
      <c r="Z30" s="10">
        <f>water_ON!Z30 - water_OFF!Z30 - AVERAGE(Z$62:Z$63)</f>
        <v>26.300000000000011</v>
      </c>
      <c r="AA30" s="10">
        <f>water_ON!AA30 - water_OFF!AA30 - AVERAGE(AA$62:AA$63)</f>
        <v>25.30000000000004</v>
      </c>
      <c r="AB30" s="10">
        <f>water_ON!AB30 - water_OFF!AB30 - AVERAGE(AB$62:AB$63)</f>
        <v>25.25</v>
      </c>
      <c r="AC30" s="10">
        <f>water_ON!AC30 - water_OFF!AC30 - AVERAGE(AC$62:AC$63)</f>
        <v>27.849999999999966</v>
      </c>
      <c r="AD30" s="10">
        <f>water_ON!AD30 - water_OFF!AD30 - AVERAGE(AD$62:AD$63)</f>
        <v>24.799999999999955</v>
      </c>
      <c r="AE30" s="10">
        <f>water_ON!AE30 - water_OFF!AE30 - AVERAGE(AE$62:AE$63)</f>
        <v>26.300000000000011</v>
      </c>
      <c r="AF30" s="10">
        <f>water_ON!AF30 - water_OFF!AF30 - AVERAGE(AF$62:AF$63)</f>
        <v>23.699999999999989</v>
      </c>
      <c r="AG30" s="10">
        <f>water_ON!AG30 - water_OFF!AG30 - AVERAGE(AG$62:AG$63)</f>
        <v>22.75</v>
      </c>
      <c r="AH30" s="10">
        <f>water_ON!AH30 - water_OFF!AH30 - AVERAGE(AH$62:AH$63)</f>
        <v>22.599999999999994</v>
      </c>
      <c r="AI30" s="10">
        <f>water_ON!AI30 - water_OFF!AI30 - AVERAGE(AI$62:AI$63)</f>
        <v>27.900000000000034</v>
      </c>
      <c r="AJ30" s="10"/>
      <c r="AK30" s="10">
        <f>water_ON!AK30 - water_OFF!AK30 - AVERAGE(AK$62:AK$63)</f>
        <v>28.649999999999949</v>
      </c>
      <c r="AL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</row>
    <row r="31" spans="1:65">
      <c r="A31" s="30">
        <v>30</v>
      </c>
      <c r="B31" s="10">
        <f>water_ON!B31 - water_OFF!B31 - AVERAGE(B$62:B$63)</f>
        <v>32.749999999999972</v>
      </c>
      <c r="C31" s="10">
        <f>water_ON!C31 - water_OFF!C31 - AVERAGE(C$62:C$63)</f>
        <v>-0.20000000000001705</v>
      </c>
      <c r="D31" s="10">
        <f>water_ON!D31 - water_OFF!D31 - AVERAGE(D$62:D$63)</f>
        <v>24.200000000000017</v>
      </c>
      <c r="E31" s="10">
        <f>water_ON!E31 - water_OFF!E31 - AVERAGE(E$62:E$63)</f>
        <v>29.599999999999994</v>
      </c>
      <c r="F31" s="10">
        <f>water_ON!F31 - water_OFF!F31 - AVERAGE(F$62:F$63)</f>
        <v>23.749999999999972</v>
      </c>
      <c r="G31" s="10">
        <f>water_ON!G31 - water_OFF!G31 - AVERAGE(G$62:G$63)</f>
        <v>29.400000000000006</v>
      </c>
      <c r="H31" s="10">
        <f>water_ON!H31 - water_OFF!H31 - AVERAGE(H$62:H$63)</f>
        <v>29.000000000000028</v>
      </c>
      <c r="I31" s="10">
        <f>water_ON!I31 - water_OFF!I31 - AVERAGE(I$62:I$63)</f>
        <v>26.899999999999977</v>
      </c>
      <c r="J31" s="10">
        <f>water_ON!J31 - water_OFF!J31 - AVERAGE(J$62:J$63)</f>
        <v>30.249999999999943</v>
      </c>
      <c r="K31" s="10">
        <f>water_ON!K31 - water_OFF!K31 - AVERAGE(K$62:K$63)</f>
        <v>22.649999999999977</v>
      </c>
      <c r="L31" s="10">
        <f>water_ON!L31 - water_OFF!L31 - AVERAGE(L$62:L$63)</f>
        <v>25.400000000000034</v>
      </c>
      <c r="M31" s="10">
        <f>water_ON!M31 - water_OFF!M31 - AVERAGE(M$62:M$63)</f>
        <v>24.550000000000011</v>
      </c>
      <c r="N31" s="10">
        <f>water_ON!N31 - water_OFF!N31 - AVERAGE(N$62:N$63)</f>
        <v>21.94999999999996</v>
      </c>
      <c r="O31" s="10">
        <f>water_ON!O31 - water_OFF!O31 - AVERAGE(O$62:O$63)</f>
        <v>23.049999999999955</v>
      </c>
      <c r="P31" s="10">
        <f>water_ON!P31 - water_OFF!P31 - AVERAGE(P$62:P$63)</f>
        <v>21.349999999999966</v>
      </c>
      <c r="Q31" s="10">
        <f>water_ON!Q31 - water_OFF!Q31 - AVERAGE(Q$62:Q$63)</f>
        <v>19.199999999999989</v>
      </c>
      <c r="R31" s="10">
        <f>water_ON!R31 - water_OFF!R31 - AVERAGE(R$62:R$63)</f>
        <v>22.850000000000023</v>
      </c>
      <c r="S31" s="10">
        <f>water_ON!S31 - water_OFF!S31 - AVERAGE(S$62:S$63)</f>
        <v>22.30000000000004</v>
      </c>
      <c r="T31" s="10">
        <f>water_ON!T31 - water_OFF!T31 - AVERAGE(T$62:T$63)</f>
        <v>27.499999999999972</v>
      </c>
      <c r="U31" s="10">
        <f>water_ON!U31 - water_OFF!U31 - AVERAGE(U$62:U$63)</f>
        <v>25</v>
      </c>
      <c r="V31" s="10">
        <f>water_ON!V31 - water_OFF!V31 - AVERAGE(V$62:V$63)</f>
        <v>33.049999999999983</v>
      </c>
      <c r="W31" s="10">
        <f>water_ON!W31 - water_OFF!W31 - AVERAGE(W$62:W$63)</f>
        <v>27.649999999999977</v>
      </c>
      <c r="X31" s="10">
        <f>water_ON!X31 - water_OFF!X31 - AVERAGE(X$62:X$63)</f>
        <v>28.850000000000051</v>
      </c>
      <c r="Y31" s="10">
        <f>water_ON!Y31 - water_OFF!Y31 - AVERAGE(Y$62:Y$63)</f>
        <v>38.749999999999972</v>
      </c>
      <c r="Z31" s="10">
        <f>water_ON!Z31 - water_OFF!Z31 - AVERAGE(Z$62:Z$63)</f>
        <v>22.699999999999989</v>
      </c>
      <c r="AA31" s="10">
        <f>water_ON!AA31 - water_OFF!AA31 - AVERAGE(AA$62:AA$63)</f>
        <v>22.700000000000074</v>
      </c>
      <c r="AB31" s="10">
        <f>water_ON!AB31 - water_OFF!AB31 - AVERAGE(AB$62:AB$63)</f>
        <v>27.75</v>
      </c>
      <c r="AC31" s="10">
        <f>water_ON!AC31 - water_OFF!AC31 - AVERAGE(AC$62:AC$63)</f>
        <v>15.649999999999977</v>
      </c>
      <c r="AD31" s="10">
        <f>water_ON!AD31 - water_OFF!AD31 - AVERAGE(AD$62:AD$63)</f>
        <v>26.5</v>
      </c>
      <c r="AE31" s="10">
        <f>water_ON!AE31 - water_OFF!AE31 - AVERAGE(AE$62:AE$63)</f>
        <v>23.299999999999955</v>
      </c>
      <c r="AF31" s="10">
        <f>water_ON!AF31 - water_OFF!AF31 - AVERAGE(AF$62:AF$63)</f>
        <v>23.199999999999989</v>
      </c>
      <c r="AG31" s="10">
        <f>water_ON!AG31 - water_OFF!AG31 - AVERAGE(AG$62:AG$63)</f>
        <v>24.849999999999966</v>
      </c>
      <c r="AH31" s="10">
        <f>water_ON!AH31 - water_OFF!AH31 - AVERAGE(AH$62:AH$63)</f>
        <v>22.899999999999949</v>
      </c>
      <c r="AI31" s="10">
        <f>water_ON!AI31 - water_OFF!AI31 - AVERAGE(AI$62:AI$63)</f>
        <v>26.399999999999977</v>
      </c>
      <c r="AJ31" s="10">
        <f>water_ON!AJ31 - water_OFF!AJ31 - AVERAGE(AJ$62:AJ$63)</f>
        <v>22.299999999999983</v>
      </c>
      <c r="AK31" s="10">
        <f>water_ON!AK31 - water_OFF!AK31 - AVERAGE(AK$62:AK$63)</f>
        <v>24.849999999999994</v>
      </c>
      <c r="AL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</row>
    <row r="32" spans="1:65">
      <c r="A32" s="30">
        <v>31</v>
      </c>
      <c r="B32" s="10">
        <f>water_ON!B32 - water_OFF!B32 - AVERAGE(B$62:B$63)</f>
        <v>21.749999999999972</v>
      </c>
      <c r="C32" s="10">
        <f>water_ON!C32 - water_OFF!C32 - AVERAGE(C$62:C$63)</f>
        <v>-0.29999999999998295</v>
      </c>
      <c r="D32" s="10">
        <f>water_ON!D32 - water_OFF!D32 - AVERAGE(D$62:D$63)</f>
        <v>11.000000000000028</v>
      </c>
      <c r="E32" s="10">
        <f>water_ON!E32 - water_OFF!E32 - AVERAGE(E$62:E$63)</f>
        <v>13.19999999999996</v>
      </c>
      <c r="F32" s="10">
        <f>water_ON!F32 - water_OFF!F32 - AVERAGE(F$62:F$63)</f>
        <v>8.1500000000000057</v>
      </c>
      <c r="G32" s="10">
        <f>water_ON!G32 - water_OFF!G32 - AVERAGE(G$62:G$63)</f>
        <v>19.900000000000006</v>
      </c>
      <c r="H32" s="10">
        <f>water_ON!H32 - water_OFF!H32 - AVERAGE(H$62:H$63)</f>
        <v>13.400000000000006</v>
      </c>
      <c r="I32" s="10">
        <f>water_ON!I32 - water_OFF!I32 - AVERAGE(I$62:I$63)</f>
        <v>13.599999999999966</v>
      </c>
      <c r="J32" s="10">
        <f>water_ON!J32 - water_OFF!J32 - AVERAGE(J$62:J$63)</f>
        <v>15.75</v>
      </c>
      <c r="K32" s="10">
        <f>water_ON!K32 - water_OFF!K32 - AVERAGE(K$62:K$63)</f>
        <v>13.849999999999966</v>
      </c>
      <c r="L32" s="10">
        <f>water_ON!L32 - water_OFF!L32 - AVERAGE(L$62:L$63)</f>
        <v>14.700000000000045</v>
      </c>
      <c r="M32" s="10">
        <f>water_ON!M32 - water_OFF!M32 - AVERAGE(M$62:M$63)</f>
        <v>14.750000000000057</v>
      </c>
      <c r="N32" s="10">
        <f>water_ON!N32 - water_OFF!N32 - AVERAGE(N$62:N$63)</f>
        <v>18.849999999999937</v>
      </c>
      <c r="O32" s="10">
        <f>water_ON!O32 - water_OFF!O32 - AVERAGE(O$62:O$63)</f>
        <v>12.349999999999966</v>
      </c>
      <c r="P32" s="10">
        <f>water_ON!P32 - water_OFF!P32 - AVERAGE(P$62:P$63)</f>
        <v>29.050000000000011</v>
      </c>
      <c r="Q32" s="10">
        <f>water_ON!Q32 - water_OFF!Q32 - AVERAGE(Q$62:Q$63)</f>
        <v>17</v>
      </c>
      <c r="R32" s="10">
        <f>water_ON!R32 - water_OFF!R32 - AVERAGE(R$62:R$63)</f>
        <v>22.350000000000023</v>
      </c>
      <c r="S32" s="10">
        <f>water_ON!S32 - water_OFF!S32 - AVERAGE(S$62:S$63)</f>
        <v>16.30000000000004</v>
      </c>
      <c r="T32" s="10">
        <f>water_ON!T32 - water_OFF!T32 - AVERAGE(T$62:T$63)</f>
        <v>24.799999999999983</v>
      </c>
      <c r="U32" s="10">
        <f>water_ON!U32 - water_OFF!U32 - AVERAGE(U$62:U$63)</f>
        <v>21.5</v>
      </c>
      <c r="V32" s="10">
        <f>water_ON!V32 - water_OFF!V32 - AVERAGE(V$62:V$63)</f>
        <v>32.150000000000006</v>
      </c>
      <c r="W32" s="10">
        <f>water_ON!W32 - water_OFF!W32 - AVERAGE(W$62:W$63)</f>
        <v>16.350000000000023</v>
      </c>
      <c r="X32" s="10">
        <f>water_ON!X32 - water_OFF!X32 - AVERAGE(X$62:X$63)</f>
        <v>23.55000000000004</v>
      </c>
      <c r="Y32" s="10">
        <f>water_ON!Y32 - water_OFF!Y32 - AVERAGE(Y$62:Y$63)</f>
        <v>17.650000000000006</v>
      </c>
      <c r="Z32" s="10">
        <f>water_ON!Z32 - water_OFF!Z32 - AVERAGE(Z$62:Z$63)</f>
        <v>24.899999999999977</v>
      </c>
      <c r="AA32" s="10">
        <f>water_ON!AA32 - water_OFF!AA32 - AVERAGE(AA$62:AA$63)</f>
        <v>12.700000000000074</v>
      </c>
      <c r="AB32" s="10">
        <f>water_ON!AB32 - water_OFF!AB32 - AVERAGE(AB$62:AB$63)</f>
        <v>29.050000000000011</v>
      </c>
      <c r="AC32" s="10">
        <f>water_ON!AC32 - water_OFF!AC32 - AVERAGE(AC$62:AC$63)</f>
        <v>18.550000000000011</v>
      </c>
      <c r="AD32" s="10">
        <f>water_ON!AD32 - water_OFF!AD32 - AVERAGE(AD$62:AD$63)</f>
        <v>26.900000000000034</v>
      </c>
      <c r="AE32" s="10">
        <f>water_ON!AE32 - water_OFF!AE32 - AVERAGE(AE$62:AE$63)</f>
        <v>11.5</v>
      </c>
      <c r="AF32" s="10">
        <f>water_ON!AF32 - water_OFF!AF32 - AVERAGE(AF$62:AF$63)</f>
        <v>25.400000000000034</v>
      </c>
      <c r="AG32" s="10">
        <f>water_ON!AG32 - water_OFF!AG32 - AVERAGE(AG$62:AG$63)</f>
        <v>16.050000000000011</v>
      </c>
      <c r="AH32" s="10">
        <f>water_ON!AH32 - water_OFF!AH32 - AVERAGE(AH$62:AH$63)</f>
        <v>18.799999999999983</v>
      </c>
      <c r="AI32" s="10">
        <f>water_ON!AI32 - water_OFF!AI32 - AVERAGE(AI$62:AI$63)</f>
        <v>10.5</v>
      </c>
      <c r="AJ32" s="10">
        <f>water_ON!AJ32 - water_OFF!AJ32 - AVERAGE(AJ$62:AJ$63)</f>
        <v>32.099999999999994</v>
      </c>
      <c r="AK32" s="10">
        <f>water_ON!AK32 - water_OFF!AK32 - AVERAGE(AK$62:AK$63)</f>
        <v>12.549999999999983</v>
      </c>
      <c r="AL32" s="11"/>
      <c r="AS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</row>
    <row r="33" spans="1:65">
      <c r="A33" s="30">
        <v>32</v>
      </c>
      <c r="B33" s="10">
        <f>water_ON!B33 - water_OFF!B33 - AVERAGE(B$62:B$63)</f>
        <v>34.149999999999949</v>
      </c>
      <c r="C33" s="10">
        <f>water_ON!C33 - water_OFF!C33 - AVERAGE(C$62:C$63)</f>
        <v>-0.40000000000000568</v>
      </c>
      <c r="D33" s="10">
        <f>water_ON!D33 - water_OFF!D33 - AVERAGE(D$62:D$63)</f>
        <v>34.400000000000006</v>
      </c>
      <c r="E33" s="10">
        <f>water_ON!E33 - water_OFF!E33 - AVERAGE(E$62:E$63)</f>
        <v>37.999999999999972</v>
      </c>
      <c r="F33" s="10">
        <f>water_ON!F33 - water_OFF!F33 - AVERAGE(F$62:F$63)</f>
        <v>38.450000000000017</v>
      </c>
      <c r="G33" s="10">
        <f>water_ON!G33 - water_OFF!G33 - AVERAGE(G$62:G$63)</f>
        <v>42.600000000000051</v>
      </c>
      <c r="H33" s="10">
        <f>water_ON!H33 - water_OFF!H33 - AVERAGE(H$62:H$63)</f>
        <v>38.200000000000017</v>
      </c>
      <c r="I33" s="10">
        <f>water_ON!I33 - water_OFF!I33 - AVERAGE(I$62:I$63)</f>
        <v>39.399999999999977</v>
      </c>
      <c r="J33" s="10">
        <f>water_ON!J33 - water_OFF!J33 - AVERAGE(J$62:J$63)</f>
        <v>36.249999999999943</v>
      </c>
      <c r="K33" s="10">
        <f>water_ON!K33 - water_OFF!K33 - AVERAGE(K$62:K$63)</f>
        <v>35.550000000000011</v>
      </c>
      <c r="L33" s="10">
        <f>water_ON!L33 - water_OFF!L33 - AVERAGE(L$62:L$63)</f>
        <v>30.5</v>
      </c>
      <c r="M33" s="10">
        <f>water_ON!M33 - water_OFF!M33 - AVERAGE(M$62:M$63)</f>
        <v>40.75</v>
      </c>
      <c r="N33" s="10">
        <f>water_ON!N33 - water_OFF!N33 - AVERAGE(N$62:N$63)</f>
        <v>26.349999999999994</v>
      </c>
      <c r="O33" s="10">
        <f>water_ON!O33 - water_OFF!O33 - AVERAGE(O$62:O$63)</f>
        <v>33.149999999999977</v>
      </c>
      <c r="P33" s="10">
        <f>water_ON!P33 - water_OFF!P33 - AVERAGE(P$62:P$63)</f>
        <v>27.349999999999966</v>
      </c>
      <c r="Q33" s="10">
        <f>water_ON!Q33 - water_OFF!Q33 - AVERAGE(Q$62:Q$63)</f>
        <v>32.399999999999977</v>
      </c>
      <c r="R33" s="10">
        <f>water_ON!R33 - water_OFF!R33 - AVERAGE(R$62:R$63)</f>
        <v>22.750000000000057</v>
      </c>
      <c r="S33" s="10">
        <f>water_ON!S33 - water_OFF!S33 - AVERAGE(S$62:S$63)</f>
        <v>34.000000000000028</v>
      </c>
      <c r="T33" s="10">
        <f>water_ON!T33 - water_OFF!T33 - AVERAGE(T$62:T$63)</f>
        <v>24.000000000000028</v>
      </c>
      <c r="U33" s="10">
        <f>water_ON!U33 - water_OFF!U33 - AVERAGE(U$62:U$63)</f>
        <v>29.800000000000011</v>
      </c>
      <c r="V33" s="10">
        <f>water_ON!V33 - water_OFF!V33 - AVERAGE(V$62:V$63)</f>
        <v>26.05000000000004</v>
      </c>
      <c r="W33" s="10">
        <f>water_ON!W33 - water_OFF!W33 - AVERAGE(W$62:W$63)</f>
        <v>25.449999999999989</v>
      </c>
      <c r="X33" s="10">
        <f>water_ON!X33 - water_OFF!X33 - AVERAGE(X$62:X$63)</f>
        <v>30.450000000000017</v>
      </c>
      <c r="Y33" s="10">
        <f>water_ON!Y33 - water_OFF!Y33 - AVERAGE(Y$62:Y$63)</f>
        <v>27.150000000000006</v>
      </c>
      <c r="Z33" s="10">
        <f>water_ON!Z33 - water_OFF!Z33 - AVERAGE(Z$62:Z$63)</f>
        <v>25.5</v>
      </c>
      <c r="AA33" s="10">
        <f>water_ON!AA33 - water_OFF!AA33 - AVERAGE(AA$62:AA$63)</f>
        <v>24.900000000000006</v>
      </c>
      <c r="AB33" s="10">
        <f>water_ON!AB33 - water_OFF!AB33 - AVERAGE(AB$62:AB$63)</f>
        <v>30.049999999999955</v>
      </c>
      <c r="AC33" s="10">
        <f>water_ON!AC33 - water_OFF!AC33 - AVERAGE(AC$62:AC$63)</f>
        <v>30.550000000000011</v>
      </c>
      <c r="AD33" s="10">
        <f>water_ON!AD33 - water_OFF!AD33 - AVERAGE(AD$62:AD$63)</f>
        <v>22.699999999999989</v>
      </c>
      <c r="AE33" s="10">
        <f>water_ON!AE33 - water_OFF!AE33 - AVERAGE(AE$62:AE$63)</f>
        <v>33.800000000000011</v>
      </c>
      <c r="AF33" s="10">
        <f>water_ON!AF33 - water_OFF!AF33 - AVERAGE(AF$62:AF$63)</f>
        <v>35.600000000000023</v>
      </c>
      <c r="AG33" s="10">
        <f>water_ON!AG33 - water_OFF!AG33 - AVERAGE(AG$62:AG$63)</f>
        <v>27.649999999999977</v>
      </c>
      <c r="AH33" s="10">
        <f>water_ON!AH33 - water_OFF!AH33 - AVERAGE(AH$62:AH$63)</f>
        <v>20.799999999999983</v>
      </c>
      <c r="AI33" s="10">
        <f>water_ON!AI33 - water_OFF!AI33 - AVERAGE(AI$62:AI$63)</f>
        <v>27.800000000000011</v>
      </c>
      <c r="AJ33" s="10">
        <f>water_ON!AJ33 - water_OFF!AJ33 - AVERAGE(AJ$62:AJ$63)</f>
        <v>23.999999999999972</v>
      </c>
      <c r="AK33" s="10">
        <f>water_ON!AK33 - water_OFF!AK33 - AVERAGE(AK$62:AK$63)</f>
        <v>29.349999999999937</v>
      </c>
      <c r="AL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</row>
    <row r="34" spans="1:65">
      <c r="A34" s="30">
        <v>33</v>
      </c>
      <c r="B34" s="10">
        <f>water_ON!B34 - water_OFF!B34 - AVERAGE(B$62:B$63)</f>
        <v>14.549999999999983</v>
      </c>
      <c r="C34" s="10">
        <f>water_ON!C34 - water_OFF!C34 - AVERAGE(C$62:C$63)</f>
        <v>20.80000000000004</v>
      </c>
      <c r="D34" s="10">
        <f>water_ON!D34 - water_OFF!D34 - AVERAGE(D$62:D$63)</f>
        <v>15.599999999999994</v>
      </c>
      <c r="E34" s="10">
        <f>water_ON!E34 - water_OFF!E34 - AVERAGE(E$62:E$63)</f>
        <v>10.700000000000017</v>
      </c>
      <c r="F34" s="10">
        <f>water_ON!F34 - water_OFF!F34 - AVERAGE(F$62:F$63)</f>
        <v>6.7500000000000284</v>
      </c>
      <c r="G34" s="10">
        <f>water_ON!G34 - water_OFF!G34 - AVERAGE(G$62:G$63)</f>
        <v>11.700000000000017</v>
      </c>
      <c r="H34" s="10">
        <f>water_ON!H34 - water_OFF!H34 - AVERAGE(H$62:H$63)</f>
        <v>11.799999999999983</v>
      </c>
      <c r="I34" s="10">
        <f>water_ON!I34 - water_OFF!I34 - AVERAGE(I$62:I$63)</f>
        <v>7.6999999999999886</v>
      </c>
      <c r="J34" s="10">
        <f>water_ON!J34 - water_OFF!J34 - AVERAGE(J$62:J$63)</f>
        <v>8.1499999999999773</v>
      </c>
      <c r="K34" s="10">
        <f>water_ON!K34 - water_OFF!K34 - AVERAGE(K$62:K$63)</f>
        <v>3.9499999999999886</v>
      </c>
      <c r="L34" s="10">
        <f>water_ON!L34 - water_OFF!L34 - AVERAGE(L$62:L$63)</f>
        <v>7.5</v>
      </c>
      <c r="M34" s="10">
        <f>water_ON!M34 - water_OFF!M34 - AVERAGE(M$62:M$63)</f>
        <v>4.5500000000000114</v>
      </c>
      <c r="N34" s="10">
        <f>water_ON!N34 - water_OFF!N34 - AVERAGE(N$62:N$63)</f>
        <v>1.9500000000000171</v>
      </c>
      <c r="O34" s="10">
        <f>water_ON!O34 - water_OFF!O34 - AVERAGE(O$62:O$63)</f>
        <v>7.4499999999999886</v>
      </c>
      <c r="P34" s="10">
        <f>water_ON!P34 - water_OFF!P34 - AVERAGE(P$62:P$63)</f>
        <v>5.5500000000000114</v>
      </c>
      <c r="Q34" s="10">
        <f>water_ON!Q34 - water_OFF!Q34 - AVERAGE(Q$62:Q$63)</f>
        <v>4.5</v>
      </c>
      <c r="R34" s="10">
        <f>water_ON!R34 - water_OFF!R34 - AVERAGE(R$62:R$63)</f>
        <v>2.1500000000000341</v>
      </c>
      <c r="S34" s="10">
        <f>water_ON!S34 - water_OFF!S34 - AVERAGE(S$62:S$63)</f>
        <v>3.8000000000000398</v>
      </c>
      <c r="T34" s="10">
        <f>water_ON!T34 - water_OFF!T34 - AVERAGE(T$62:T$63)</f>
        <v>3.2999999999999829</v>
      </c>
      <c r="U34" s="10">
        <f>water_ON!U34 - water_OFF!U34 - AVERAGE(U$62:U$63)</f>
        <v>11.300000000000011</v>
      </c>
      <c r="V34" s="10">
        <f>water_ON!V34 - water_OFF!V34 - AVERAGE(V$62:V$63)</f>
        <v>4.1500000000000057</v>
      </c>
      <c r="W34" s="10">
        <f>water_ON!W34 - water_OFF!W34 - AVERAGE(W$62:W$63)</f>
        <v>1.5500000000000114</v>
      </c>
      <c r="X34" s="10">
        <f>water_ON!X34 - water_OFF!X34 - AVERAGE(X$62:X$63)</f>
        <v>5.0500000000000398</v>
      </c>
      <c r="Y34" s="10">
        <f>water_ON!Y34 - water_OFF!Y34 - AVERAGE(Y$62:Y$63)</f>
        <v>2.4500000000000171</v>
      </c>
      <c r="Z34" s="10">
        <f>water_ON!Z34 - water_OFF!Z34 - AVERAGE(Z$62:Z$63)</f>
        <v>2.5</v>
      </c>
      <c r="AA34" s="10">
        <f>water_ON!AA34 - water_OFF!AA34 - AVERAGE(AA$62:AA$63)</f>
        <v>4.0000000000000284</v>
      </c>
      <c r="AB34" s="10">
        <f>water_ON!AB34 - water_OFF!AB34 - AVERAGE(AB$62:AB$63)</f>
        <v>4.1499999999999773</v>
      </c>
      <c r="AC34" s="10">
        <f>water_ON!AC34 - water_OFF!AC34 - AVERAGE(AC$62:AC$63)</f>
        <v>0.34999999999996589</v>
      </c>
      <c r="AD34" s="10">
        <f>water_ON!AD34 - water_OFF!AD34 - AVERAGE(AD$62:AD$63)</f>
        <v>1.6999999999999886</v>
      </c>
      <c r="AE34" s="10">
        <f>water_ON!AE34 - water_OFF!AE34 - AVERAGE(AE$62:AE$63)</f>
        <v>1.1999999999999886</v>
      </c>
      <c r="AF34" s="10">
        <f>water_ON!AF34 - water_OFF!AF34 - AVERAGE(AF$62:AF$63)</f>
        <v>1.5</v>
      </c>
      <c r="AG34" s="10">
        <f>water_ON!AG34 - water_OFF!AG34 - AVERAGE(AG$62:AG$63)</f>
        <v>2.9500000000000455</v>
      </c>
      <c r="AH34" s="10">
        <f>water_ON!AH34 - water_OFF!AH34 - AVERAGE(AH$62:AH$63)</f>
        <v>3.7999999999999829</v>
      </c>
      <c r="AI34" s="10">
        <f>water_ON!AI34 - water_OFF!AI34 - AVERAGE(AI$62:AI$63)</f>
        <v>2.3999999999999773</v>
      </c>
      <c r="AJ34" s="10">
        <f>water_ON!AJ34 - water_OFF!AJ34 - AVERAGE(AJ$62:AJ$63)</f>
        <v>4.0000000000000284</v>
      </c>
      <c r="AK34" s="10">
        <f>water_ON!AK34 - water_OFF!AK34 - AVERAGE(AK$62:AK$63)</f>
        <v>3.8499999999999943</v>
      </c>
      <c r="AL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</row>
    <row r="35" spans="1:65">
      <c r="A35" s="30">
        <v>34</v>
      </c>
      <c r="B35" s="10">
        <f>water_ON!B35 - water_OFF!B35 - AVERAGE(B$62:B$63)</f>
        <v>2.9499999999999602</v>
      </c>
      <c r="C35" s="10">
        <f>water_ON!C35 - water_OFF!C35 - AVERAGE(C$62:C$63)</f>
        <v>7.5000000000000284</v>
      </c>
      <c r="D35" s="10">
        <f>water_ON!D35 - water_OFF!D35 - AVERAGE(D$62:D$63)</f>
        <v>7.7000000000000171</v>
      </c>
      <c r="E35" s="10">
        <f>water_ON!E35 - water_OFF!E35 - AVERAGE(E$62:E$63)</f>
        <v>5.9000000000000057</v>
      </c>
      <c r="F35" s="10">
        <f>water_ON!F35 - water_OFF!F35 - AVERAGE(F$62:F$63)</f>
        <v>5.1500000000000057</v>
      </c>
      <c r="G35" s="10">
        <f>water_ON!G35 - water_OFF!G35 - AVERAGE(G$62:G$63)</f>
        <v>6.1000000000000512</v>
      </c>
      <c r="H35" s="10">
        <f>water_ON!H35 - water_OFF!H35 - AVERAGE(H$62:H$63)</f>
        <v>4.3999999999999488</v>
      </c>
      <c r="I35" s="10">
        <f>water_ON!I35 - water_OFF!I35 - AVERAGE(I$62:I$63)</f>
        <v>6.1000000000000227</v>
      </c>
      <c r="J35" s="10">
        <f>water_ON!J35 - water_OFF!J35 - AVERAGE(J$62:J$63)</f>
        <v>1.6499999999999773</v>
      </c>
      <c r="K35" s="10">
        <f>water_ON!K35 - water_OFF!K35 - AVERAGE(K$62:K$63)</f>
        <v>3.75</v>
      </c>
      <c r="L35" s="10">
        <f>water_ON!L35 - water_OFF!L35 - AVERAGE(L$62:L$63)</f>
        <v>5.9000000000000341</v>
      </c>
      <c r="M35" s="10">
        <f>water_ON!M35 - water_OFF!M35 - AVERAGE(M$62:M$63)</f>
        <v>3.4499999999999886</v>
      </c>
      <c r="N35" s="10">
        <f>water_ON!N35 - water_OFF!N35 - AVERAGE(N$62:N$63)</f>
        <v>4.9499999999999602</v>
      </c>
      <c r="O35" s="10">
        <f>water_ON!O35 - water_OFF!O35 - AVERAGE(O$62:O$63)</f>
        <v>3.8499999999999659</v>
      </c>
      <c r="P35" s="10">
        <f>water_ON!P35 - water_OFF!P35 - AVERAGE(P$62:P$63)</f>
        <v>5.0500000000000114</v>
      </c>
      <c r="Q35" s="10">
        <f>water_ON!Q35 - water_OFF!Q35 - AVERAGE(Q$62:Q$63)</f>
        <v>3.6000000000000227</v>
      </c>
      <c r="R35" s="10">
        <f>water_ON!R35 - water_OFF!R35 - AVERAGE(R$62:R$63)</f>
        <v>7.0500000000000114</v>
      </c>
      <c r="S35" s="10">
        <f>water_ON!S35 - water_OFF!S35 - AVERAGE(S$62:S$63)</f>
        <v>9.0000000000000853</v>
      </c>
      <c r="T35" s="10">
        <f>water_ON!T35 - water_OFF!T35 - AVERAGE(T$62:T$63)</f>
        <v>8.8000000000000398</v>
      </c>
      <c r="U35" s="10">
        <f>water_ON!U35 - water_OFF!U35 - AVERAGE(U$62:U$63)</f>
        <v>3.6000000000000227</v>
      </c>
      <c r="V35" s="10">
        <f>water_ON!V35 - water_OFF!V35 - AVERAGE(V$62:V$63)</f>
        <v>7.2500000000000284</v>
      </c>
      <c r="W35" s="10">
        <f>water_ON!W35 - water_OFF!W35 - AVERAGE(W$62:W$63)</f>
        <v>5.0500000000000114</v>
      </c>
      <c r="X35" s="10">
        <f>water_ON!X35 - water_OFF!X35 - AVERAGE(X$62:X$63)</f>
        <v>22.650000000000063</v>
      </c>
      <c r="Y35" s="10">
        <f>water_ON!Y35 - water_OFF!Y35 - AVERAGE(Y$62:Y$63)</f>
        <v>3.0499999999999829</v>
      </c>
      <c r="Z35" s="10">
        <f>water_ON!Z35 - water_OFF!Z35 - AVERAGE(Z$62:Z$63)</f>
        <v>7.1999999999999886</v>
      </c>
      <c r="AA35" s="10">
        <f>water_ON!AA35 - water_OFF!AA35 - AVERAGE(AA$62:AA$63)</f>
        <v>4.0000000000000284</v>
      </c>
      <c r="AB35" s="10">
        <f>water_ON!AB35 - water_OFF!AB35 - AVERAGE(AB$62:AB$63)</f>
        <v>6.5499999999999545</v>
      </c>
      <c r="AC35" s="10">
        <f>water_ON!AC35 - water_OFF!AC35 - AVERAGE(AC$62:AC$63)</f>
        <v>2.8499999999999659</v>
      </c>
      <c r="AD35" s="10">
        <f>water_ON!AD35 - water_OFF!AD35 - AVERAGE(AD$62:AD$63)</f>
        <v>1.1999999999999886</v>
      </c>
      <c r="AE35" s="10">
        <f>water_ON!AE35 - water_OFF!AE35 - AVERAGE(AE$62:AE$63)</f>
        <v>7.5</v>
      </c>
      <c r="AF35" s="10">
        <f>water_ON!AF35 - water_OFF!AF35 - AVERAGE(AF$62:AF$63)</f>
        <v>7.4000000000000341</v>
      </c>
      <c r="AG35" s="10">
        <f>water_ON!AG35 - water_OFF!AG35 - AVERAGE(AG$62:AG$63)</f>
        <v>4.0500000000000114</v>
      </c>
      <c r="AH35" s="10">
        <f>water_ON!AH35 - water_OFF!AH35 - AVERAGE(AH$62:AH$63)</f>
        <v>4.5999999999999943</v>
      </c>
      <c r="AI35" s="10">
        <f>water_ON!AI35 - water_OFF!AI35 - AVERAGE(AI$62:AI$63)</f>
        <v>4.5</v>
      </c>
      <c r="AJ35" s="10">
        <f>water_ON!AJ35 - water_OFF!AJ35 - AVERAGE(AJ$62:AJ$63)</f>
        <v>3.4000000000000057</v>
      </c>
      <c r="AK35" s="10">
        <f>water_ON!AK35 - water_OFF!AK35 - AVERAGE(AK$62:AK$63)</f>
        <v>2.8499999999999943</v>
      </c>
      <c r="AL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</row>
    <row r="36" spans="1:65">
      <c r="A36" s="30">
        <v>35</v>
      </c>
      <c r="B36" s="10">
        <f>water_ON!B36 - water_OFF!B36 - AVERAGE(B$62:B$63)</f>
        <v>14.749999999999972</v>
      </c>
      <c r="C36" s="10">
        <f>water_ON!C36 - water_OFF!C36 - AVERAGE(C$62:C$63)</f>
        <v>7.2000000000000171</v>
      </c>
      <c r="D36" s="10">
        <f>water_ON!D36 - water_OFF!D36 - AVERAGE(D$62:D$63)</f>
        <v>8.7000000000000171</v>
      </c>
      <c r="E36" s="10">
        <f>water_ON!E36 - water_OFF!E36 - AVERAGE(E$62:E$63)</f>
        <v>7.2000000000000171</v>
      </c>
      <c r="F36" s="10">
        <f>water_ON!F36 - water_OFF!F36 - AVERAGE(F$62:F$63)</f>
        <v>8.9500000000000171</v>
      </c>
      <c r="G36" s="10">
        <f>water_ON!G36 - water_OFF!G36 - AVERAGE(G$62:G$63)</f>
        <v>6.9999999999999716</v>
      </c>
      <c r="H36" s="10">
        <f>water_ON!H36 - water_OFF!H36 - AVERAGE(H$62:H$63)</f>
        <v>10.799999999999983</v>
      </c>
      <c r="I36" s="10">
        <f>water_ON!I36 - water_OFF!I36 - AVERAGE(I$62:I$63)</f>
        <v>8.5999999999999659</v>
      </c>
      <c r="J36" s="10">
        <f>water_ON!J36 - water_OFF!J36 - AVERAGE(J$62:J$63)</f>
        <v>5.4499999999999318</v>
      </c>
      <c r="K36" s="10">
        <f>water_ON!K36 - water_OFF!K36 - AVERAGE(K$62:K$63)</f>
        <v>8.9500000000000455</v>
      </c>
      <c r="L36" s="10">
        <f>water_ON!L36 - water_OFF!L36 - AVERAGE(L$62:L$63)</f>
        <v>5.1999999999999886</v>
      </c>
      <c r="M36" s="10">
        <f>water_ON!M36 - water_OFF!M36 - AVERAGE(M$62:M$63)</f>
        <v>8.25</v>
      </c>
      <c r="N36" s="10">
        <f>water_ON!N36 - water_OFF!N36 - AVERAGE(N$62:N$63)</f>
        <v>4.1500000000000057</v>
      </c>
      <c r="O36" s="10">
        <f>water_ON!O36 - water_OFF!O36 - AVERAGE(O$62:O$63)</f>
        <v>6.6499999999999773</v>
      </c>
      <c r="P36" s="10">
        <f>water_ON!P36 - water_OFF!P36 - AVERAGE(P$62:P$63)</f>
        <v>4.6499999999999773</v>
      </c>
      <c r="Q36" s="10">
        <f>water_ON!Q36 - water_OFF!Q36 - AVERAGE(Q$62:Q$63)</f>
        <v>6.8999999999999773</v>
      </c>
      <c r="R36" s="10">
        <f>water_ON!R36 - water_OFF!R36 - AVERAGE(R$62:R$63)</f>
        <v>3.4500000000000455</v>
      </c>
      <c r="S36" s="10">
        <f>water_ON!S36 - water_OFF!S36 - AVERAGE(S$62:S$63)</f>
        <v>3.8000000000000966</v>
      </c>
      <c r="T36" s="10">
        <f>water_ON!T36 - water_OFF!T36 - AVERAGE(T$62:T$63)</f>
        <v>3.7999999999999829</v>
      </c>
      <c r="U36" s="10">
        <f>water_ON!U36 - water_OFF!U36 - AVERAGE(U$62:U$63)</f>
        <v>5.5</v>
      </c>
      <c r="V36" s="10">
        <f>water_ON!V36 - water_OFF!V36 - AVERAGE(V$62:V$63)</f>
        <v>7.2500000000000284</v>
      </c>
      <c r="W36" s="10">
        <f>water_ON!W36 - water_OFF!W36 - AVERAGE(W$62:W$63)</f>
        <v>2.9500000000000455</v>
      </c>
      <c r="X36" s="10">
        <f>water_ON!X36 - water_OFF!X36 - AVERAGE(X$62:X$63)</f>
        <v>5.9500000000000171</v>
      </c>
      <c r="Y36" s="10">
        <f>water_ON!Y36 - water_OFF!Y36 - AVERAGE(Y$62:Y$63)</f>
        <v>3.5500000000000398</v>
      </c>
      <c r="Z36" s="10">
        <f>water_ON!Z36 - water_OFF!Z36 - AVERAGE(Z$62:Z$63)</f>
        <v>8.5999999999999659</v>
      </c>
      <c r="AA36" s="10">
        <f>water_ON!AA36 - water_OFF!AA36 - AVERAGE(AA$62:AA$63)</f>
        <v>5.9000000000000057</v>
      </c>
      <c r="AB36" s="10">
        <f>water_ON!AB36 - water_OFF!AB36 - AVERAGE(AB$62:AB$63)</f>
        <v>4.5500000000000114</v>
      </c>
      <c r="AC36" s="10">
        <f>water_ON!AC36 - water_OFF!AC36 - AVERAGE(AC$62:AC$63)</f>
        <v>7.4499999999999886</v>
      </c>
      <c r="AD36" s="10">
        <f>water_ON!AD36 - water_OFF!AD36 - AVERAGE(AD$62:AD$63)</f>
        <v>4.9000000000000341</v>
      </c>
      <c r="AE36" s="10">
        <f>water_ON!AE36 - water_OFF!AE36 - AVERAGE(AE$62:AE$63)</f>
        <v>4.3999999999999773</v>
      </c>
      <c r="AF36" s="10">
        <f>water_ON!AF36 - water_OFF!AF36 - AVERAGE(AF$62:AF$63)</f>
        <v>6</v>
      </c>
      <c r="AG36" s="10">
        <f>water_ON!AG36 - water_OFF!AG36 - AVERAGE(AG$62:AG$63)</f>
        <v>1.4500000000000455</v>
      </c>
      <c r="AH36" s="10">
        <f>water_ON!AH36 - water_OFF!AH36 - AVERAGE(AH$62:AH$63)</f>
        <v>5.1999999999999602</v>
      </c>
      <c r="AI36" s="10">
        <f>water_ON!AI36 - water_OFF!AI36 - AVERAGE(AI$62:AI$63)</f>
        <v>5.3999999999999773</v>
      </c>
      <c r="AJ36" s="10">
        <f>water_ON!AJ36 - water_OFF!AJ36 - AVERAGE(AJ$62:AJ$63)</f>
        <v>6.7000000000000171</v>
      </c>
      <c r="AK36" s="10">
        <f>water_ON!AK36 - water_OFF!AK36 - AVERAGE(AK$62:AK$63)</f>
        <v>6.8499999999999375</v>
      </c>
      <c r="AL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</row>
    <row r="37" spans="1:65">
      <c r="A37" s="30">
        <v>36</v>
      </c>
      <c r="B37" s="10">
        <f>water_ON!B37 - water_OFF!B37 - AVERAGE(B$62:B$63)</f>
        <v>10.450000000000017</v>
      </c>
      <c r="C37" s="10">
        <f>water_ON!C37 - water_OFF!C37 - AVERAGE(C$62:C$63)</f>
        <v>-0.29999999999998295</v>
      </c>
      <c r="D37" s="10">
        <f>water_ON!D37 - water_OFF!D37 - AVERAGE(D$62:D$63)</f>
        <v>6.1000000000000512</v>
      </c>
      <c r="E37" s="10">
        <f>water_ON!E37 - water_OFF!E37 - AVERAGE(E$62:E$63)</f>
        <v>12.69999999999996</v>
      </c>
      <c r="F37" s="10">
        <f>water_ON!F37 - water_OFF!F37 - AVERAGE(F$62:F$63)</f>
        <v>8.7499999999999716</v>
      </c>
      <c r="G37" s="10">
        <f>water_ON!G37 - water_OFF!G37 - AVERAGE(G$62:G$63)</f>
        <v>12.500000000000028</v>
      </c>
      <c r="H37" s="10">
        <f>water_ON!H37 - water_OFF!H37 - AVERAGE(H$62:H$63)</f>
        <v>9.2999999999999829</v>
      </c>
      <c r="I37" s="10">
        <f>water_ON!I37 - water_OFF!I37 - AVERAGE(I$62:I$63)</f>
        <v>3.1999999999999886</v>
      </c>
      <c r="J37" s="10">
        <f>water_ON!J37 - water_OFF!J37 - AVERAGE(J$62:J$63)</f>
        <v>5.4499999999999886</v>
      </c>
      <c r="K37" s="10">
        <f>water_ON!K37 - water_OFF!K37 - AVERAGE(K$62:K$63)</f>
        <v>5.3500000000000227</v>
      </c>
      <c r="L37" s="10">
        <f>water_ON!L37 - water_OFF!L37 - AVERAGE(L$62:L$63)</f>
        <v>7.5</v>
      </c>
      <c r="M37" s="10">
        <f>water_ON!M37 - water_OFF!M37 - AVERAGE(M$62:M$63)</f>
        <v>7.6500000000000341</v>
      </c>
      <c r="N37" s="10">
        <f>water_ON!N37 - water_OFF!N37 - AVERAGE(N$62:N$63)</f>
        <v>21.150000000000006</v>
      </c>
      <c r="O37" s="10">
        <f>water_ON!O37 - water_OFF!O37 - AVERAGE(O$62:O$63)</f>
        <v>4.7499999999999432</v>
      </c>
      <c r="P37" s="10">
        <f>water_ON!P37 - water_OFF!P37 - AVERAGE(P$62:P$63)</f>
        <v>5.4499999999999886</v>
      </c>
      <c r="Q37" s="10">
        <f>water_ON!Q37 - water_OFF!Q37 - AVERAGE(Q$62:Q$63)</f>
        <v>9.6999999999999886</v>
      </c>
      <c r="R37" s="10">
        <f>water_ON!R37 - water_OFF!R37 - AVERAGE(R$62:R$63)</f>
        <v>3.9500000000000455</v>
      </c>
      <c r="S37" s="10">
        <f>water_ON!S37 - water_OFF!S37 - AVERAGE(S$62:S$63)</f>
        <v>2.8000000000000966</v>
      </c>
      <c r="T37" s="10">
        <f>water_ON!T37 - water_OFF!T37 - AVERAGE(T$62:T$63)</f>
        <v>3.4000000000000057</v>
      </c>
      <c r="U37" s="10">
        <f>water_ON!U37 - water_OFF!U37 - AVERAGE(U$62:U$63)</f>
        <v>1.1999999999999886</v>
      </c>
      <c r="V37" s="10">
        <f>water_ON!V37 - water_OFF!V37 - AVERAGE(V$62:V$63)</f>
        <v>5.000000000003979E-2</v>
      </c>
      <c r="W37" s="10">
        <f>water_ON!W37 - water_OFF!W37 - AVERAGE(W$62:W$63)</f>
        <v>1.5500000000000114</v>
      </c>
      <c r="X37" s="10">
        <f>water_ON!X37 - water_OFF!X37 - AVERAGE(X$62:X$63)</f>
        <v>0.25000000000002842</v>
      </c>
      <c r="Y37" s="10">
        <f>water_ON!Y37 - water_OFF!Y37 - AVERAGE(Y$62:Y$63)</f>
        <v>4.9999999999982947E-2</v>
      </c>
      <c r="Z37" s="10">
        <f>water_ON!Z37 - water_OFF!Z37 - AVERAGE(Z$62:Z$63)</f>
        <v>0</v>
      </c>
      <c r="AA37" s="10">
        <f>water_ON!AA37 - water_OFF!AA37 - AVERAGE(AA$62:AA$63)</f>
        <v>9.9999999999994316E-2</v>
      </c>
      <c r="AB37" s="10">
        <f>water_ON!AB37 - water_OFF!AB37 - AVERAGE(AB$62:AB$63)</f>
        <v>3.25</v>
      </c>
      <c r="AC37" s="10">
        <f>water_ON!AC37 - water_OFF!AC37 - AVERAGE(AC$62:AC$63)</f>
        <v>0.44999999999993179</v>
      </c>
      <c r="AD37" s="10">
        <f>water_ON!AD37 - water_OFF!AD37 - AVERAGE(AD$62:AD$63)</f>
        <v>0.19999999999998863</v>
      </c>
      <c r="AE37" s="10">
        <f>water_ON!AE37 - water_OFF!AE37 - AVERAGE(AE$62:AE$63)</f>
        <v>0.19999999999998863</v>
      </c>
      <c r="AF37" s="10">
        <f>water_ON!AF37 - water_OFF!AF37 - AVERAGE(AF$62:AF$63)</f>
        <v>5.8999999999999773</v>
      </c>
      <c r="AG37" s="10">
        <f>water_ON!AG37 - water_OFF!AG37 - AVERAGE(AG$62:AG$63)</f>
        <v>0.25</v>
      </c>
      <c r="AH37" s="10">
        <f>water_ON!AH37 - water_OFF!AH37 - AVERAGE(AH$62:AH$63)</f>
        <v>-0.40000000000000568</v>
      </c>
      <c r="AI37" s="10">
        <f>water_ON!AI37 - water_OFF!AI37 - AVERAGE(AI$62:AI$63)</f>
        <v>0</v>
      </c>
      <c r="AJ37" s="10">
        <f>water_ON!AJ37 - water_OFF!AJ37 - AVERAGE(AJ$62:AJ$63)</f>
        <v>0.20000000000001705</v>
      </c>
      <c r="AK37" s="10">
        <f>water_ON!AK37 - water_OFF!AK37 - AVERAGE(AK$62:AK$63)</f>
        <v>4.9999999999982947E-2</v>
      </c>
      <c r="AL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</row>
    <row r="38" spans="1:65">
      <c r="A38" s="30">
        <v>37</v>
      </c>
      <c r="B38" s="10">
        <f>water_ON!B38 - water_OFF!B38 - AVERAGE(B$62:B$63)</f>
        <v>6.0499999999999829</v>
      </c>
      <c r="C38" s="10">
        <f>water_ON!C38 - water_OFF!C38 - AVERAGE(C$62:C$63)</f>
        <v>6.7000000000000171</v>
      </c>
      <c r="D38" s="10">
        <f>water_ON!D38 - water_OFF!D38 - AVERAGE(D$62:D$63)</f>
        <v>2.0999999999999943</v>
      </c>
      <c r="E38" s="10">
        <f>water_ON!E38 - water_OFF!E38 - AVERAGE(E$62:E$63)</f>
        <v>6.4999999999999716</v>
      </c>
      <c r="F38" s="10">
        <f>water_ON!F38 - water_OFF!F38 - AVERAGE(F$62:F$63)</f>
        <v>3.6499999999999488</v>
      </c>
      <c r="G38" s="10">
        <f>water_ON!G38 - water_OFF!G38 - AVERAGE(G$62:G$63)</f>
        <v>0.60000000000005116</v>
      </c>
      <c r="H38" s="10">
        <f>water_ON!H38 - water_OFF!H38 - AVERAGE(H$62:H$63)</f>
        <v>2.5000000000000284</v>
      </c>
      <c r="I38" s="10">
        <f>water_ON!I38 - water_OFF!I38 - AVERAGE(I$62:I$63)</f>
        <v>4.0999999999999659</v>
      </c>
      <c r="J38" s="10">
        <f>water_ON!J38 - water_OFF!J38 - AVERAGE(J$62:J$63)</f>
        <v>1.3499999999999659</v>
      </c>
      <c r="K38" s="10">
        <f>water_ON!K38 - water_OFF!K38 - AVERAGE(K$62:K$63)</f>
        <v>0.35000000000002274</v>
      </c>
      <c r="L38" s="10">
        <f>water_ON!L38 - water_OFF!L38 - AVERAGE(L$62:L$63)</f>
        <v>4.2000000000000455</v>
      </c>
      <c r="M38" s="10">
        <f>water_ON!M38 - water_OFF!M38 - AVERAGE(M$62:M$63)</f>
        <v>1.0500000000000114</v>
      </c>
      <c r="N38" s="10">
        <f>water_ON!N38 - water_OFF!N38 - AVERAGE(N$62:N$63)</f>
        <v>3.3499999999999943</v>
      </c>
      <c r="O38" s="10">
        <f>water_ON!O38 - water_OFF!O38 - AVERAGE(O$62:O$63)</f>
        <v>0.55000000000001137</v>
      </c>
      <c r="P38" s="10">
        <f>water_ON!P38 - water_OFF!P38 - AVERAGE(P$62:P$63)</f>
        <v>5.0000000000011369E-2</v>
      </c>
      <c r="Q38" s="10">
        <f>water_ON!Q38 - water_OFF!Q38 - AVERAGE(Q$62:Q$63)</f>
        <v>0.39999999999997726</v>
      </c>
      <c r="R38" s="10">
        <f>water_ON!R38 - water_OFF!R38 - AVERAGE(R$62:R$63)</f>
        <v>2.1499999999999773</v>
      </c>
      <c r="S38" s="10">
        <f>water_ON!S38 - water_OFF!S38 - AVERAGE(S$62:S$63)</f>
        <v>2.8421709430404007E-14</v>
      </c>
      <c r="T38" s="10">
        <f>water_ON!T38 - water_OFF!T38 - AVERAGE(T$62:T$63)</f>
        <v>0.59999999999999432</v>
      </c>
      <c r="U38" s="10">
        <f>water_ON!U38 - water_OFF!U38 - AVERAGE(U$62:U$63)</f>
        <v>3.1000000000000227</v>
      </c>
      <c r="V38" s="10">
        <f>water_ON!V38 - water_OFF!V38 - AVERAGE(V$62:V$63)</f>
        <v>3.7499999999999716</v>
      </c>
      <c r="W38" s="10">
        <f>water_ON!W38 - water_OFF!W38 - AVERAGE(W$62:W$63)</f>
        <v>0.25</v>
      </c>
      <c r="X38" s="10">
        <f>water_ON!X38 - water_OFF!X38 - AVERAGE(X$62:X$63)</f>
        <v>1.9500000000000171</v>
      </c>
      <c r="Y38" s="10">
        <f>water_ON!Y38 - water_OFF!Y38 - AVERAGE(Y$62:Y$63)</f>
        <v>1.7500000000000284</v>
      </c>
      <c r="Z38" s="10">
        <f>water_ON!Z38 - water_OFF!Z38 - AVERAGE(Z$62:Z$63)</f>
        <v>0.5</v>
      </c>
      <c r="AA38" s="10">
        <f>water_ON!AA38 - water_OFF!AA38 - AVERAGE(AA$62:AA$63)</f>
        <v>0.50000000000002842</v>
      </c>
      <c r="AB38" s="10">
        <f>water_ON!AB38 - water_OFF!AB38 - AVERAGE(AB$62:AB$63)</f>
        <v>4.4499999999999886</v>
      </c>
      <c r="AC38" s="10">
        <f>water_ON!AC38 - water_OFF!AC38 - AVERAGE(AC$62:AC$63)</f>
        <v>0.54999999999995453</v>
      </c>
      <c r="AD38" s="10">
        <f>water_ON!AD38 - water_OFF!AD38 - AVERAGE(AD$62:AD$63)</f>
        <v>0.19999999999998863</v>
      </c>
      <c r="AE38" s="10">
        <f>water_ON!AE38 - water_OFF!AE38 - AVERAGE(AE$62:AE$63)</f>
        <v>9.9999999999965894E-2</v>
      </c>
      <c r="AF38" s="10">
        <f>water_ON!AF38 - water_OFF!AF38 - AVERAGE(AF$62:AF$63)</f>
        <v>0.30000000000001137</v>
      </c>
      <c r="AG38" s="10">
        <f>water_ON!AG38 - water_OFF!AG38 - AVERAGE(AG$62:AG$63)</f>
        <v>1.4499999999999886</v>
      </c>
      <c r="AH38" s="10">
        <f>water_ON!AH38 - water_OFF!AH38 - AVERAGE(AH$62:AH$63)</f>
        <v>-0.50000000000002842</v>
      </c>
      <c r="AI38" s="10">
        <f>water_ON!AI38 - water_OFF!AI38 - AVERAGE(AI$62:AI$63)</f>
        <v>0.5</v>
      </c>
      <c r="AJ38" s="10">
        <f>water_ON!AJ38 - water_OFF!AJ38 - AVERAGE(AJ$62:AJ$63)</f>
        <v>0.29999999999998295</v>
      </c>
      <c r="AK38" s="10">
        <f>water_ON!AK38 - water_OFF!AK38 - AVERAGE(AK$62:AK$63)</f>
        <v>4.9999999999982947E-2</v>
      </c>
      <c r="AL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</row>
    <row r="39" spans="1:65">
      <c r="A39" s="30">
        <v>38</v>
      </c>
      <c r="B39" s="10">
        <f>water_ON!B39 - water_OFF!B39 - AVERAGE(B$62:B$63)</f>
        <v>17.049999999999983</v>
      </c>
      <c r="C39" s="10">
        <f>water_ON!C39 - water_OFF!C39 - AVERAGE(C$62:C$63)</f>
        <v>-0.29999999999998295</v>
      </c>
      <c r="D39" s="10">
        <f>water_ON!D39 - water_OFF!D39 - AVERAGE(D$62:D$63)</f>
        <v>13.000000000000028</v>
      </c>
      <c r="E39" s="10">
        <f>water_ON!E39 - water_OFF!E39 - AVERAGE(E$62:E$63)</f>
        <v>10.799999999999983</v>
      </c>
      <c r="F39" s="10">
        <f>water_ON!F39 - water_OFF!F39 - AVERAGE(F$62:F$63)</f>
        <v>12.249999999999972</v>
      </c>
      <c r="G39" s="10">
        <f>water_ON!G39 - water_OFF!G39 - AVERAGE(G$62:G$63)</f>
        <v>8.1000000000000512</v>
      </c>
      <c r="H39" s="10">
        <f>water_ON!H39 - water_OFF!H39 - AVERAGE(H$62:H$63)</f>
        <v>9.4000000000000057</v>
      </c>
      <c r="I39" s="10">
        <f>water_ON!I39 - water_OFF!I39 - AVERAGE(I$62:I$63)</f>
        <v>7.8999999999999773</v>
      </c>
      <c r="J39" s="10">
        <f>water_ON!J39 - water_OFF!J39 - AVERAGE(J$62:J$63)</f>
        <v>7.1499999999999773</v>
      </c>
      <c r="K39" s="10">
        <f>water_ON!K39 - water_OFF!K39 - AVERAGE(K$62:K$63)</f>
        <v>9.4499999999999886</v>
      </c>
      <c r="L39" s="10">
        <f>water_ON!L39 - water_OFF!L39 - AVERAGE(L$62:L$63)</f>
        <v>7.0999999999999659</v>
      </c>
      <c r="M39" s="10">
        <f>water_ON!M39 - water_OFF!M39 - AVERAGE(M$62:M$63)</f>
        <v>10.850000000000023</v>
      </c>
      <c r="N39" s="10">
        <f>water_ON!N39 - water_OFF!N39 - AVERAGE(N$62:N$63)</f>
        <v>5.7499999999999716</v>
      </c>
      <c r="O39" s="10">
        <f>water_ON!O39 - water_OFF!O39 - AVERAGE(O$62:O$63)</f>
        <v>6.9499999999999886</v>
      </c>
      <c r="P39" s="10">
        <f>water_ON!P39 - water_OFF!P39 - AVERAGE(P$62:P$63)</f>
        <v>6.5500000000000114</v>
      </c>
      <c r="Q39" s="10">
        <f>water_ON!Q39 - water_OFF!Q39 - AVERAGE(Q$62:Q$63)</f>
        <v>7.8999999999999773</v>
      </c>
      <c r="R39" s="10">
        <f>water_ON!R39 - water_OFF!R39 - AVERAGE(R$62:R$63)</f>
        <v>7.6499999999999773</v>
      </c>
      <c r="S39" s="10">
        <f>water_ON!S39 - water_OFF!S39 - AVERAGE(S$62:S$63)</f>
        <v>-0.2999999999999261</v>
      </c>
      <c r="T39" s="10">
        <f>water_ON!T39 - water_OFF!T39 - AVERAGE(T$62:T$63)</f>
        <v>6.5999999999999943</v>
      </c>
      <c r="U39" s="10">
        <f>water_ON!U39 - water_OFF!U39 - AVERAGE(U$62:U$63)</f>
        <v>6.5999999999999659</v>
      </c>
      <c r="V39" s="10">
        <f>water_ON!V39 - water_OFF!V39 - AVERAGE(V$62:V$63)</f>
        <v>6.7499999999999716</v>
      </c>
      <c r="W39" s="10">
        <f>water_ON!W39 - water_OFF!W39 - AVERAGE(W$62:W$63)</f>
        <v>6.3500000000000227</v>
      </c>
      <c r="X39" s="10">
        <f>water_ON!X39 - water_OFF!X39 - AVERAGE(X$62:X$63)</f>
        <v>5.3500000000000512</v>
      </c>
      <c r="Y39" s="10">
        <f>water_ON!Y39 - water_OFF!Y39 - AVERAGE(Y$62:Y$63)</f>
        <v>4.9500000000000171</v>
      </c>
      <c r="Z39" s="10">
        <f>water_ON!Z39 - water_OFF!Z39 - AVERAGE(Z$62:Z$63)</f>
        <v>5.6999999999999886</v>
      </c>
      <c r="AA39" s="10">
        <f>water_ON!AA39 - water_OFF!AA39 - AVERAGE(AA$62:AA$63)</f>
        <v>5.3000000000000398</v>
      </c>
      <c r="AB39" s="10">
        <f>water_ON!AB39 - water_OFF!AB39 - AVERAGE(AB$62:AB$63)</f>
        <v>3.6499999999999773</v>
      </c>
      <c r="AC39" s="10">
        <f>water_ON!AC39 - water_OFF!AC39 - AVERAGE(AC$62:AC$63)</f>
        <v>4.5499999999999545</v>
      </c>
      <c r="AD39" s="10">
        <f>water_ON!AD39 - water_OFF!AD39 - AVERAGE(AD$62:AD$63)</f>
        <v>5</v>
      </c>
      <c r="AE39" s="10">
        <f>water_ON!AE39 - water_OFF!AE39 - AVERAGE(AE$62:AE$63)</f>
        <v>6.8000000000000114</v>
      </c>
      <c r="AF39" s="10">
        <f>water_ON!AF39 - water_OFF!AF39 - AVERAGE(AF$62:AF$63)</f>
        <v>2.1000000000000227</v>
      </c>
      <c r="AG39" s="10">
        <f>water_ON!AG39 - water_OFF!AG39 - AVERAGE(AG$62:AG$63)</f>
        <v>4.25</v>
      </c>
      <c r="AH39" s="10">
        <f>water_ON!AH39 - water_OFF!AH39 - AVERAGE(AH$62:AH$63)</f>
        <v>2.4000000000000057</v>
      </c>
      <c r="AI39" s="10">
        <f>water_ON!AI39 - water_OFF!AI39 - AVERAGE(AI$62:AI$63)</f>
        <v>2.3000000000000114</v>
      </c>
      <c r="AJ39" s="10">
        <f>water_ON!AJ39 - water_OFF!AJ39 - AVERAGE(AJ$62:AJ$63)</f>
        <v>4.0999999999999943</v>
      </c>
      <c r="AK39" s="10">
        <f>water_ON!AK39 - water_OFF!AK39 - AVERAGE(AK$62:AK$63)</f>
        <v>4.4499999999999602</v>
      </c>
      <c r="AL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</row>
    <row r="40" spans="1:65">
      <c r="A40" s="30">
        <v>39</v>
      </c>
      <c r="B40" s="10">
        <f>water_ON!B40 - water_OFF!B40 - AVERAGE(B$62:B$63)</f>
        <v>35.349999999999937</v>
      </c>
      <c r="C40" s="10">
        <f>water_ON!C40 - water_OFF!C40 - AVERAGE(C$62:C$63)</f>
        <v>33.100000000000051</v>
      </c>
      <c r="D40" s="10">
        <f>water_ON!D40 - water_OFF!D40 - AVERAGE(D$62:D$63)</f>
        <v>29.200000000000017</v>
      </c>
      <c r="E40" s="10">
        <f>water_ON!E40 - water_OFF!E40 - AVERAGE(E$62:E$63)</f>
        <v>33.900000000000006</v>
      </c>
      <c r="F40" s="10">
        <f>water_ON!F40 - water_OFF!F40 - AVERAGE(F$62:F$63)</f>
        <v>31.650000000000006</v>
      </c>
      <c r="G40" s="10">
        <f>water_ON!G40 - water_OFF!G40 - AVERAGE(G$62:G$63)</f>
        <v>35.599999999999994</v>
      </c>
      <c r="H40" s="10">
        <f>water_ON!H40 - water_OFF!H40 - AVERAGE(H$62:H$63)</f>
        <v>31.900000000000006</v>
      </c>
      <c r="I40" s="10">
        <f>water_ON!I40 - water_OFF!I40 - AVERAGE(I$62:I$63)</f>
        <v>31.300000000000011</v>
      </c>
      <c r="J40" s="10">
        <f>water_ON!J40 - water_OFF!J40 - AVERAGE(J$62:J$63)</f>
        <v>32.549999999999955</v>
      </c>
      <c r="K40" s="10">
        <f>water_ON!K40 - water_OFF!K40 - AVERAGE(K$62:K$63)</f>
        <v>30.949999999999989</v>
      </c>
      <c r="L40" s="10">
        <f>water_ON!L40 - water_OFF!L40 - AVERAGE(L$62:L$63)</f>
        <v>27.800000000000011</v>
      </c>
      <c r="M40" s="10">
        <f>water_ON!M40 - water_OFF!M40 - AVERAGE(M$62:M$63)</f>
        <v>34.25</v>
      </c>
      <c r="N40" s="10">
        <f>water_ON!N40 - water_OFF!N40 - AVERAGE(N$62:N$63)</f>
        <v>28.849999999999994</v>
      </c>
      <c r="O40" s="10">
        <f>water_ON!O40 - water_OFF!O40 - AVERAGE(O$62:O$63)</f>
        <v>26.149999999999977</v>
      </c>
      <c r="P40" s="10">
        <f>water_ON!P40 - water_OFF!P40 - AVERAGE(P$62:P$63)</f>
        <v>27.550000000000011</v>
      </c>
      <c r="Q40" s="10">
        <f>water_ON!Q40 - water_OFF!Q40 - AVERAGE(Q$62:Q$63)</f>
        <v>28.299999999999955</v>
      </c>
      <c r="R40" s="10">
        <f>water_ON!R40 - water_OFF!R40 - AVERAGE(R$62:R$63)</f>
        <v>21.649999999999977</v>
      </c>
      <c r="S40" s="10">
        <f>water_ON!S40 - water_OFF!S40 - AVERAGE(S$62:S$63)</f>
        <v>14.299999999999983</v>
      </c>
      <c r="T40" s="10">
        <f>water_ON!T40 - water_OFF!T40 - AVERAGE(T$62:T$63)</f>
        <v>11.499999999999972</v>
      </c>
      <c r="U40" s="10">
        <f>water_ON!U40 - water_OFF!U40 - AVERAGE(U$62:U$63)</f>
        <v>7</v>
      </c>
      <c r="V40" s="10">
        <f>water_ON!V40 - water_OFF!V40 - AVERAGE(V$62:V$63)</f>
        <v>8.4499999999999602</v>
      </c>
      <c r="W40" s="10">
        <f>water_ON!W40 - water_OFF!W40 - AVERAGE(W$62:W$63)</f>
        <v>7.3499999999999659</v>
      </c>
      <c r="X40" s="10">
        <f>water_ON!X40 - water_OFF!X40 - AVERAGE(X$62:X$63)</f>
        <v>11.150000000000006</v>
      </c>
      <c r="Y40" s="10">
        <f>water_ON!Y40 - water_OFF!Y40 - AVERAGE(Y$62:Y$63)</f>
        <v>8.3499999999999943</v>
      </c>
      <c r="Z40" s="10">
        <f>water_ON!Z40 - water_OFF!Z40 - AVERAGE(Z$62:Z$63)</f>
        <v>7.5</v>
      </c>
      <c r="AA40" s="10">
        <f>water_ON!AA40 - water_OFF!AA40 - AVERAGE(AA$62:AA$63)</f>
        <v>8.4000000000000625</v>
      </c>
      <c r="AB40" s="10">
        <f>water_ON!AB40 - water_OFF!AB40 - AVERAGE(AB$62:AB$63)</f>
        <v>21.849999999999966</v>
      </c>
      <c r="AC40" s="10">
        <f>water_ON!AC40 - water_OFF!AC40 - AVERAGE(AC$62:AC$63)</f>
        <v>7.5500000000000114</v>
      </c>
      <c r="AD40" s="10">
        <f>water_ON!AD40 - water_OFF!AD40 - AVERAGE(AD$62:AD$63)</f>
        <v>11.699999999999989</v>
      </c>
      <c r="AE40" s="10">
        <f>water_ON!AE40 - water_OFF!AE40 - AVERAGE(AE$62:AE$63)</f>
        <v>4.3999999999999773</v>
      </c>
      <c r="AF40" s="10">
        <f>water_ON!AF40 - water_OFF!AF40 - AVERAGE(AF$62:AF$63)</f>
        <v>7.3999999999999773</v>
      </c>
      <c r="AG40" s="10">
        <f>water_ON!AG40 - water_OFF!AG40 - AVERAGE(AG$62:AG$63)</f>
        <v>5.9499999999999886</v>
      </c>
      <c r="AH40" s="10">
        <f>water_ON!AH40 - water_OFF!AH40 - AVERAGE(AH$62:AH$63)</f>
        <v>1.0999999999999943</v>
      </c>
      <c r="AI40" s="10">
        <f>water_ON!AI40 - water_OFF!AI40 - AVERAGE(AI$62:AI$63)</f>
        <v>0.39999999999997726</v>
      </c>
      <c r="AJ40" s="10">
        <f>water_ON!AJ40 - water_OFF!AJ40 - AVERAGE(AJ$62:AJ$63)</f>
        <v>6.0000000000000284</v>
      </c>
      <c r="AK40" s="10">
        <f>water_ON!AK40 - water_OFF!AK40 - AVERAGE(AK$62:AK$63)</f>
        <v>3.6500000000000057</v>
      </c>
      <c r="AL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</row>
    <row r="41" spans="1:65">
      <c r="A41" s="30">
        <v>40</v>
      </c>
      <c r="B41" s="10">
        <f>water_ON!B41 - water_OFF!B41 - AVERAGE(B$62:B$63)</f>
        <v>45.950000000000017</v>
      </c>
      <c r="C41" s="10">
        <f>water_ON!C41 - water_OFF!C41 - AVERAGE(C$62:C$63)</f>
        <v>47.400000000000006</v>
      </c>
      <c r="D41" s="10">
        <f>water_ON!D41 - water_OFF!D41 - AVERAGE(D$62:D$63)</f>
        <v>47.099999999999994</v>
      </c>
      <c r="E41" s="10">
        <f>water_ON!E41 - water_OFF!E41 - AVERAGE(E$62:E$63)</f>
        <v>49.299999999999983</v>
      </c>
      <c r="F41" s="10">
        <f>water_ON!F41 - water_OFF!F41 - AVERAGE(F$62:F$63)</f>
        <v>56.549999999999983</v>
      </c>
      <c r="G41" s="10">
        <f>water_ON!G41 - water_OFF!G41 - AVERAGE(G$62:G$63)</f>
        <v>67.400000000000006</v>
      </c>
      <c r="H41" s="10">
        <f>water_ON!H41 - water_OFF!H41 - AVERAGE(H$62:H$63)</f>
        <v>50.900000000000006</v>
      </c>
      <c r="I41" s="10">
        <f>water_ON!I41 - water_OFF!I41 - AVERAGE(I$62:I$63)</f>
        <v>-0.30000000000001137</v>
      </c>
      <c r="J41" s="10">
        <f>water_ON!J41 - water_OFF!J41 - AVERAGE(J$62:J$63)</f>
        <v>30.149999999999977</v>
      </c>
      <c r="K41" s="10">
        <f>water_ON!K41 - water_OFF!K41 - AVERAGE(K$62:K$63)</f>
        <v>69.25</v>
      </c>
      <c r="L41" s="10">
        <f>water_ON!L41 - water_OFF!L41 - AVERAGE(L$62:L$63)</f>
        <v>65.199999999999989</v>
      </c>
      <c r="M41" s="10">
        <f>water_ON!M41 - water_OFF!M41 - AVERAGE(M$62:M$63)</f>
        <v>77.550000000000011</v>
      </c>
      <c r="N41" s="10">
        <f>water_ON!N41 - water_OFF!N41 - AVERAGE(N$62:N$63)</f>
        <v>61.749999999999972</v>
      </c>
      <c r="O41" s="10">
        <f>water_ON!O41 - water_OFF!O41 - AVERAGE(O$62:O$63)</f>
        <v>66.25</v>
      </c>
      <c r="P41" s="10">
        <f>water_ON!P41 - water_OFF!P41 - AVERAGE(P$62:P$63)</f>
        <v>68.25</v>
      </c>
      <c r="Q41" s="10">
        <f>water_ON!Q41 - water_OFF!Q41 - AVERAGE(Q$62:Q$63)</f>
        <v>68.5</v>
      </c>
      <c r="R41" s="10">
        <f>water_ON!R41 - water_OFF!R41 - AVERAGE(R$62:R$63)</f>
        <v>54.050000000000011</v>
      </c>
      <c r="S41" s="10">
        <f>water_ON!S41 - water_OFF!S41 - AVERAGE(S$62:S$63)</f>
        <v>69.000000000000028</v>
      </c>
      <c r="T41" s="10">
        <f>water_ON!T41 - water_OFF!T41 - AVERAGE(T$62:T$63)</f>
        <v>67.099999999999994</v>
      </c>
      <c r="U41" s="10">
        <f>water_ON!U41 - water_OFF!U41 - AVERAGE(U$62:U$63)</f>
        <v>69.900000000000034</v>
      </c>
      <c r="V41" s="10">
        <f>water_ON!V41 - water_OFF!V41 - AVERAGE(V$62:V$63)</f>
        <v>70.749999999999972</v>
      </c>
      <c r="W41" s="10">
        <f>water_ON!W41 - water_OFF!W41 - AVERAGE(W$62:W$63)</f>
        <v>88.550000000000011</v>
      </c>
      <c r="X41" s="10">
        <f>water_ON!X41 - water_OFF!X41 - AVERAGE(X$62:X$63)</f>
        <v>69.750000000000028</v>
      </c>
      <c r="Y41" s="10">
        <f>water_ON!Y41 - water_OFF!Y41 - AVERAGE(Y$62:Y$63)</f>
        <v>75.850000000000051</v>
      </c>
      <c r="Z41" s="10">
        <f>water_ON!Z41 - water_OFF!Z41 - AVERAGE(Z$62:Z$63)</f>
        <v>70.5</v>
      </c>
      <c r="AA41" s="10">
        <f>water_ON!AA41 - water_OFF!AA41 - AVERAGE(AA$62:AA$63)</f>
        <v>69.100000000000051</v>
      </c>
      <c r="AB41" s="10">
        <f>water_ON!AB41 - water_OFF!AB41 - AVERAGE(AB$62:AB$63)</f>
        <v>72.25</v>
      </c>
      <c r="AC41" s="10">
        <f>water_ON!AC41 - water_OFF!AC41 - AVERAGE(AC$62:AC$63)</f>
        <v>65.249999999999943</v>
      </c>
      <c r="AD41" s="10">
        <f>water_ON!AD41 - water_OFF!AD41 - AVERAGE(AD$62:AD$63)</f>
        <v>93.799999999999955</v>
      </c>
      <c r="AE41" s="10">
        <f>water_ON!AE41 - water_OFF!AE41 - AVERAGE(AE$62:AE$63)</f>
        <v>88.5</v>
      </c>
      <c r="AF41" s="10">
        <f>water_ON!AF41 - water_OFF!AF41 - AVERAGE(AF$62:AF$63)</f>
        <v>72.699999999999989</v>
      </c>
      <c r="AG41" s="10">
        <f>water_ON!AG41 - water_OFF!AG41 - AVERAGE(AG$62:AG$63)</f>
        <v>79.75</v>
      </c>
      <c r="AH41" s="10">
        <f>water_ON!AH41 - water_OFF!AH41 - AVERAGE(AH$62:AH$63)</f>
        <v>72.999999999999972</v>
      </c>
      <c r="AI41" s="10">
        <f>water_ON!AI41 - water_OFF!AI41 - AVERAGE(AI$62:AI$63)</f>
        <v>93.899999999999977</v>
      </c>
      <c r="AJ41" s="10">
        <f>water_ON!AJ41 - water_OFF!AJ41 - AVERAGE(AJ$62:AJ$63)</f>
        <v>73.500000000000028</v>
      </c>
      <c r="AK41" s="10">
        <f>water_ON!AK41 - water_OFF!AK41 - AVERAGE(AK$62:AK$63)</f>
        <v>84.749999999999972</v>
      </c>
      <c r="AL41" s="11"/>
      <c r="AO41" s="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</row>
    <row r="42" spans="1:65">
      <c r="A42" s="30">
        <v>41</v>
      </c>
      <c r="B42" s="10">
        <f>water_ON!B42 - water_OFF!B42 - AVERAGE(B$62:B$63)</f>
        <v>13.150000000000006</v>
      </c>
      <c r="C42" s="10">
        <f>water_ON!C42 - water_OFF!C42 - AVERAGE(C$62:C$63)</f>
        <v>8.0000000000000284</v>
      </c>
      <c r="D42" s="10">
        <f>water_ON!D42 - water_OFF!D42 - AVERAGE(D$62:D$63)</f>
        <v>-0.19999999999996021</v>
      </c>
      <c r="E42" s="10">
        <f>water_ON!E42 - water_OFF!E42 - AVERAGE(E$62:E$63)</f>
        <v>-0.29999999999998295</v>
      </c>
      <c r="F42" s="10">
        <f>water_ON!F42 - water_OFF!F42 - AVERAGE(F$62:F$63)</f>
        <v>-4.9999999999982947E-2</v>
      </c>
      <c r="G42" s="10">
        <f>water_ON!G42 - water_OFF!G42 - AVERAGE(G$62:G$63)</f>
        <v>0.10000000000005116</v>
      </c>
      <c r="H42" s="10">
        <f>water_ON!H42 - water_OFF!H42 - AVERAGE(H$62:H$63)</f>
        <v>2.8421709430404007E-14</v>
      </c>
      <c r="I42" s="10">
        <f>water_ON!I42 - water_OFF!I42 - AVERAGE(I$62:I$63)</f>
        <v>9.9999999999965894E-2</v>
      </c>
      <c r="J42" s="10">
        <f>water_ON!J42 - water_OFF!J42 - AVERAGE(J$62:J$63)</f>
        <v>-5.0000000000011369E-2</v>
      </c>
      <c r="K42" s="10">
        <f>water_ON!K42 - water_OFF!K42 - AVERAGE(K$62:K$63)</f>
        <v>-5.0000000000011369E-2</v>
      </c>
      <c r="L42" s="10">
        <f>water_ON!L42 - water_OFF!L42 - AVERAGE(L$62:L$63)</f>
        <v>0</v>
      </c>
      <c r="M42" s="10">
        <f>water_ON!M42 - water_OFF!M42 - AVERAGE(M$62:M$63)</f>
        <v>-4.9999999999954525E-2</v>
      </c>
      <c r="N42" s="10">
        <f>water_ON!N42 - water_OFF!N42 - AVERAGE(N$62:N$63)</f>
        <v>4.9999999999982947E-2</v>
      </c>
      <c r="O42" s="10">
        <f>water_ON!O42 - water_OFF!O42 - AVERAGE(O$62:O$63)</f>
        <v>-5.0000000000011369E-2</v>
      </c>
      <c r="P42" s="10">
        <f>water_ON!P42 - water_OFF!P42 - AVERAGE(P$62:P$63)</f>
        <v>2.6500000000000341</v>
      </c>
      <c r="Q42" s="10">
        <f>water_ON!Q42 - water_OFF!Q42 - AVERAGE(Q$62:Q$63)</f>
        <v>3.1000000000000227</v>
      </c>
      <c r="R42" s="10">
        <f>water_ON!R42 - water_OFF!R42 - AVERAGE(R$62:R$63)</f>
        <v>0.84999999999996589</v>
      </c>
      <c r="S42" s="10">
        <f>water_ON!S42 - water_OFF!S42 - AVERAGE(S$62:S$63)</f>
        <v>0.10000000000005116</v>
      </c>
      <c r="T42" s="10">
        <f>water_ON!T42 - water_OFF!T42 - AVERAGE(T$62:T$63)</f>
        <v>1.2999999999999829</v>
      </c>
      <c r="U42" s="10">
        <f>water_ON!U42 - water_OFF!U42 - AVERAGE(U$62:U$63)</f>
        <v>0.19999999999998863</v>
      </c>
      <c r="V42" s="10">
        <f>water_ON!V42 - water_OFF!V42 - AVERAGE(V$62:V$63)</f>
        <v>0.84999999999999432</v>
      </c>
      <c r="W42" s="10">
        <f>water_ON!W42 - water_OFF!W42 - AVERAGE(W$62:W$63)</f>
        <v>0.25000000000005684</v>
      </c>
      <c r="X42" s="10">
        <f>water_ON!X42 - water_OFF!X42 - AVERAGE(X$62:X$63)</f>
        <v>3.0500000000000398</v>
      </c>
      <c r="Y42" s="10">
        <f>water_ON!Y42 - water_OFF!Y42 - AVERAGE(Y$62:Y$63)</f>
        <v>0.15000000000000568</v>
      </c>
      <c r="Z42" s="10">
        <f>water_ON!Z42 - water_OFF!Z42 - AVERAGE(Z$62:Z$63)</f>
        <v>2.1999999999999886</v>
      </c>
      <c r="AA42" s="10">
        <f>water_ON!AA42 - water_OFF!AA42 - AVERAGE(AA$62:AA$63)</f>
        <v>9.9999999999994316E-2</v>
      </c>
      <c r="AB42" s="10">
        <f>water_ON!AB42 - water_OFF!AB42 - AVERAGE(AB$62:AB$63)</f>
        <v>2.4499999999999886</v>
      </c>
      <c r="AC42" s="10">
        <f>water_ON!AC42 - water_OFF!AC42 - AVERAGE(AC$62:AC$63)</f>
        <v>3.7499999999999432</v>
      </c>
      <c r="AD42" s="10">
        <f>water_ON!AD42 - water_OFF!AD42 - AVERAGE(AD$62:AD$63)</f>
        <v>0.19999999999998863</v>
      </c>
      <c r="AE42" s="10">
        <f>water_ON!AE42 - water_OFF!AE42 - AVERAGE(AE$62:AE$63)</f>
        <v>2.0999999999999659</v>
      </c>
      <c r="AF42" s="10">
        <f>water_ON!AF42 - water_OFF!AF42 - AVERAGE(AF$62:AF$63)</f>
        <v>-2.0999999999999659</v>
      </c>
      <c r="AG42" s="10">
        <f>water_ON!AG42 - water_OFF!AG42 - AVERAGE(AG$62:AG$63)</f>
        <v>0.15000000000003411</v>
      </c>
      <c r="AH42" s="10">
        <f>water_ON!AH42 - water_OFF!AH42 - AVERAGE(AH$62:AH$63)</f>
        <v>-0.80000000000003979</v>
      </c>
      <c r="AI42" s="10">
        <f>water_ON!AI42 - water_OFF!AI42 - AVERAGE(AI$62:AI$63)</f>
        <v>-0.20000000000004547</v>
      </c>
      <c r="AJ42" s="10">
        <f>water_ON!AJ42 - water_OFF!AJ42 - AVERAGE(AJ$62:AJ$63)</f>
        <v>-2.8421709430404007E-14</v>
      </c>
      <c r="AK42" s="10">
        <f>water_ON!AK42 - water_OFF!AK42 - AVERAGE(AK$62:AK$63)</f>
        <v>-5.000000000003979E-2</v>
      </c>
      <c r="AL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</row>
    <row r="43" spans="1:65">
      <c r="A43" s="30">
        <v>42</v>
      </c>
      <c r="B43" s="10">
        <f>water_ON!B43 - water_OFF!B43 - AVERAGE(B$62:B$63)</f>
        <v>12.150000000000006</v>
      </c>
      <c r="C43" s="10">
        <f>water_ON!C43 - water_OFF!C43 - AVERAGE(C$62:C$63)</f>
        <v>11.600000000000051</v>
      </c>
      <c r="D43" s="10">
        <f>water_ON!D43 - water_OFF!D43 - AVERAGE(D$62:D$63)</f>
        <v>-0.19999999999996021</v>
      </c>
      <c r="E43" s="10">
        <f>water_ON!E43 - water_OFF!E43 - AVERAGE(E$62:E$63)</f>
        <v>13.099999999999994</v>
      </c>
      <c r="F43" s="10">
        <f>water_ON!F43 - water_OFF!F43 - AVERAGE(F$62:F$63)</f>
        <v>10.94999999999996</v>
      </c>
      <c r="G43" s="10">
        <f>water_ON!G43 - water_OFF!G43 - AVERAGE(G$62:G$63)</f>
        <v>9.7000000000000171</v>
      </c>
      <c r="H43" s="10">
        <f>water_ON!H43 - water_OFF!H43 - AVERAGE(H$62:H$63)</f>
        <v>11.599999999999994</v>
      </c>
      <c r="I43" s="10">
        <f>water_ON!I43 - water_OFF!I43 - AVERAGE(I$62:I$63)</f>
        <v>7.9999999999999432</v>
      </c>
      <c r="J43" s="10">
        <f>water_ON!J43 - water_OFF!J43 - AVERAGE(J$62:J$63)</f>
        <v>9.1499999999999773</v>
      </c>
      <c r="K43" s="10">
        <f>water_ON!K43 - water_OFF!K43 - AVERAGE(K$62:K$63)</f>
        <v>9.8500000000000227</v>
      </c>
      <c r="L43" s="10">
        <f>water_ON!L43 - water_OFF!L43 - AVERAGE(L$62:L$63)</f>
        <v>9.8000000000000114</v>
      </c>
      <c r="M43" s="10">
        <f>water_ON!M43 - water_OFF!M43 - AVERAGE(M$62:M$63)</f>
        <v>7.0500000000000682</v>
      </c>
      <c r="N43" s="10">
        <f>water_ON!N43 - water_OFF!N43 - AVERAGE(N$62:N$63)</f>
        <v>8.4500000000000171</v>
      </c>
      <c r="O43" s="10">
        <f>water_ON!O43 - water_OFF!O43 - AVERAGE(O$62:O$63)</f>
        <v>7.2499999999999432</v>
      </c>
      <c r="P43" s="10">
        <f>water_ON!P43 - water_OFF!P43 - AVERAGE(P$62:P$63)</f>
        <v>8.8500000000000227</v>
      </c>
      <c r="Q43" s="10">
        <f>water_ON!Q43 - water_OFF!Q43 - AVERAGE(Q$62:Q$63)</f>
        <v>10.699999999999989</v>
      </c>
      <c r="R43" s="10">
        <f>water_ON!R43 - water_OFF!R43 - AVERAGE(R$62:R$63)</f>
        <v>7.8499999999999659</v>
      </c>
      <c r="S43" s="10">
        <f>water_ON!S43 - water_OFF!S43 - AVERAGE(S$62:S$63)</f>
        <v>6.6000000000000512</v>
      </c>
      <c r="T43" s="10">
        <f>water_ON!T43 - water_OFF!T43 - AVERAGE(T$62:T$63)</f>
        <v>5.2000000000000171</v>
      </c>
      <c r="U43" s="10">
        <f>water_ON!U43 - water_OFF!U43 - AVERAGE(U$62:U$63)</f>
        <v>10.299999999999955</v>
      </c>
      <c r="V43" s="10">
        <f>water_ON!V43 - water_OFF!V43 - AVERAGE(V$62:V$63)</f>
        <v>5.1500000000000057</v>
      </c>
      <c r="W43" s="10">
        <f>water_ON!W43 - water_OFF!W43 - AVERAGE(W$62:W$63)</f>
        <v>7.4499999999999886</v>
      </c>
      <c r="X43" s="10">
        <f>water_ON!X43 - water_OFF!X43 - AVERAGE(X$62:X$63)</f>
        <v>1.3499999999999943</v>
      </c>
      <c r="Y43" s="10">
        <f>water_ON!Y43 - water_OFF!Y43 - AVERAGE(Y$62:Y$63)</f>
        <v>4.6500000000000057</v>
      </c>
      <c r="Z43" s="10">
        <f>water_ON!Z43 - water_OFF!Z43 - AVERAGE(Z$62:Z$63)</f>
        <v>4.3000000000000114</v>
      </c>
      <c r="AA43" s="10">
        <f>water_ON!AA43 - water_OFF!AA43 - AVERAGE(AA$62:AA$63)</f>
        <v>2.7000000000000171</v>
      </c>
      <c r="AB43" s="10">
        <f>water_ON!AB43 - water_OFF!AB43 - AVERAGE(AB$62:AB$63)</f>
        <v>3.75</v>
      </c>
      <c r="AC43" s="10">
        <f>water_ON!AC43 - water_OFF!AC43 - AVERAGE(AC$62:AC$63)</f>
        <v>2.7499999999999432</v>
      </c>
      <c r="AD43" s="10">
        <f>water_ON!AD43 - water_OFF!AD43 - AVERAGE(AD$62:AD$63)</f>
        <v>3.9000000000000341</v>
      </c>
      <c r="AE43" s="10">
        <f>water_ON!AE43 - water_OFF!AE43 - AVERAGE(AE$62:AE$63)</f>
        <v>4</v>
      </c>
      <c r="AF43" s="10">
        <f>water_ON!AF43 - water_OFF!AF43 - AVERAGE(AF$62:AF$63)</f>
        <v>4.5</v>
      </c>
      <c r="AG43" s="10">
        <f>water_ON!AG43 - water_OFF!AG43 - AVERAGE(AG$62:AG$63)</f>
        <v>2.4499999999999886</v>
      </c>
      <c r="AH43" s="10">
        <f>water_ON!AH43 - water_OFF!AH43 - AVERAGE(AH$62:AH$63)</f>
        <v>1.7000000000000171</v>
      </c>
      <c r="AI43" s="10">
        <f>water_ON!AI43 - water_OFF!AI43 - AVERAGE(AI$62:AI$63)</f>
        <v>4.6999999999999886</v>
      </c>
      <c r="AJ43" s="10">
        <f>water_ON!AJ43 - water_OFF!AJ43 - AVERAGE(AJ$62:AJ$63)</f>
        <v>5.0999999999999943</v>
      </c>
      <c r="AK43" s="10">
        <f>water_ON!AK43 - water_OFF!AK43 - AVERAGE(AK$62:AK$63)</f>
        <v>12.150000000000006</v>
      </c>
      <c r="AL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</row>
    <row r="44" spans="1:65">
      <c r="A44" s="30">
        <v>43</v>
      </c>
      <c r="B44" s="10">
        <f>water_ON!B44 - water_OFF!B44 - AVERAGE(B$62:B$63)</f>
        <v>11.94999999999996</v>
      </c>
      <c r="C44" s="10">
        <f>water_ON!C44 - water_OFF!C44 - AVERAGE(C$62:C$63)</f>
        <v>-0.29999999999998295</v>
      </c>
      <c r="D44" s="10">
        <f>water_ON!D44 - water_OFF!D44 - AVERAGE(D$62:D$63)</f>
        <v>-9.9999999999994316E-2</v>
      </c>
      <c r="E44" s="10">
        <f>water_ON!E44 - water_OFF!E44 - AVERAGE(E$62:E$63)</f>
        <v>-0.20000000000001705</v>
      </c>
      <c r="F44" s="10">
        <f>water_ON!F44 - water_OFF!F44 - AVERAGE(F$62:F$63)</f>
        <v>6.2500000000000284</v>
      </c>
      <c r="G44" s="10">
        <f>water_ON!G44 - water_OFF!G44 - AVERAGE(G$62:G$63)</f>
        <v>1.2999999999999829</v>
      </c>
      <c r="H44" s="10">
        <f>water_ON!H44 - water_OFF!H44 - AVERAGE(H$62:H$63)</f>
        <v>-0.29999999999998295</v>
      </c>
      <c r="I44" s="10">
        <f>water_ON!I44 - water_OFF!I44 - AVERAGE(I$62:I$63)</f>
        <v>3.5</v>
      </c>
      <c r="J44" s="10">
        <f>water_ON!J44 - water_OFF!J44 - AVERAGE(J$62:J$63)</f>
        <v>5.0499999999999545</v>
      </c>
      <c r="K44" s="10">
        <f>water_ON!K44 - water_OFF!K44 - AVERAGE(K$62:K$63)</f>
        <v>7.4499999999999886</v>
      </c>
      <c r="L44" s="10">
        <f>water_ON!L44 - water_OFF!L44 - AVERAGE(L$62:L$63)</f>
        <v>5.0999999999999659</v>
      </c>
      <c r="M44" s="10">
        <f>water_ON!M44 - water_OFF!M44 - AVERAGE(M$62:M$63)</f>
        <v>2.8500000000000227</v>
      </c>
      <c r="N44" s="10">
        <f>water_ON!N44 - water_OFF!N44 - AVERAGE(N$62:N$63)</f>
        <v>2.3499999999999943</v>
      </c>
      <c r="O44" s="10">
        <f>water_ON!O44 - water_OFF!O44 - AVERAGE(O$62:O$63)</f>
        <v>7.25</v>
      </c>
      <c r="P44" s="10">
        <f>water_ON!P44 - water_OFF!P44 - AVERAGE(P$62:P$63)</f>
        <v>5.25</v>
      </c>
      <c r="Q44" s="10">
        <f>water_ON!Q44 - water_OFF!Q44 - AVERAGE(Q$62:Q$63)</f>
        <v>7</v>
      </c>
      <c r="R44" s="10">
        <f>water_ON!R44 - water_OFF!R44 - AVERAGE(R$62:R$63)</f>
        <v>4.0500000000000682</v>
      </c>
      <c r="S44" s="10">
        <f>water_ON!S44 - water_OFF!S44 - AVERAGE(S$62:S$63)</f>
        <v>4.3000000000000398</v>
      </c>
      <c r="T44" s="10">
        <f>water_ON!T44 - water_OFF!T44 - AVERAGE(T$62:T$63)</f>
        <v>5.0999999999999943</v>
      </c>
      <c r="U44" s="10">
        <f>water_ON!U44 - water_OFF!U44 - AVERAGE(U$62:U$63)</f>
        <v>4.4000000000000341</v>
      </c>
      <c r="V44" s="10">
        <f>water_ON!V44 - water_OFF!V44 - AVERAGE(V$62:V$63)</f>
        <v>4.6500000000000057</v>
      </c>
      <c r="W44" s="10">
        <f>water_ON!W44 - water_OFF!W44 - AVERAGE(W$62:W$63)</f>
        <v>4.5500000000000114</v>
      </c>
      <c r="X44" s="10">
        <f>water_ON!X44 - water_OFF!X44 - AVERAGE(X$62:X$63)</f>
        <v>1.7500000000000284</v>
      </c>
      <c r="Y44" s="10">
        <f>water_ON!Y44 - water_OFF!Y44 - AVERAGE(Y$62:Y$63)</f>
        <v>0.85000000000005116</v>
      </c>
      <c r="Z44" s="10">
        <f>water_ON!Z44 - water_OFF!Z44 - AVERAGE(Z$62:Z$63)</f>
        <v>6.5</v>
      </c>
      <c r="AA44" s="10">
        <f>water_ON!AA44 - water_OFF!AA44 - AVERAGE(AA$62:AA$63)</f>
        <v>4.0000000000000853</v>
      </c>
      <c r="AB44" s="10">
        <f>water_ON!AB44 - water_OFF!AB44 - AVERAGE(AB$62:AB$63)</f>
        <v>4.9499999999999318</v>
      </c>
      <c r="AC44" s="10">
        <f>water_ON!AC44 - water_OFF!AC44 - AVERAGE(AC$62:AC$63)</f>
        <v>6.8500000000000227</v>
      </c>
      <c r="AD44" s="10">
        <f>water_ON!AD44 - water_OFF!AD44 - AVERAGE(AD$62:AD$63)</f>
        <v>1.3999999999999773</v>
      </c>
      <c r="AE44" s="10">
        <f>water_ON!AE44 - water_OFF!AE44 - AVERAGE(AE$62:AE$63)</f>
        <v>2.3999999999999773</v>
      </c>
      <c r="AF44" s="10">
        <f>water_ON!AF44 - water_OFF!AF44 - AVERAGE(AF$62:AF$63)</f>
        <v>2.6000000000000227</v>
      </c>
      <c r="AG44" s="10">
        <f>water_ON!AG44 - water_OFF!AG44 - AVERAGE(AG$62:AG$63)</f>
        <v>5.5500000000000114</v>
      </c>
      <c r="AH44" s="10">
        <f>water_ON!AH44 - water_OFF!AH44 - AVERAGE(AH$62:AH$63)</f>
        <v>2.7000000000000171</v>
      </c>
      <c r="AI44" s="10">
        <f>water_ON!AI44 - water_OFF!AI44 - AVERAGE(AI$62:AI$63)</f>
        <v>4.3999999999999773</v>
      </c>
      <c r="AJ44" s="10">
        <f>water_ON!AJ44 - water_OFF!AJ44 - AVERAGE(AJ$62:AJ$63)</f>
        <v>2.9000000000000057</v>
      </c>
      <c r="AK44" s="10">
        <f>water_ON!AK44 - water_OFF!AK44 - AVERAGE(AK$62:AK$63)</f>
        <v>2.3499999999999943</v>
      </c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</row>
    <row r="45" spans="1:65">
      <c r="A45" s="30">
        <v>44</v>
      </c>
      <c r="B45" s="10">
        <f>water_ON!B45 - water_OFF!B45 - AVERAGE(B$62:B$63)</f>
        <v>20.649999999999949</v>
      </c>
      <c r="C45" s="10">
        <f>water_ON!C45 - water_OFF!C45 - AVERAGE(C$62:C$63)</f>
        <v>7.8000000000000398</v>
      </c>
      <c r="D45" s="10">
        <f>water_ON!D45 - water_OFF!D45 - AVERAGE(D$62:D$63)</f>
        <v>3.7000000000000171</v>
      </c>
      <c r="E45" s="10">
        <f>water_ON!E45 - water_OFF!E45 - AVERAGE(E$62:E$63)</f>
        <v>10.099999999999994</v>
      </c>
      <c r="F45" s="10">
        <f>water_ON!F45 - water_OFF!F45 - AVERAGE(F$62:F$63)</f>
        <v>5.0499999999999829</v>
      </c>
      <c r="G45" s="10">
        <f>water_ON!G45 - water_OFF!G45 - AVERAGE(G$62:G$63)</f>
        <v>2.8000000000000398</v>
      </c>
      <c r="H45" s="10">
        <f>water_ON!H45 - water_OFF!H45 - AVERAGE(H$62:H$63)</f>
        <v>6.8999999999999488</v>
      </c>
      <c r="I45" s="10">
        <f>water_ON!I45 - water_OFF!I45 - AVERAGE(I$62:I$63)</f>
        <v>5.3000000000000114</v>
      </c>
      <c r="J45" s="10">
        <f>water_ON!J45 - water_OFF!J45 - AVERAGE(J$62:J$63)</f>
        <v>4.3500000000000227</v>
      </c>
      <c r="K45" s="10">
        <f>water_ON!K45 - water_OFF!K45 - AVERAGE(K$62:K$63)</f>
        <v>4.0500000000000114</v>
      </c>
      <c r="L45" s="10">
        <f>water_ON!L45 - water_OFF!L45 - AVERAGE(L$62:L$63)</f>
        <v>7.1000000000000227</v>
      </c>
      <c r="M45" s="10">
        <f>water_ON!M45 - water_OFF!M45 - AVERAGE(M$62:M$63)</f>
        <v>8.5500000000000114</v>
      </c>
      <c r="N45" s="10">
        <f>water_ON!N45 - water_OFF!N45 - AVERAGE(N$62:N$63)</f>
        <v>7.1500000000000057</v>
      </c>
      <c r="O45" s="10">
        <f>water_ON!O45 - water_OFF!O45 - AVERAGE(O$62:O$63)</f>
        <v>5.0500000000000114</v>
      </c>
      <c r="P45" s="10">
        <f>water_ON!P45 - water_OFF!P45 - AVERAGE(P$62:P$63)</f>
        <v>7.1499999999999773</v>
      </c>
      <c r="Q45" s="10">
        <f>water_ON!Q45 - water_OFF!Q45 - AVERAGE(Q$62:Q$63)</f>
        <v>9.1000000000000227</v>
      </c>
      <c r="R45" s="10">
        <f>water_ON!R45 - water_OFF!R45 - AVERAGE(R$62:R$63)</f>
        <v>4.3500000000000227</v>
      </c>
      <c r="S45" s="10">
        <f>water_ON!S45 - water_OFF!S45 - AVERAGE(S$62:S$63)</f>
        <v>11.600000000000051</v>
      </c>
      <c r="T45" s="10">
        <f>water_ON!T45 - water_OFF!T45 - AVERAGE(T$62:T$63)</f>
        <v>8.7999999999999829</v>
      </c>
      <c r="U45" s="10">
        <f>water_ON!U45 - water_OFF!U45 - AVERAGE(U$62:U$63)</f>
        <v>5.5</v>
      </c>
      <c r="V45" s="10">
        <f>water_ON!V45 - water_OFF!V45 - AVERAGE(V$62:V$63)</f>
        <v>4.0499999999999829</v>
      </c>
      <c r="W45" s="10">
        <f>water_ON!W45 - water_OFF!W45 - AVERAGE(W$62:W$63)</f>
        <v>5.8500000000000227</v>
      </c>
      <c r="X45" s="10">
        <f>water_ON!X45 - water_OFF!X45 - AVERAGE(X$62:X$63)</f>
        <v>2.6500000000000057</v>
      </c>
      <c r="Y45" s="10">
        <f>water_ON!Y45 - water_OFF!Y45 - AVERAGE(Y$62:Y$63)</f>
        <v>1.8499999999999943</v>
      </c>
      <c r="Z45" s="10">
        <f>water_ON!Z45 - water_OFF!Z45 - AVERAGE(Z$62:Z$63)</f>
        <v>5.2999999999999545</v>
      </c>
      <c r="AA45" s="10">
        <f>water_ON!AA45 - water_OFF!AA45 - AVERAGE(AA$62:AA$63)</f>
        <v>1.2000000000000171</v>
      </c>
      <c r="AB45" s="10">
        <f>water_ON!AB45 - water_OFF!AB45 - AVERAGE(AB$62:AB$63)</f>
        <v>4.1499999999999773</v>
      </c>
      <c r="AC45" s="10">
        <f>water_ON!AC45 - water_OFF!AC45 - AVERAGE(AC$62:AC$63)</f>
        <v>2.6499999999999773</v>
      </c>
      <c r="AD45" s="10">
        <f>water_ON!AD45 - water_OFF!AD45 - AVERAGE(AD$62:AD$63)</f>
        <v>2.3000000000000114</v>
      </c>
      <c r="AE45" s="10">
        <f>water_ON!AE45 - water_OFF!AE45 - AVERAGE(AE$62:AE$63)</f>
        <v>2.3000000000000114</v>
      </c>
      <c r="AF45" s="10">
        <f>water_ON!AF45 - water_OFF!AF45 - AVERAGE(AF$62:AF$63)</f>
        <v>5.3999999999999773</v>
      </c>
      <c r="AG45" s="10">
        <f>water_ON!AG45 - water_OFF!AG45 - AVERAGE(AG$62:AG$63)</f>
        <v>2.0500000000000114</v>
      </c>
      <c r="AH45" s="10">
        <f>water_ON!AH45 - water_OFF!AH45 - AVERAGE(AH$62:AH$63)</f>
        <v>0.59999999999999432</v>
      </c>
      <c r="AI45" s="10">
        <f>water_ON!AI45 - water_OFF!AI45 - AVERAGE(AI$62:AI$63)</f>
        <v>0.59999999999996589</v>
      </c>
      <c r="AJ45" s="10">
        <f>water_ON!AJ45 - water_OFF!AJ45 - AVERAGE(AJ$62:AJ$63)</f>
        <v>2.4000000000000057</v>
      </c>
      <c r="AK45" s="10">
        <f>water_ON!AK45 - water_OFF!AK45 - AVERAGE(AK$62:AK$63)</f>
        <v>2.6500000000000057</v>
      </c>
      <c r="AN45" s="1"/>
      <c r="AO45" s="17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</row>
    <row r="46" spans="1:65">
      <c r="A46" s="30">
        <v>45</v>
      </c>
      <c r="B46" s="10">
        <f>water_ON!B46 - water_OFF!B46 - AVERAGE(B$62:B$63)</f>
        <v>13.650000000000006</v>
      </c>
      <c r="C46" s="10">
        <f>water_ON!C46 - water_OFF!C46 - AVERAGE(C$62:C$63)</f>
        <v>19.100000000000051</v>
      </c>
      <c r="D46" s="10">
        <f>water_ON!D46 - water_OFF!D46 - AVERAGE(D$62:D$63)</f>
        <v>19.400000000000006</v>
      </c>
      <c r="E46" s="10">
        <f>water_ON!E46 - water_OFF!E46 - AVERAGE(E$62:E$63)</f>
        <v>19.099999999999994</v>
      </c>
      <c r="F46" s="10">
        <f>water_ON!F46 - water_OFF!F46 - AVERAGE(F$62:F$63)</f>
        <v>8.9500000000000171</v>
      </c>
      <c r="G46" s="10">
        <f>water_ON!G46 - water_OFF!G46 - AVERAGE(G$62:G$63)</f>
        <v>11.599999999999994</v>
      </c>
      <c r="H46" s="10">
        <f>water_ON!H46 - water_OFF!H46 - AVERAGE(H$62:H$63)</f>
        <v>14.799999999999983</v>
      </c>
      <c r="I46" s="10">
        <f>water_ON!I46 - water_OFF!I46 - AVERAGE(I$62:I$63)</f>
        <v>13.600000000000023</v>
      </c>
      <c r="J46" s="10">
        <f>water_ON!J46 - water_OFF!J46 - AVERAGE(J$62:J$63)</f>
        <v>9.5500000000000114</v>
      </c>
      <c r="K46" s="10">
        <f>water_ON!K46 - water_OFF!K46 - AVERAGE(K$62:K$63)</f>
        <v>7.6499999999999773</v>
      </c>
      <c r="L46" s="10">
        <f>water_ON!L46 - water_OFF!L46 - AVERAGE(L$62:L$63)</f>
        <v>15.400000000000034</v>
      </c>
      <c r="M46" s="10">
        <f>water_ON!M46 - water_OFF!M46 - AVERAGE(M$62:M$63)</f>
        <v>9.3500000000000227</v>
      </c>
      <c r="N46" s="10">
        <f>water_ON!N46 - water_OFF!N46 - AVERAGE(N$62:N$63)</f>
        <v>6.7499999999999716</v>
      </c>
      <c r="O46" s="10">
        <f>water_ON!O46 - water_OFF!O46 - AVERAGE(O$62:O$63)</f>
        <v>6.4499999999999886</v>
      </c>
      <c r="P46" s="10">
        <f>water_ON!P46 - water_OFF!P46 - AVERAGE(P$62:P$63)</f>
        <v>10.350000000000023</v>
      </c>
      <c r="Q46" s="10">
        <f>water_ON!Q46 - water_OFF!Q46 - AVERAGE(Q$62:Q$63)</f>
        <v>7.8000000000000114</v>
      </c>
      <c r="R46" s="10">
        <f>water_ON!R46 - water_OFF!R46 - AVERAGE(R$62:R$63)</f>
        <v>8.75</v>
      </c>
      <c r="S46" s="10">
        <f>water_ON!S46 - water_OFF!S46 - AVERAGE(S$62:S$63)</f>
        <v>4.2999999999999829</v>
      </c>
      <c r="T46" s="10">
        <f>water_ON!T46 - water_OFF!T46 - AVERAGE(T$62:T$63)</f>
        <v>9.1999999999999602</v>
      </c>
      <c r="U46" s="10">
        <f>water_ON!U46 - water_OFF!U46 - AVERAGE(U$62:U$63)</f>
        <v>11</v>
      </c>
      <c r="V46" s="10">
        <f>water_ON!V46 - water_OFF!V46 - AVERAGE(V$62:V$63)</f>
        <v>10.750000000000028</v>
      </c>
      <c r="W46" s="10">
        <f>water_ON!W46 - water_OFF!W46 - AVERAGE(W$62:W$63)</f>
        <v>4.5500000000000114</v>
      </c>
      <c r="X46" s="10">
        <f>water_ON!X46 - water_OFF!X46 - AVERAGE(X$62:X$63)</f>
        <v>10.250000000000028</v>
      </c>
      <c r="Y46" s="10">
        <f>water_ON!Y46 - water_OFF!Y46 - AVERAGE(Y$62:Y$63)</f>
        <v>8.2499999999999716</v>
      </c>
      <c r="Z46" s="10">
        <f>water_ON!Z46 - water_OFF!Z46 - AVERAGE(Z$62:Z$63)</f>
        <v>6.2000000000000455</v>
      </c>
      <c r="AA46" s="10">
        <f>water_ON!AA46 - water_OFF!AA46 - AVERAGE(AA$62:AA$63)</f>
        <v>10.600000000000051</v>
      </c>
      <c r="AB46" s="10">
        <f>water_ON!AB46 - water_OFF!AB46 - AVERAGE(AB$62:AB$63)</f>
        <v>9.2499999999999432</v>
      </c>
      <c r="AC46" s="10">
        <f>water_ON!AC46 - water_OFF!AC46 - AVERAGE(AC$62:AC$63)</f>
        <v>7.9499999999999886</v>
      </c>
      <c r="AD46" s="10">
        <f>water_ON!AD46 - water_OFF!AD46 - AVERAGE(AD$62:AD$63)</f>
        <v>10.5</v>
      </c>
      <c r="AE46" s="10">
        <f>water_ON!AE46 - water_OFF!AE46 - AVERAGE(AE$62:AE$63)</f>
        <v>7.3999999999999773</v>
      </c>
      <c r="AF46" s="10">
        <f>water_ON!AF46 - water_OFF!AF46 - AVERAGE(AF$62:AF$63)</f>
        <v>6.1000000000000227</v>
      </c>
      <c r="AG46" s="10">
        <f>water_ON!AG46 - water_OFF!AG46 - AVERAGE(AG$62:AG$63)</f>
        <v>6.0500000000000114</v>
      </c>
      <c r="AH46" s="10">
        <f>water_ON!AH46 - water_OFF!AH46 - AVERAGE(AH$62:AH$63)</f>
        <v>6.9000000000000057</v>
      </c>
      <c r="AI46" s="10">
        <f>water_ON!AI46 - water_OFF!AI46 - AVERAGE(AI$62:AI$63)</f>
        <v>4.1000000000000227</v>
      </c>
      <c r="AJ46" s="10">
        <f>water_ON!AJ46 - water_OFF!AJ46 - AVERAGE(AJ$62:AJ$63)</f>
        <v>8.0999999999999943</v>
      </c>
      <c r="AK46" s="10">
        <f>water_ON!AK46 - water_OFF!AK46 - AVERAGE(AK$62:AK$63)</f>
        <v>15.349999999999937</v>
      </c>
      <c r="AL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</row>
    <row r="47" spans="1:65">
      <c r="A47" s="30">
        <v>46</v>
      </c>
      <c r="B47" s="10">
        <f>water_ON!B47 - water_OFF!B47 - AVERAGE(B$62:B$63)</f>
        <v>5.2499999999999716</v>
      </c>
      <c r="C47" s="10">
        <f>water_ON!C47 - water_OFF!C47 - AVERAGE(C$62:C$63)</f>
        <v>-0.29999999999998295</v>
      </c>
      <c r="D47" s="10">
        <f>water_ON!D47 - water_OFF!D47 - AVERAGE(D$62:D$63)</f>
        <v>4.3000000000000398</v>
      </c>
      <c r="E47" s="10">
        <f>water_ON!E47 - water_OFF!E47 - AVERAGE(E$62:E$63)</f>
        <v>5.0999999999999943</v>
      </c>
      <c r="F47" s="10">
        <f>water_ON!F47 - water_OFF!F47 - AVERAGE(F$62:F$63)</f>
        <v>8.8499999999999943</v>
      </c>
      <c r="G47" s="10">
        <f>water_ON!G47 - water_OFF!G47 - AVERAGE(G$62:G$63)</f>
        <v>0.59999999999999432</v>
      </c>
      <c r="H47" s="10">
        <f>water_ON!H47 - water_OFF!H47 - AVERAGE(H$62:H$63)</f>
        <v>-0.40000000000000568</v>
      </c>
      <c r="I47" s="10">
        <f>water_ON!I47 - water_OFF!I47 - AVERAGE(I$62:I$63)</f>
        <v>1.5</v>
      </c>
      <c r="J47" s="10">
        <f>water_ON!J47 - water_OFF!J47 - AVERAGE(J$62:J$63)</f>
        <v>0.14999999999997726</v>
      </c>
      <c r="K47" s="10">
        <f>water_ON!K47 - water_OFF!K47 - AVERAGE(K$62:K$63)</f>
        <v>0.25</v>
      </c>
      <c r="L47" s="10">
        <f>water_ON!L47 - water_OFF!L47 - AVERAGE(L$62:L$63)</f>
        <v>9.9999999999965894E-2</v>
      </c>
      <c r="M47" s="10">
        <f>water_ON!M47 - water_OFF!M47 - AVERAGE(M$62:M$63)</f>
        <v>0.85000000000002274</v>
      </c>
      <c r="N47" s="10">
        <f>water_ON!N47 - water_OFF!N47 - AVERAGE(N$62:N$63)</f>
        <v>2.2499999999999716</v>
      </c>
      <c r="O47" s="10">
        <f>water_ON!O47 - water_OFF!O47 - AVERAGE(O$62:O$63)</f>
        <v>1.0499999999999545</v>
      </c>
      <c r="P47" s="10">
        <f>water_ON!P47 - water_OFF!P47 - AVERAGE(P$62:P$63)</f>
        <v>2.8500000000000227</v>
      </c>
      <c r="Q47" s="10">
        <f>water_ON!Q47 - water_OFF!Q47 - AVERAGE(Q$62:Q$63)</f>
        <v>0.5</v>
      </c>
      <c r="R47" s="10">
        <f>water_ON!R47 - water_OFF!R47 - AVERAGE(R$62:R$63)</f>
        <v>1.7500000000000568</v>
      </c>
      <c r="S47" s="10">
        <f>water_ON!S47 - water_OFF!S47 - AVERAGE(S$62:S$63)</f>
        <v>2.8421709430404007E-14</v>
      </c>
      <c r="T47" s="10">
        <f>water_ON!T47 - water_OFF!T47 - AVERAGE(T$62:T$63)</f>
        <v>0.69999999999996021</v>
      </c>
      <c r="U47" s="10">
        <f>water_ON!U47 - water_OFF!U47 - AVERAGE(U$62:U$63)</f>
        <v>0.29999999999995453</v>
      </c>
      <c r="V47" s="10">
        <f>water_ON!V47 - water_OFF!V47 - AVERAGE(V$62:V$63)</f>
        <v>0.95000000000001705</v>
      </c>
      <c r="W47" s="10">
        <f>water_ON!W47 - water_OFF!W47 - AVERAGE(W$62:W$63)</f>
        <v>7.0500000000000114</v>
      </c>
      <c r="X47" s="10">
        <f>water_ON!X47 - water_OFF!X47 - AVERAGE(X$62:X$63)</f>
        <v>0.35000000000005116</v>
      </c>
      <c r="Y47" s="10">
        <f>water_ON!Y47 - water_OFF!Y47 - AVERAGE(Y$62:Y$63)</f>
        <v>0.24999999999997158</v>
      </c>
      <c r="Z47" s="10">
        <f>water_ON!Z47 - water_OFF!Z47 - AVERAGE(Z$62:Z$63)</f>
        <v>2.3000000000000114</v>
      </c>
      <c r="AA47" s="10">
        <f>water_ON!AA47 - water_OFF!AA47 - AVERAGE(AA$62:AA$63)</f>
        <v>0.40000000000000568</v>
      </c>
      <c r="AB47" s="10">
        <f>water_ON!AB47 - water_OFF!AB47 - AVERAGE(AB$62:AB$63)</f>
        <v>0.85000000000002274</v>
      </c>
      <c r="AC47" s="10">
        <f>water_ON!AC47 - water_OFF!AC47 - AVERAGE(AC$62:AC$63)</f>
        <v>0.34999999999996589</v>
      </c>
      <c r="AD47" s="10">
        <f>water_ON!AD47 - water_OFF!AD47 - AVERAGE(AD$62:AD$63)</f>
        <v>0.19999999999998863</v>
      </c>
      <c r="AE47" s="10">
        <f>water_ON!AE47 - water_OFF!AE47 - AVERAGE(AE$62:AE$63)</f>
        <v>0.39999999999997726</v>
      </c>
      <c r="AF47" s="10">
        <f>water_ON!AF47 - water_OFF!AF47 - AVERAGE(AF$62:AF$63)</f>
        <v>0</v>
      </c>
      <c r="AG47" s="10">
        <f>water_ON!AG47 - water_OFF!AG47 - AVERAGE(AG$62:AG$63)</f>
        <v>0.35000000000002274</v>
      </c>
      <c r="AH47" s="10">
        <f>water_ON!AH47 - water_OFF!AH47 - AVERAGE(AH$62:AH$63)</f>
        <v>-0.70000000000001705</v>
      </c>
      <c r="AI47" s="10">
        <f>water_ON!AI47 - water_OFF!AI47 - AVERAGE(AI$62:AI$63)</f>
        <v>2</v>
      </c>
      <c r="AJ47" s="10">
        <f>water_ON!AJ47 - water_OFF!AJ47 - AVERAGE(AJ$62:AJ$63)</f>
        <v>0.19999999999996021</v>
      </c>
      <c r="AK47" s="10">
        <f>water_ON!AK47 - water_OFF!AK47 - AVERAGE(AK$62:AK$63)</f>
        <v>4.9999999999982947E-2</v>
      </c>
      <c r="AL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</row>
    <row r="48" spans="1:65">
      <c r="A48" s="30">
        <v>47</v>
      </c>
      <c r="B48" s="10">
        <f>water_ON!B48 - water_OFF!B48 - AVERAGE(B$62:B$63)</f>
        <v>0.15000000000000568</v>
      </c>
      <c r="C48" s="10">
        <f>water_ON!C48 - water_OFF!C48 - AVERAGE(C$62:C$63)</f>
        <v>17.299999999999983</v>
      </c>
      <c r="D48" s="10">
        <f>water_ON!D48 - water_OFF!D48 - AVERAGE(D$62:D$63)</f>
        <v>10.400000000000006</v>
      </c>
      <c r="E48" s="10">
        <f>water_ON!E48 - water_OFF!E48 - AVERAGE(E$62:E$63)</f>
        <v>1.1999999999999602</v>
      </c>
      <c r="F48" s="10">
        <f>water_ON!F48 - water_OFF!F48 - AVERAGE(F$62:F$63)</f>
        <v>17.349999999999994</v>
      </c>
      <c r="G48" s="10">
        <f>water_ON!G48 - water_OFF!G48 - AVERAGE(G$62:G$63)</f>
        <v>21.700000000000017</v>
      </c>
      <c r="H48" s="10">
        <f>water_ON!H48 - water_OFF!H48 - AVERAGE(H$62:H$63)</f>
        <v>21.599999999999994</v>
      </c>
      <c r="I48" s="10">
        <f>water_ON!I48 - water_OFF!I48 - AVERAGE(I$62:I$63)</f>
        <v>11.699999999999989</v>
      </c>
      <c r="J48" s="10">
        <f>water_ON!J48 - water_OFF!J48 - AVERAGE(J$62:J$63)</f>
        <v>12.749999999999943</v>
      </c>
      <c r="K48" s="10">
        <f>water_ON!K48 - water_OFF!K48 - AVERAGE(K$62:K$63)</f>
        <v>5.3499999999999659</v>
      </c>
      <c r="L48" s="10">
        <f>water_ON!L48 - water_OFF!L48 - AVERAGE(L$62:L$63)</f>
        <v>18.199999999999989</v>
      </c>
      <c r="M48" s="10">
        <f>water_ON!M48 - water_OFF!M48 - AVERAGE(M$62:M$63)</f>
        <v>19.150000000000034</v>
      </c>
      <c r="N48" s="10">
        <f>water_ON!N48 - water_OFF!N48 - AVERAGE(N$62:N$63)</f>
        <v>13.749999999999972</v>
      </c>
      <c r="O48" s="10">
        <f>water_ON!O48 - water_OFF!O48 - AVERAGE(O$62:O$63)</f>
        <v>18.049999999999955</v>
      </c>
      <c r="P48" s="10">
        <f>water_ON!P48 - water_OFF!P48 - AVERAGE(P$62:P$63)</f>
        <v>15.649999999999977</v>
      </c>
      <c r="Q48" s="10">
        <f>water_ON!Q48 - water_OFF!Q48 - AVERAGE(Q$62:Q$63)</f>
        <v>17.400000000000034</v>
      </c>
      <c r="R48" s="10">
        <f>water_ON!R48 - water_OFF!R48 - AVERAGE(R$62:R$63)</f>
        <v>23.550000000000011</v>
      </c>
      <c r="S48" s="10">
        <f>water_ON!S48 - water_OFF!S48 - AVERAGE(S$62:S$63)</f>
        <v>19.100000000000051</v>
      </c>
      <c r="T48" s="10">
        <f>water_ON!T48 - water_OFF!T48 - AVERAGE(T$62:T$63)</f>
        <v>19.099999999999994</v>
      </c>
      <c r="U48" s="10">
        <f>water_ON!U48 - water_OFF!U48 - AVERAGE(U$62:U$63)</f>
        <v>20.800000000000011</v>
      </c>
      <c r="V48" s="10">
        <f>water_ON!V48 - water_OFF!V48 - AVERAGE(V$62:V$63)</f>
        <v>20.450000000000017</v>
      </c>
      <c r="W48" s="10">
        <f>water_ON!W48 - water_OFF!W48 - AVERAGE(W$62:W$63)</f>
        <v>16.350000000000023</v>
      </c>
      <c r="X48" s="10">
        <f>water_ON!X48 - water_OFF!X48 - AVERAGE(X$62:X$63)</f>
        <v>16.250000000000028</v>
      </c>
      <c r="Y48" s="10">
        <f>water_ON!Y48 - water_OFF!Y48 - AVERAGE(Y$62:Y$63)</f>
        <v>13.94999999999996</v>
      </c>
      <c r="Z48" s="10">
        <f>water_ON!Z48 - water_OFF!Z48 - AVERAGE(Z$62:Z$63)</f>
        <v>16.5</v>
      </c>
      <c r="AA48" s="10">
        <f>water_ON!AA48 - water_OFF!AA48 - AVERAGE(AA$62:AA$63)</f>
        <v>15.400000000000006</v>
      </c>
      <c r="AB48" s="10">
        <f>water_ON!AB48 - water_OFF!AB48 - AVERAGE(AB$62:AB$63)</f>
        <v>12.75</v>
      </c>
      <c r="AC48" s="10">
        <f>water_ON!AC48 - water_OFF!AC48 - AVERAGE(AC$62:AC$63)</f>
        <v>10.849999999999966</v>
      </c>
      <c r="AD48" s="10">
        <f>water_ON!AD48 - water_OFF!AD48 - AVERAGE(AD$62:AD$63)</f>
        <v>17.5</v>
      </c>
      <c r="AE48" s="10">
        <f>water_ON!AE48 - water_OFF!AE48 - AVERAGE(AE$62:AE$63)</f>
        <v>14.800000000000011</v>
      </c>
      <c r="AF48" s="10">
        <f>water_ON!AF48 - water_OFF!AF48 - AVERAGE(AF$62:AF$63)</f>
        <v>18.300000000000011</v>
      </c>
      <c r="AG48" s="10">
        <f>water_ON!AG48 - water_OFF!AG48 - AVERAGE(AG$62:AG$63)</f>
        <v>13.149999999999977</v>
      </c>
      <c r="AH48" s="10">
        <f>water_ON!AH48 - water_OFF!AH48 - AVERAGE(AH$62:AH$63)</f>
        <v>14.899999999999949</v>
      </c>
      <c r="AI48" s="10">
        <f>water_ON!AI48 - water_OFF!AI48 - AVERAGE(AI$62:AI$63)</f>
        <v>27.100000000000023</v>
      </c>
      <c r="AJ48" s="10">
        <f>water_ON!AJ48 - water_OFF!AJ48 - AVERAGE(AJ$62:AJ$63)</f>
        <v>15.900000000000006</v>
      </c>
      <c r="AK48" s="10">
        <f>water_ON!AK48 - water_OFF!AK48 - AVERAGE(AK$62:AK$63)</f>
        <v>19.049999999999983</v>
      </c>
      <c r="AL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</row>
    <row r="49" spans="1:66">
      <c r="A49" s="30">
        <v>48</v>
      </c>
      <c r="B49" s="10">
        <f>water_ON!B49 - water_OFF!B49 - AVERAGE(B$62:B$63)</f>
        <v>13.950000000000017</v>
      </c>
      <c r="C49" s="10">
        <f>water_ON!C49 - water_OFF!C49 - AVERAGE(C$62:C$63)</f>
        <v>-0.29999999999998295</v>
      </c>
      <c r="D49" s="10">
        <f>water_ON!D49 - water_OFF!D49 - AVERAGE(D$62:D$63)</f>
        <v>31.400000000000006</v>
      </c>
      <c r="E49" s="10">
        <f>water_ON!E49 - water_OFF!E49 - AVERAGE(E$62:E$63)</f>
        <v>26.599999999999937</v>
      </c>
      <c r="F49" s="10">
        <f>water_ON!F49 - water_OFF!F49 - AVERAGE(F$62:F$63)</f>
        <v>22.450000000000017</v>
      </c>
      <c r="G49" s="10">
        <f>water_ON!G49 - water_OFF!G49 - AVERAGE(G$62:G$63)</f>
        <v>15.900000000000063</v>
      </c>
      <c r="H49" s="10">
        <f>water_ON!H49 - water_OFF!H49 - AVERAGE(H$62:H$63)</f>
        <v>16.69999999999996</v>
      </c>
      <c r="I49" s="10">
        <f>water_ON!I49 - water_OFF!I49 - AVERAGE(I$62:I$63)</f>
        <v>13.300000000000011</v>
      </c>
      <c r="J49" s="10">
        <f>water_ON!J49 - water_OFF!J49 - AVERAGE(J$62:J$63)</f>
        <v>16.049999999999955</v>
      </c>
      <c r="K49" s="10">
        <f>water_ON!K49 - water_OFF!K49 - AVERAGE(K$62:K$63)</f>
        <v>15.75</v>
      </c>
      <c r="L49" s="10">
        <f>water_ON!L49 - water_OFF!L49 - AVERAGE(L$62:L$63)</f>
        <v>11.800000000000011</v>
      </c>
      <c r="M49" s="10">
        <f>water_ON!M49 - water_OFF!M49 - AVERAGE(M$62:M$63)</f>
        <v>12.950000000000045</v>
      </c>
      <c r="N49" s="10">
        <f>water_ON!N49 - water_OFF!N49 - AVERAGE(N$62:N$63)</f>
        <v>14.049999999999983</v>
      </c>
      <c r="O49" s="10">
        <f>water_ON!O49 - water_OFF!O49 - AVERAGE(O$62:O$63)</f>
        <v>13.350000000000023</v>
      </c>
      <c r="P49" s="10">
        <f>water_ON!P49 - water_OFF!P49 - AVERAGE(P$62:P$63)</f>
        <v>10.149999999999977</v>
      </c>
      <c r="Q49" s="10">
        <f>water_ON!Q49 - water_OFF!Q49 - AVERAGE(Q$62:Q$63)</f>
        <v>16</v>
      </c>
      <c r="R49" s="10">
        <f>water_ON!R49 - water_OFF!R49 - AVERAGE(R$62:R$63)</f>
        <v>13.550000000000068</v>
      </c>
      <c r="S49" s="10">
        <f>water_ON!S49 - water_OFF!S49 - AVERAGE(S$62:S$63)</f>
        <v>12.299999999999983</v>
      </c>
      <c r="T49" s="10">
        <f>water_ON!T49 - water_OFF!T49 - AVERAGE(T$62:T$63)</f>
        <v>24.30000000000004</v>
      </c>
      <c r="U49" s="10">
        <f>water_ON!U49 - water_OFF!U49 - AVERAGE(U$62:U$63)</f>
        <v>14.899999999999977</v>
      </c>
      <c r="V49" s="10">
        <f>water_ON!V49 - water_OFF!V49 - AVERAGE(V$62:V$63)</f>
        <v>11.049999999999983</v>
      </c>
      <c r="W49" s="10">
        <f>water_ON!W49 - water_OFF!W49 - AVERAGE(W$62:W$63)</f>
        <v>10.650000000000034</v>
      </c>
      <c r="X49" s="10">
        <f>water_ON!X49 - water_OFF!X49 - AVERAGE(X$62:X$63)</f>
        <v>6.1500000000000625</v>
      </c>
      <c r="Y49" s="10">
        <f>water_ON!Y49 - water_OFF!Y49 - AVERAGE(Y$62:Y$63)</f>
        <v>7.9499999999999602</v>
      </c>
      <c r="Z49" s="10">
        <f>water_ON!Z49 - water_OFF!Z49 - AVERAGE(Z$62:Z$63)</f>
        <v>18.799999999999955</v>
      </c>
      <c r="AA49" s="10">
        <f>water_ON!AA49 - water_OFF!AA49 - AVERAGE(AA$62:AA$63)</f>
        <v>10.000000000000028</v>
      </c>
      <c r="AB49" s="10">
        <f>water_ON!AB49 - water_OFF!AB49 - AVERAGE(AB$62:AB$63)</f>
        <v>16.849999999999966</v>
      </c>
      <c r="AC49" s="10">
        <f>water_ON!AC49 - water_OFF!AC49 - AVERAGE(AC$62:AC$63)</f>
        <v>9.25</v>
      </c>
      <c r="AD49" s="10">
        <f>water_ON!AD49 - water_OFF!AD49 - AVERAGE(AD$62:AD$63)</f>
        <v>4.3000000000000114</v>
      </c>
      <c r="AE49" s="10">
        <f>water_ON!AE49 - water_OFF!AE49 - AVERAGE(AE$62:AE$63)</f>
        <v>9.6000000000000227</v>
      </c>
      <c r="AF49" s="10">
        <f>water_ON!AF49 - water_OFF!AF49 - AVERAGE(AF$62:AF$63)</f>
        <v>8.3999999999999773</v>
      </c>
      <c r="AG49" s="10">
        <f>water_ON!AG49 - water_OFF!AG49 - AVERAGE(AG$62:AG$63)</f>
        <v>10.550000000000011</v>
      </c>
      <c r="AH49" s="10">
        <f>water_ON!AH49 - water_OFF!AH49 - AVERAGE(AH$62:AH$63)</f>
        <v>6.4000000000000057</v>
      </c>
      <c r="AI49" s="10">
        <f>water_ON!AI49 - water_OFF!AI49 - AVERAGE(AI$62:AI$63)</f>
        <v>6.3999999999999773</v>
      </c>
      <c r="AJ49" s="10">
        <f>water_ON!AJ49 - water_OFF!AJ49 - AVERAGE(AJ$62:AJ$63)</f>
        <v>6.7999999999999829</v>
      </c>
      <c r="AK49" s="10">
        <f>water_ON!AK49 - water_OFF!AK49 - AVERAGE(AK$62:AK$63)</f>
        <v>10.349999999999994</v>
      </c>
      <c r="AL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  <row r="50" spans="1:66">
      <c r="A50" s="30">
        <v>49</v>
      </c>
      <c r="B50" s="10">
        <f>water_ON!B50 - water_OFF!B50 - AVERAGE(B$62:B$63)</f>
        <v>33.649999999999949</v>
      </c>
      <c r="C50" s="10">
        <f>water_ON!C50 - water_OFF!C50 - AVERAGE(C$62:C$63)</f>
        <v>-0.29999999999998295</v>
      </c>
      <c r="D50" s="10">
        <f>water_ON!D50 - water_OFF!D50 - AVERAGE(D$62:D$63)</f>
        <v>33.700000000000017</v>
      </c>
      <c r="E50" s="10">
        <f>water_ON!E50 - water_OFF!E50 - AVERAGE(E$62:E$63)</f>
        <v>37.999999999999972</v>
      </c>
      <c r="F50" s="10">
        <f>water_ON!F50 - water_OFF!F50 - AVERAGE(F$62:F$63)</f>
        <v>35.849999999999994</v>
      </c>
      <c r="G50" s="10">
        <f>water_ON!G50 - water_OFF!G50 - AVERAGE(G$62:G$63)</f>
        <v>36.900000000000006</v>
      </c>
      <c r="H50" s="10">
        <f>water_ON!H50 - water_OFF!H50 - AVERAGE(H$62:H$63)</f>
        <v>40.299999999999983</v>
      </c>
      <c r="I50" s="10">
        <f>water_ON!I50 - water_OFF!I50 - AVERAGE(I$62:I$63)</f>
        <v>29.899999999999977</v>
      </c>
      <c r="J50" s="10">
        <f>water_ON!J50 - water_OFF!J50 - AVERAGE(J$62:J$63)</f>
        <v>32.549999999999955</v>
      </c>
      <c r="K50" s="10">
        <f>water_ON!K50 - water_OFF!K50 - AVERAGE(K$62:K$63)</f>
        <v>28.25</v>
      </c>
      <c r="L50" s="10">
        <f>water_ON!L50 - water_OFF!L50 - AVERAGE(L$62:L$63)</f>
        <v>24.599999999999966</v>
      </c>
      <c r="M50" s="10">
        <f>water_ON!M50 - water_OFF!M50 - AVERAGE(M$62:M$63)</f>
        <v>26.449999999999989</v>
      </c>
      <c r="N50" s="10">
        <f>water_ON!N50 - water_OFF!N50 - AVERAGE(N$62:N$63)</f>
        <v>19.049999999999983</v>
      </c>
      <c r="O50" s="10">
        <f>water_ON!O50 - water_OFF!O50 - AVERAGE(O$62:O$63)</f>
        <v>25.050000000000011</v>
      </c>
      <c r="P50" s="10">
        <f>water_ON!P50 - water_OFF!P50 - AVERAGE(P$62:P$63)</f>
        <v>19.75</v>
      </c>
      <c r="Q50" s="10">
        <f>water_ON!Q50 - water_OFF!Q50 - AVERAGE(Q$62:Q$63)</f>
        <v>25.300000000000011</v>
      </c>
      <c r="R50" s="10">
        <f>water_ON!R50 - water_OFF!R50 - AVERAGE(R$62:R$63)</f>
        <v>22.949999999999989</v>
      </c>
      <c r="S50" s="10">
        <f>water_ON!S50 - water_OFF!S50 - AVERAGE(S$62:S$63)</f>
        <v>18.900000000000063</v>
      </c>
      <c r="T50" s="10">
        <f>water_ON!T50 - water_OFF!T50 - AVERAGE(T$62:T$63)</f>
        <v>16.30000000000004</v>
      </c>
      <c r="U50" s="10">
        <f>water_ON!U50 - water_OFF!U50 - AVERAGE(U$62:U$63)</f>
        <v>21.5</v>
      </c>
      <c r="V50" s="10">
        <f>water_ON!V50 - water_OFF!V50 - AVERAGE(V$62:V$63)</f>
        <v>21.849999999999994</v>
      </c>
      <c r="W50" s="10">
        <f>water_ON!W50 - water_OFF!W50 - AVERAGE(W$62:W$63)</f>
        <v>14.050000000000011</v>
      </c>
      <c r="X50" s="10">
        <f>water_ON!X50 - water_OFF!X50 - AVERAGE(X$62:X$63)</f>
        <v>23.950000000000017</v>
      </c>
      <c r="Y50" s="10">
        <f>water_ON!Y50 - water_OFF!Y50 - AVERAGE(Y$62:Y$63)</f>
        <v>19.650000000000006</v>
      </c>
      <c r="Z50" s="10">
        <f>water_ON!Z50 - water_OFF!Z50 - AVERAGE(Z$62:Z$63)</f>
        <v>15.900000000000034</v>
      </c>
      <c r="AA50" s="10">
        <f>water_ON!AA50 - water_OFF!AA50 - AVERAGE(AA$62:AA$63)</f>
        <v>21.000000000000028</v>
      </c>
      <c r="AB50" s="10">
        <f>water_ON!AB50 - water_OFF!AB50 - AVERAGE(AB$62:AB$63)</f>
        <v>18.949999999999989</v>
      </c>
      <c r="AC50" s="10">
        <f>water_ON!AC50 - water_OFF!AC50 - AVERAGE(AC$62:AC$63)</f>
        <v>24.75</v>
      </c>
      <c r="AD50" s="10">
        <f>water_ON!AD50 - water_OFF!AD50 - AVERAGE(AD$62:AD$63)</f>
        <v>26.099999999999966</v>
      </c>
      <c r="AE50" s="10">
        <f>water_ON!AE50 - water_OFF!AE50 - AVERAGE(AE$62:AE$63)</f>
        <v>21</v>
      </c>
      <c r="AF50" s="10">
        <f>water_ON!AF50 - water_OFF!AF50 - AVERAGE(AF$62:AF$63)</f>
        <v>25.300000000000011</v>
      </c>
      <c r="AG50" s="10">
        <f>water_ON!AG50 - water_OFF!AG50 - AVERAGE(AG$62:AG$63)</f>
        <v>26.949999999999989</v>
      </c>
      <c r="AH50" s="10">
        <f>water_ON!AH50 - water_OFF!AH50 - AVERAGE(AH$62:AH$63)</f>
        <v>30.299999999999983</v>
      </c>
      <c r="AI50" s="10">
        <f>water_ON!AI50 - water_OFF!AI50 - AVERAGE(AI$62:AI$63)</f>
        <v>19.199999999999989</v>
      </c>
      <c r="AJ50" s="10">
        <f>water_ON!AJ50 - water_OFF!AJ50 - AVERAGE(AJ$62:AJ$63)</f>
        <v>27.400000000000006</v>
      </c>
      <c r="AK50" s="10">
        <f>water_ON!AK50 - water_OFF!AK50 - AVERAGE(AK$62:AK$63)</f>
        <v>19.249999999999972</v>
      </c>
      <c r="AL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</row>
    <row r="51" spans="1:66">
      <c r="A51" s="30">
        <v>50</v>
      </c>
      <c r="B51" s="10">
        <f>water_ON!B51 - water_OFF!B51 - AVERAGE(B$62:B$63)</f>
        <v>40.150000000000006</v>
      </c>
      <c r="C51" s="10">
        <f>water_ON!C51 - water_OFF!C51 - AVERAGE(C$62:C$63)</f>
        <v>-0.29999999999998295</v>
      </c>
      <c r="D51" s="10">
        <f>water_ON!D51 - water_OFF!D51 - AVERAGE(D$62:D$63)</f>
        <v>14.200000000000017</v>
      </c>
      <c r="E51" s="10">
        <f>water_ON!E51 - water_OFF!E51 - AVERAGE(E$62:E$63)</f>
        <v>23.400000000000006</v>
      </c>
      <c r="F51" s="10">
        <f>water_ON!F51 - water_OFF!F51 - AVERAGE(F$62:F$63)</f>
        <v>3.9499999999999602</v>
      </c>
      <c r="G51" s="10">
        <f>water_ON!G51 - water_OFF!G51 - AVERAGE(G$62:G$63)</f>
        <v>12.100000000000051</v>
      </c>
      <c r="H51" s="10">
        <f>water_ON!H51 - water_OFF!H51 - AVERAGE(H$62:H$63)</f>
        <v>21.80000000000004</v>
      </c>
      <c r="I51" s="10">
        <f>water_ON!I51 - water_OFF!I51 - AVERAGE(I$62:I$63)</f>
        <v>30.300000000000011</v>
      </c>
      <c r="J51" s="10">
        <f>water_ON!J51 - water_OFF!J51 - AVERAGE(J$62:J$63)</f>
        <v>19.050000000000011</v>
      </c>
      <c r="K51" s="10">
        <f>water_ON!K51 - water_OFF!K51 - AVERAGE(K$62:K$63)</f>
        <v>19.850000000000023</v>
      </c>
      <c r="L51" s="10">
        <f>water_ON!L51 - water_OFF!L51 - AVERAGE(L$62:L$63)</f>
        <v>13.5</v>
      </c>
      <c r="M51" s="10">
        <f>water_ON!M51 - water_OFF!M51 - AVERAGE(M$62:M$63)</f>
        <v>7.5500000000000682</v>
      </c>
      <c r="N51" s="10">
        <f>water_ON!N51 - water_OFF!N51 - AVERAGE(N$62:N$63)</f>
        <v>15.249999999999972</v>
      </c>
      <c r="O51" s="10">
        <f>water_ON!O51 - water_OFF!O51 - AVERAGE(O$62:O$63)</f>
        <v>9.1500000000000341</v>
      </c>
      <c r="P51" s="10">
        <f>water_ON!P51 - water_OFF!P51 - AVERAGE(P$62:P$63)</f>
        <v>13.25</v>
      </c>
      <c r="Q51" s="10">
        <f>water_ON!Q51 - water_OFF!Q51 - AVERAGE(Q$62:Q$63)</f>
        <v>15.199999999999989</v>
      </c>
      <c r="R51" s="10">
        <f>water_ON!R51 - water_OFF!R51 - AVERAGE(R$62:R$63)</f>
        <v>14.25</v>
      </c>
      <c r="S51" s="10">
        <f>water_ON!S51 - water_OFF!S51 - AVERAGE(S$62:S$63)</f>
        <v>16.000000000000085</v>
      </c>
      <c r="T51" s="10">
        <f>water_ON!T51 - water_OFF!T51 - AVERAGE(T$62:T$63)</f>
        <v>18.700000000000017</v>
      </c>
      <c r="U51" s="10">
        <f>water_ON!U51 - water_OFF!U51 - AVERAGE(U$62:U$63)</f>
        <v>16.400000000000034</v>
      </c>
      <c r="V51" s="10">
        <f>water_ON!V51 - water_OFF!V51 - AVERAGE(V$62:V$63)</f>
        <v>19.750000000000028</v>
      </c>
      <c r="W51" s="10">
        <f>water_ON!W51 - water_OFF!W51 - AVERAGE(W$62:W$63)</f>
        <v>17.250000000000057</v>
      </c>
      <c r="X51" s="10">
        <f>water_ON!X51 - water_OFF!X51 - AVERAGE(X$62:X$63)</f>
        <v>14.950000000000074</v>
      </c>
      <c r="Y51" s="10">
        <f>water_ON!Y51 - water_OFF!Y51 - AVERAGE(Y$62:Y$63)</f>
        <v>16.750000000000028</v>
      </c>
      <c r="Z51" s="10">
        <f>water_ON!Z51 - water_OFF!Z51 - AVERAGE(Z$62:Z$63)</f>
        <v>24.5</v>
      </c>
      <c r="AA51" s="10">
        <f>water_ON!AA51 - water_OFF!AA51 - AVERAGE(AA$62:AA$63)</f>
        <v>17.30000000000004</v>
      </c>
      <c r="AB51" s="10">
        <f>water_ON!AB51 - water_OFF!AB51 - AVERAGE(AB$62:AB$63)</f>
        <v>24.749999999999943</v>
      </c>
      <c r="AC51" s="10">
        <f>water_ON!AC51 - water_OFF!AC51 - AVERAGE(AC$62:AC$63)</f>
        <v>25.349999999999966</v>
      </c>
      <c r="AD51" s="10">
        <f>water_ON!AD51 - water_OFF!AD51 - AVERAGE(AD$62:AD$63)</f>
        <v>16.399999999999977</v>
      </c>
      <c r="AE51" s="10">
        <f>water_ON!AE51 - water_OFF!AE51 - AVERAGE(AE$62:AE$63)</f>
        <v>15.100000000000023</v>
      </c>
      <c r="AF51" s="10">
        <f>water_ON!AF51 - water_OFF!AF51 - AVERAGE(AF$62:AF$63)</f>
        <v>17.599999999999966</v>
      </c>
      <c r="AG51" s="10">
        <f>water_ON!AG51 - water_OFF!AG51 - AVERAGE(AG$62:AG$63)</f>
        <v>14.350000000000023</v>
      </c>
      <c r="AH51" s="10">
        <f>water_ON!AH51 - water_OFF!AH51 - AVERAGE(AH$62:AH$63)</f>
        <v>17.200000000000017</v>
      </c>
      <c r="AI51" s="10">
        <f>water_ON!AI51 - water_OFF!AI51 - AVERAGE(AI$62:AI$63)</f>
        <v>11.599999999999966</v>
      </c>
      <c r="AJ51" s="10">
        <f>water_ON!AJ51 - water_OFF!AJ51 - AVERAGE(AJ$62:AJ$63)</f>
        <v>15.900000000000006</v>
      </c>
      <c r="AK51" s="10">
        <f>water_ON!AK51 - water_OFF!AK51 - AVERAGE(AK$62:AK$63)</f>
        <v>9.5499999999999829</v>
      </c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</row>
    <row r="52" spans="1:66">
      <c r="A52" s="30">
        <v>51</v>
      </c>
      <c r="B52" s="10">
        <f>water_ON!B52 - water_OFF!B52 - AVERAGE(B$62:B$63)</f>
        <v>13.150000000000006</v>
      </c>
      <c r="C52" s="10">
        <f>water_ON!C52 - water_OFF!C52 - AVERAGE(C$62:C$63)</f>
        <v>-0.29999999999998295</v>
      </c>
      <c r="D52" s="10">
        <f>water_ON!D52 - water_OFF!D52 - AVERAGE(D$62:D$63)</f>
        <v>-9.9999999999994316E-2</v>
      </c>
      <c r="E52" s="10">
        <f>water_ON!E52 - water_OFF!E52 - AVERAGE(E$62:E$63)</f>
        <v>5.8999999999999488</v>
      </c>
      <c r="F52" s="10">
        <f>water_ON!F52 - water_OFF!F52 - AVERAGE(F$62:F$63)</f>
        <v>5.6500000000000057</v>
      </c>
      <c r="G52" s="10">
        <f>water_ON!G52 - water_OFF!G52 - AVERAGE(G$62:G$63)</f>
        <v>3.0000000000000284</v>
      </c>
      <c r="H52" s="10">
        <f>water_ON!H52 - water_OFF!H52 - AVERAGE(H$62:H$63)</f>
        <v>3.2000000000000171</v>
      </c>
      <c r="I52" s="10">
        <f>water_ON!I52 - water_OFF!I52 - AVERAGE(I$62:I$63)</f>
        <v>3.5999999999999659</v>
      </c>
      <c r="J52" s="10">
        <f>water_ON!J52 - water_OFF!J52 - AVERAGE(J$62:J$63)</f>
        <v>2.1499999999999773</v>
      </c>
      <c r="K52" s="10">
        <f>water_ON!K52 - water_OFF!K52 - AVERAGE(K$62:K$63)</f>
        <v>4.75</v>
      </c>
      <c r="L52" s="10">
        <f>water_ON!L52 - water_OFF!L52 - AVERAGE(L$62:L$63)</f>
        <v>3.3000000000000114</v>
      </c>
      <c r="M52" s="10">
        <f>water_ON!M52 - water_OFF!M52 - AVERAGE(M$62:M$63)</f>
        <v>3.1500000000000341</v>
      </c>
      <c r="N52" s="10">
        <f>water_ON!N52 - water_OFF!N52 - AVERAGE(N$62:N$63)</f>
        <v>5.2499999999999716</v>
      </c>
      <c r="O52" s="10">
        <f>water_ON!O52 - water_OFF!O52 - AVERAGE(O$62:O$63)</f>
        <v>2.1500000000000341</v>
      </c>
      <c r="P52" s="10">
        <f>water_ON!P52 - water_OFF!P52 - AVERAGE(P$62:P$63)</f>
        <v>2.6500000000000341</v>
      </c>
      <c r="Q52" s="10">
        <f>water_ON!Q52 - water_OFF!Q52 - AVERAGE(Q$62:Q$63)</f>
        <v>3</v>
      </c>
      <c r="R52" s="10">
        <f>water_ON!R52 - water_OFF!R52 - AVERAGE(R$62:R$63)</f>
        <v>3.7499999999999432</v>
      </c>
      <c r="S52" s="10">
        <f>water_ON!S52 - water_OFF!S52 - AVERAGE(S$62:S$63)</f>
        <v>2.7000000000000739</v>
      </c>
      <c r="T52" s="10">
        <f>water_ON!T52 - water_OFF!T52 - AVERAGE(T$62:T$63)</f>
        <v>3.0000000000000284</v>
      </c>
      <c r="U52" s="10">
        <f>water_ON!U52 - water_OFF!U52 - AVERAGE(U$62:U$63)</f>
        <v>1.3000000000000114</v>
      </c>
      <c r="V52" s="10">
        <f>water_ON!V52 - water_OFF!V52 - AVERAGE(V$62:V$63)</f>
        <v>2.2500000000000284</v>
      </c>
      <c r="W52" s="10">
        <f>water_ON!W52 - water_OFF!W52 - AVERAGE(W$62:W$63)</f>
        <v>4.3499999999999659</v>
      </c>
      <c r="X52" s="10">
        <f>water_ON!X52 - water_OFF!X52 - AVERAGE(X$62:X$63)</f>
        <v>1.5500000000000398</v>
      </c>
      <c r="Y52" s="10">
        <f>water_ON!Y52 - water_OFF!Y52 - AVERAGE(Y$62:Y$63)</f>
        <v>1.3499999999999943</v>
      </c>
      <c r="Z52" s="10">
        <f>water_ON!Z52 - water_OFF!Z52 - AVERAGE(Z$62:Z$63)</f>
        <v>3.3000000000000114</v>
      </c>
      <c r="AA52" s="10">
        <f>water_ON!AA52 - water_OFF!AA52 - AVERAGE(AA$62:AA$63)</f>
        <v>0.20000000000001705</v>
      </c>
      <c r="AB52" s="10">
        <f>water_ON!AB52 - water_OFF!AB52 - AVERAGE(AB$62:AB$63)</f>
        <v>11.649999999999977</v>
      </c>
      <c r="AC52" s="10">
        <f>water_ON!AC52 - water_OFF!AC52 - AVERAGE(AC$62:AC$63)</f>
        <v>2.4499999999999318</v>
      </c>
      <c r="AD52" s="10">
        <f>water_ON!AD52 - water_OFF!AD52 - AVERAGE(AD$62:AD$63)</f>
        <v>0.5</v>
      </c>
      <c r="AE52" s="10">
        <f>water_ON!AE52 - water_OFF!AE52 - AVERAGE(AE$62:AE$63)</f>
        <v>2.3999999999999773</v>
      </c>
      <c r="AF52" s="10">
        <f>water_ON!AF52 - water_OFF!AF52 - AVERAGE(AF$62:AF$63)</f>
        <v>4</v>
      </c>
      <c r="AG52" s="10">
        <f>water_ON!AG52 - water_OFF!AG52 - AVERAGE(AG$62:AG$63)</f>
        <v>1.25</v>
      </c>
      <c r="AH52" s="10">
        <f>water_ON!AH52 - water_OFF!AH52 - AVERAGE(AH$62:AH$63)</f>
        <v>0.59999999999999432</v>
      </c>
      <c r="AI52" s="10">
        <f>water_ON!AI52 - water_OFF!AI52 - AVERAGE(AI$62:AI$63)</f>
        <v>2.8000000000000114</v>
      </c>
      <c r="AJ52" s="10">
        <f>water_ON!AJ52 - water_OFF!AJ52 - AVERAGE(AJ$62:AJ$63)</f>
        <v>1.4999999999999716</v>
      </c>
      <c r="AK52" s="10">
        <f>water_ON!AK52 - water_OFF!AK52 - AVERAGE(AK$62:AK$63)</f>
        <v>1.0499999999999829</v>
      </c>
      <c r="AM52" s="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</row>
    <row r="53" spans="1:66">
      <c r="A53" s="30">
        <v>52</v>
      </c>
      <c r="B53" s="10">
        <f>water_ON!B53 - water_OFF!B53 - AVERAGE(B$62:B$63)</f>
        <v>10.349999999999937</v>
      </c>
      <c r="C53" s="10">
        <f>water_ON!C53 - water_OFF!C53 - AVERAGE(C$62:C$63)</f>
        <v>9.6000000000000512</v>
      </c>
      <c r="D53" s="10">
        <f>water_ON!D53 - water_OFF!D53 - AVERAGE(D$62:D$63)</f>
        <v>-9.9999999999994316E-2</v>
      </c>
      <c r="E53" s="10">
        <f>water_ON!E53 - water_OFF!E53 - AVERAGE(E$62:E$63)</f>
        <v>5.5999999999999943</v>
      </c>
      <c r="F53" s="10">
        <f>water_ON!F53 - water_OFF!F53 - AVERAGE(F$62:F$63)</f>
        <v>5.9499999999999602</v>
      </c>
      <c r="G53" s="10">
        <f>water_ON!G53 - water_OFF!G53 - AVERAGE(G$62:G$63)</f>
        <v>7.7000000000000171</v>
      </c>
      <c r="H53" s="10">
        <f>water_ON!H53 - water_OFF!H53 - AVERAGE(H$62:H$63)</f>
        <v>5.4999999999999716</v>
      </c>
      <c r="I53" s="10">
        <f>water_ON!I53 - water_OFF!I53 - AVERAGE(I$62:I$63)</f>
        <v>3.9999999999999432</v>
      </c>
      <c r="J53" s="10">
        <f>water_ON!J53 - water_OFF!J53 - AVERAGE(J$62:J$63)</f>
        <v>7.5499999999999545</v>
      </c>
      <c r="K53" s="10">
        <f>water_ON!K53 - water_OFF!K53 - AVERAGE(K$62:K$63)</f>
        <v>6.5500000000000114</v>
      </c>
      <c r="L53" s="10">
        <f>water_ON!L53 - water_OFF!L53 - AVERAGE(L$62:L$63)</f>
        <v>2.8000000000000114</v>
      </c>
      <c r="M53" s="10">
        <f>water_ON!M53 - water_OFF!M53 - AVERAGE(M$62:M$63)</f>
        <v>3.25</v>
      </c>
      <c r="N53" s="10">
        <f>water_ON!N53 - water_OFF!N53 - AVERAGE(N$62:N$63)</f>
        <v>2.2499999999999716</v>
      </c>
      <c r="O53" s="10">
        <f>water_ON!O53 - water_OFF!O53 - AVERAGE(O$62:O$63)</f>
        <v>4.75</v>
      </c>
      <c r="P53" s="10">
        <f>water_ON!P53 - water_OFF!P53 - AVERAGE(P$62:P$63)</f>
        <v>4.25</v>
      </c>
      <c r="Q53" s="10">
        <f>water_ON!Q53 - water_OFF!Q53 - AVERAGE(Q$62:Q$63)</f>
        <v>6.1999999999999886</v>
      </c>
      <c r="R53" s="10">
        <f>water_ON!R53 - water_OFF!R53 - AVERAGE(R$62:R$63)</f>
        <v>3.25</v>
      </c>
      <c r="S53" s="10">
        <f>water_ON!S53 - water_OFF!S53 - AVERAGE(S$62:S$63)</f>
        <v>3.9000000000000625</v>
      </c>
      <c r="T53" s="10">
        <f>water_ON!T53 - water_OFF!T53 - AVERAGE(T$62:T$63)</f>
        <v>6.5999999999999943</v>
      </c>
      <c r="U53" s="10">
        <f>water_ON!U53 - water_OFF!U53 - AVERAGE(U$62:U$63)</f>
        <v>5.5</v>
      </c>
      <c r="V53" s="10">
        <f>water_ON!V53 - water_OFF!V53 - AVERAGE(V$62:V$63)</f>
        <v>1.8499999999999943</v>
      </c>
      <c r="W53" s="10">
        <f>water_ON!W53 - water_OFF!W53 - AVERAGE(W$62:W$63)</f>
        <v>3.8500000000000227</v>
      </c>
      <c r="X53" s="10">
        <f>water_ON!X53 - water_OFF!X53 - AVERAGE(X$62:X$63)</f>
        <v>0.35000000000005116</v>
      </c>
      <c r="Y53" s="10">
        <f>water_ON!Y53 - water_OFF!Y53 - AVERAGE(Y$62:Y$63)</f>
        <v>3.3499999999999943</v>
      </c>
      <c r="Z53" s="10">
        <f>water_ON!Z53 - water_OFF!Z53 - AVERAGE(Z$62:Z$63)</f>
        <v>3.8999999999999773</v>
      </c>
      <c r="AA53" s="10">
        <f>water_ON!AA53 - water_OFF!AA53 - AVERAGE(AA$62:AA$63)</f>
        <v>2.3000000000000398</v>
      </c>
      <c r="AB53" s="10">
        <f>water_ON!AB53 - water_OFF!AB53 - AVERAGE(AB$62:AB$63)</f>
        <v>4.8500000000000227</v>
      </c>
      <c r="AC53" s="10">
        <f>water_ON!AC53 - water_OFF!AC53 - AVERAGE(AC$62:AC$63)</f>
        <v>6.8499999999999659</v>
      </c>
      <c r="AD53" s="10">
        <f>water_ON!AD53 - water_OFF!AD53 - AVERAGE(AD$62:AD$63)</f>
        <v>5</v>
      </c>
      <c r="AE53" s="10">
        <f>water_ON!AE53 - water_OFF!AE53 - AVERAGE(AE$62:AE$63)</f>
        <v>4.7000000000000455</v>
      </c>
      <c r="AF53" s="10">
        <f>water_ON!AF53 - water_OFF!AF53 - AVERAGE(AF$62:AF$63)</f>
        <v>2</v>
      </c>
      <c r="AG53" s="10">
        <f>water_ON!AG53 - water_OFF!AG53 - AVERAGE(AG$62:AG$63)</f>
        <v>7.75</v>
      </c>
      <c r="AH53" s="10">
        <f>water_ON!AH53 - water_OFF!AH53 - AVERAGE(AH$62:AH$63)</f>
        <v>1.1999999999999602</v>
      </c>
      <c r="AI53" s="10">
        <f>water_ON!AI53 - water_OFF!AI53 - AVERAGE(AI$62:AI$63)</f>
        <v>3.1999999999999886</v>
      </c>
      <c r="AJ53" s="10">
        <f>water_ON!AJ53 - water_OFF!AJ53 - AVERAGE(AJ$62:AJ$63)</f>
        <v>3.3999999999999488</v>
      </c>
      <c r="AK53" s="10">
        <f>water_ON!AK53 - water_OFF!AK53 - AVERAGE(AK$62:AK$63)</f>
        <v>4.6499999999999488</v>
      </c>
      <c r="AL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</row>
    <row r="54" spans="1:66">
      <c r="A54" s="30">
        <v>53</v>
      </c>
      <c r="B54" s="10">
        <f>water_ON!B54 - water_OFF!B54 - AVERAGE(B$62:B$63)</f>
        <v>15.249999999999972</v>
      </c>
      <c r="C54" s="10">
        <f>water_ON!C54 - water_OFF!C54 - AVERAGE(C$62:C$63)</f>
        <v>5.9999999999999716</v>
      </c>
      <c r="D54" s="10">
        <f>water_ON!D54 - water_OFF!D54 - AVERAGE(D$62:D$63)</f>
        <v>11.099999999999994</v>
      </c>
      <c r="E54" s="10">
        <f>water_ON!E54 - water_OFF!E54 - AVERAGE(E$62:E$63)</f>
        <v>5.5999999999999943</v>
      </c>
      <c r="F54" s="10">
        <f>water_ON!F54 - water_OFF!F54 - AVERAGE(F$62:F$63)</f>
        <v>4.0500000000000398</v>
      </c>
      <c r="G54" s="10">
        <f>water_ON!G54 - water_OFF!G54 - AVERAGE(G$62:G$63)</f>
        <v>4.4999999999999716</v>
      </c>
      <c r="H54" s="10">
        <f>water_ON!H54 - water_OFF!H54 - AVERAGE(H$62:H$63)</f>
        <v>3.5999999999999943</v>
      </c>
      <c r="I54" s="10">
        <f>water_ON!I54 - water_OFF!I54 - AVERAGE(I$62:I$63)</f>
        <v>1.1999999999999886</v>
      </c>
      <c r="J54" s="10">
        <f>water_ON!J54 - water_OFF!J54 - AVERAGE(J$62:J$63)</f>
        <v>5.0000000000011369E-2</v>
      </c>
      <c r="K54" s="10">
        <f>water_ON!K54 - water_OFF!K54 - AVERAGE(K$62:K$63)</f>
        <v>3.5500000000000114</v>
      </c>
      <c r="L54" s="10">
        <f>water_ON!L54 - water_OFF!L54 - AVERAGE(L$62:L$63)</f>
        <v>0.29999999999995453</v>
      </c>
      <c r="M54" s="10">
        <f>water_ON!M54 - water_OFF!M54 - AVERAGE(M$62:M$63)</f>
        <v>5.0000000000011369E-2</v>
      </c>
      <c r="N54" s="10">
        <f>water_ON!N54 - water_OFF!N54 - AVERAGE(N$62:N$63)</f>
        <v>0.15000000000000568</v>
      </c>
      <c r="O54" s="10">
        <f>water_ON!O54 - water_OFF!O54 - AVERAGE(O$62:O$63)</f>
        <v>6.1499999999999773</v>
      </c>
      <c r="P54" s="10">
        <f>water_ON!P54 - water_OFF!P54 - AVERAGE(P$62:P$63)</f>
        <v>0.14999999999997726</v>
      </c>
      <c r="Q54" s="10">
        <f>water_ON!Q54 - water_OFF!Q54 - AVERAGE(Q$62:Q$63)</f>
        <v>1.2999999999999545</v>
      </c>
      <c r="R54" s="10">
        <f>water_ON!R54 - water_OFF!R54 - AVERAGE(R$62:R$63)</f>
        <v>-4.9999999999954525E-2</v>
      </c>
      <c r="S54" s="10">
        <f>water_ON!S54 - water_OFF!S54 - AVERAGE(S$62:S$63)</f>
        <v>-9.9999999999937472E-2</v>
      </c>
      <c r="T54" s="10">
        <f>water_ON!T54 - water_OFF!T54 - AVERAGE(T$62:T$63)</f>
        <v>2.8421709430404007E-14</v>
      </c>
      <c r="U54" s="10">
        <f>water_ON!U54 - water_OFF!U54 - AVERAGE(U$62:U$63)</f>
        <v>0.19999999999998863</v>
      </c>
      <c r="V54" s="10">
        <f>water_ON!V54 - water_OFF!V54 - AVERAGE(V$62:V$63)</f>
        <v>4.9999999999982947E-2</v>
      </c>
      <c r="W54" s="10">
        <f>water_ON!W54 - water_OFF!W54 - AVERAGE(W$62:W$63)</f>
        <v>0.15000000000003411</v>
      </c>
      <c r="X54" s="10">
        <f>water_ON!X54 - water_OFF!X54 - AVERAGE(X$62:X$63)</f>
        <v>5.000000000003979E-2</v>
      </c>
      <c r="Y54" s="10">
        <f>water_ON!Y54 - water_OFF!Y54 - AVERAGE(Y$62:Y$63)</f>
        <v>-0.15000000000000568</v>
      </c>
      <c r="Z54" s="10">
        <f>water_ON!Z54 - water_OFF!Z54 - AVERAGE(Z$62:Z$63)</f>
        <v>-0.19999999999998863</v>
      </c>
      <c r="AA54" s="10">
        <f>water_ON!AA54 - water_OFF!AA54 - AVERAGE(AA$62:AA$63)</f>
        <v>2.8421709430404007E-14</v>
      </c>
      <c r="AB54" s="10">
        <f>water_ON!AB54 - water_OFF!AB54 - AVERAGE(AB$62:AB$63)</f>
        <v>5.0000000000011369E-2</v>
      </c>
      <c r="AC54" s="10">
        <f>water_ON!AC54 - water_OFF!AC54 - AVERAGE(AC$62:AC$63)</f>
        <v>-5.0000000000011369E-2</v>
      </c>
      <c r="AD54" s="10">
        <f>water_ON!AD54 - water_OFF!AD54 - AVERAGE(AD$62:AD$63)</f>
        <v>9.9999999999965894E-2</v>
      </c>
      <c r="AE54" s="10">
        <f>water_ON!AE54 - water_OFF!AE54 - AVERAGE(AE$62:AE$63)</f>
        <v>9.9999999999965894E-2</v>
      </c>
      <c r="AF54" s="10">
        <f>water_ON!AF54 - water_OFF!AF54 - AVERAGE(AF$62:AF$63)</f>
        <v>0</v>
      </c>
      <c r="AG54" s="10">
        <f>water_ON!AG54 - water_OFF!AG54 - AVERAGE(AG$62:AG$63)</f>
        <v>0.34999999999996589</v>
      </c>
      <c r="AH54" s="10">
        <f>water_ON!AH54 - water_OFF!AH54 - AVERAGE(AH$62:AH$63)</f>
        <v>-0.70000000000001705</v>
      </c>
      <c r="AI54" s="10">
        <f>water_ON!AI54 - water_OFF!AI54 - AVERAGE(AI$62:AI$63)</f>
        <v>9.9999999999965894E-2</v>
      </c>
      <c r="AJ54" s="10">
        <f>water_ON!AJ54 - water_OFF!AJ54 - AVERAGE(AJ$62:AJ$63)</f>
        <v>0.20000000000001705</v>
      </c>
      <c r="AK54" s="10">
        <f>water_ON!AK54 - water_OFF!AK54 - AVERAGE(AK$62:AK$63)</f>
        <v>-4.9999999999982947E-2</v>
      </c>
      <c r="AL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</row>
    <row r="55" spans="1:66">
      <c r="A55" s="30">
        <v>54</v>
      </c>
      <c r="B55" s="10">
        <f>water_ON!B55 - water_OFF!B55 - AVERAGE(B$62:B$63)</f>
        <v>9.2499999999999716</v>
      </c>
      <c r="C55" s="10">
        <f>water_ON!C55 - water_OFF!C55 - AVERAGE(C$62:C$63)</f>
        <v>9.1000000000000512</v>
      </c>
      <c r="D55" s="10">
        <f>water_ON!D55 - water_OFF!D55 - AVERAGE(D$62:D$63)</f>
        <v>12.700000000000017</v>
      </c>
      <c r="E55" s="10">
        <f>water_ON!E55 - water_OFF!E55 - AVERAGE(E$62:E$63)</f>
        <v>5.9999999999999716</v>
      </c>
      <c r="F55" s="10">
        <f>water_ON!F55 - water_OFF!F55 - AVERAGE(F$62:F$63)</f>
        <v>8.4500000000000171</v>
      </c>
      <c r="G55" s="10">
        <f>water_ON!G55 - water_OFF!G55 - AVERAGE(G$62:G$63)</f>
        <v>7.2000000000000171</v>
      </c>
      <c r="H55" s="10">
        <f>water_ON!H55 - water_OFF!H55 - AVERAGE(H$62:H$63)</f>
        <v>4.4000000000000057</v>
      </c>
      <c r="I55" s="10">
        <f>water_ON!I55 - water_OFF!I55 - AVERAGE(I$62:I$63)</f>
        <v>6.8999999999999773</v>
      </c>
      <c r="J55" s="10">
        <f>water_ON!J55 - water_OFF!J55 - AVERAGE(J$62:J$63)</f>
        <v>9.7499999999999432</v>
      </c>
      <c r="K55" s="10">
        <f>water_ON!K55 - water_OFF!K55 - AVERAGE(K$62:K$63)</f>
        <v>8.25</v>
      </c>
      <c r="L55" s="10">
        <f>water_ON!L55 - water_OFF!L55 - AVERAGE(L$62:L$63)</f>
        <v>4.0999999999999659</v>
      </c>
      <c r="M55" s="10">
        <f>water_ON!M55 - water_OFF!M55 - AVERAGE(M$62:M$63)</f>
        <v>10.350000000000023</v>
      </c>
      <c r="N55" s="10">
        <f>water_ON!N55 - water_OFF!N55 - AVERAGE(N$62:N$63)</f>
        <v>5.4500000000000171</v>
      </c>
      <c r="O55" s="10">
        <f>water_ON!O55 - water_OFF!O55 - AVERAGE(O$62:O$63)</f>
        <v>5.25</v>
      </c>
      <c r="P55" s="10">
        <f>water_ON!P55 - water_OFF!P55 - AVERAGE(P$62:P$63)</f>
        <v>11.350000000000023</v>
      </c>
      <c r="Q55" s="10">
        <f>water_ON!Q55 - water_OFF!Q55 - AVERAGE(Q$62:Q$63)</f>
        <v>9.6999999999999886</v>
      </c>
      <c r="R55" s="10">
        <f>water_ON!R55 - water_OFF!R55 - AVERAGE(R$62:R$63)</f>
        <v>10.549999999999955</v>
      </c>
      <c r="S55" s="10">
        <f>water_ON!S55 - water_OFF!S55 - AVERAGE(S$62:S$63)</f>
        <v>5.8000000000000966</v>
      </c>
      <c r="T55" s="10">
        <f>water_ON!T55 - water_OFF!T55 - AVERAGE(T$62:T$63)</f>
        <v>5.4000000000000057</v>
      </c>
      <c r="U55" s="10">
        <f>water_ON!U55 - water_OFF!U55 - AVERAGE(U$62:U$63)</f>
        <v>7.5</v>
      </c>
      <c r="V55" s="10">
        <f>water_ON!V55 - water_OFF!V55 - AVERAGE(V$62:V$63)</f>
        <v>8.7499999999999716</v>
      </c>
      <c r="W55" s="10">
        <f>water_ON!W55 - water_OFF!W55 - AVERAGE(W$62:W$63)</f>
        <v>17.450000000000045</v>
      </c>
      <c r="X55" s="10">
        <f>water_ON!X55 - water_OFF!X55 - AVERAGE(X$62:X$63)</f>
        <v>7.6500000000000057</v>
      </c>
      <c r="Y55" s="10">
        <f>water_ON!Y55 - water_OFF!Y55 - AVERAGE(Y$62:Y$63)</f>
        <v>6.8499999999999943</v>
      </c>
      <c r="Z55" s="10">
        <f>water_ON!Z55 - water_OFF!Z55 - AVERAGE(Z$62:Z$63)</f>
        <v>10.5</v>
      </c>
      <c r="AA55" s="10">
        <f>water_ON!AA55 - water_OFF!AA55 - AVERAGE(AA$62:AA$63)</f>
        <v>6.4000000000000625</v>
      </c>
      <c r="AB55" s="10">
        <f>water_ON!AB55 - water_OFF!AB55 - AVERAGE(AB$62:AB$63)</f>
        <v>12.049999999999955</v>
      </c>
      <c r="AC55" s="10">
        <f>water_ON!AC55 - water_OFF!AC55 - AVERAGE(AC$62:AC$63)</f>
        <v>10.049999999999955</v>
      </c>
      <c r="AD55" s="10">
        <f>water_ON!AD55 - water_OFF!AD55 - AVERAGE(AD$62:AD$63)</f>
        <v>7.8000000000000114</v>
      </c>
      <c r="AE55" s="10">
        <f>water_ON!AE55 - water_OFF!AE55 - AVERAGE(AE$62:AE$63)</f>
        <v>6.0999999999999659</v>
      </c>
      <c r="AF55" s="10">
        <f>water_ON!AF55 - water_OFF!AF55 - AVERAGE(AF$62:AF$63)</f>
        <v>5.0999999999999659</v>
      </c>
      <c r="AG55" s="10">
        <f>water_ON!AG55 - water_OFF!AG55 - AVERAGE(AG$62:AG$63)</f>
        <v>13.949999999999989</v>
      </c>
      <c r="AH55" s="10">
        <f>water_ON!AH55 - water_OFF!AH55 - AVERAGE(AH$62:AH$63)</f>
        <v>8.7999999999999829</v>
      </c>
      <c r="AI55" s="10">
        <f>water_ON!AI55 - water_OFF!AI55 - AVERAGE(AI$62:AI$63)</f>
        <v>6.1999999999999886</v>
      </c>
      <c r="AJ55" s="10">
        <f>water_ON!AJ55 - water_OFF!AJ55 - AVERAGE(AJ$62:AJ$63)</f>
        <v>7.7000000000000171</v>
      </c>
      <c r="AK55" s="10">
        <f>water_ON!AK55 - water_OFF!AK55 - AVERAGE(AK$62:AK$63)</f>
        <v>10.150000000000006</v>
      </c>
      <c r="AL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</row>
    <row r="56" spans="1:66">
      <c r="A56" s="30">
        <v>55</v>
      </c>
      <c r="B56" s="10">
        <f>water_ON!B56 - water_OFF!B56 - AVERAGE(B$62:B$63)</f>
        <v>10.150000000000006</v>
      </c>
      <c r="C56" s="10">
        <f>water_ON!C56 - water_OFF!C56 - AVERAGE(C$62:C$63)</f>
        <v>-0.29999999999998295</v>
      </c>
      <c r="D56" s="10">
        <f>water_ON!D56 - water_OFF!D56 - AVERAGE(D$62:D$63)</f>
        <v>-9.9999999999994316E-2</v>
      </c>
      <c r="E56" s="10">
        <f>water_ON!E56 - water_OFF!E56 - AVERAGE(E$62:E$63)</f>
        <v>9.7999999999999829</v>
      </c>
      <c r="F56" s="10">
        <f>water_ON!F56 - water_OFF!F56 - AVERAGE(F$62:F$63)</f>
        <v>4.9999999999982947E-2</v>
      </c>
      <c r="G56" s="10">
        <f>water_ON!G56 - water_OFF!G56 - AVERAGE(G$62:G$63)</f>
        <v>5.7000000000000171</v>
      </c>
      <c r="H56" s="10">
        <f>water_ON!H56 - water_OFF!H56 - AVERAGE(H$62:H$63)</f>
        <v>5.5999999999999943</v>
      </c>
      <c r="I56" s="10">
        <f>water_ON!I56 - water_OFF!I56 - AVERAGE(I$62:I$63)</f>
        <v>5.8000000000000114</v>
      </c>
      <c r="J56" s="10">
        <f>water_ON!J56 - water_OFF!J56 - AVERAGE(J$62:J$63)</f>
        <v>5.9499999999999318</v>
      </c>
      <c r="K56" s="10">
        <f>water_ON!K56 - water_OFF!K56 - AVERAGE(K$62:K$63)</f>
        <v>7.25</v>
      </c>
      <c r="L56" s="10">
        <f>water_ON!L56 - water_OFF!L56 - AVERAGE(L$62:L$63)</f>
        <v>7</v>
      </c>
      <c r="M56" s="10">
        <f>water_ON!M56 - water_OFF!M56 - AVERAGE(M$62:M$63)</f>
        <v>5.4500000000000455</v>
      </c>
      <c r="N56" s="10">
        <f>water_ON!N56 - water_OFF!N56 - AVERAGE(N$62:N$63)</f>
        <v>6.7499999999999716</v>
      </c>
      <c r="O56" s="10">
        <f>water_ON!O56 - water_OFF!O56 - AVERAGE(O$62:O$63)</f>
        <v>1.8499999999999659</v>
      </c>
      <c r="P56" s="10">
        <f>water_ON!P56 - water_OFF!P56 - AVERAGE(P$62:P$63)</f>
        <v>5.4499999999999886</v>
      </c>
      <c r="Q56" s="10">
        <f>water_ON!Q56 - water_OFF!Q56 - AVERAGE(Q$62:Q$63)</f>
        <v>4.6000000000000227</v>
      </c>
      <c r="R56" s="10">
        <f>water_ON!R56 - water_OFF!R56 - AVERAGE(R$62:R$63)</f>
        <v>7.9499999999999886</v>
      </c>
      <c r="S56" s="10">
        <f>water_ON!S56 - water_OFF!S56 - AVERAGE(S$62:S$63)</f>
        <v>4.2000000000000739</v>
      </c>
      <c r="T56" s="10">
        <f>water_ON!T56 - water_OFF!T56 - AVERAGE(T$62:T$63)</f>
        <v>7.2000000000000171</v>
      </c>
      <c r="U56" s="10">
        <f>water_ON!U56 - water_OFF!U56 - AVERAGE(U$62:U$63)</f>
        <v>3.1999999999999886</v>
      </c>
      <c r="V56" s="10">
        <f>water_ON!V56 - water_OFF!V56 - AVERAGE(V$62:V$63)</f>
        <v>4.4500000000000171</v>
      </c>
      <c r="W56" s="10">
        <f>water_ON!W56 - water_OFF!W56 - AVERAGE(W$62:W$63)</f>
        <v>3.6500000000000341</v>
      </c>
      <c r="X56" s="10">
        <f>water_ON!X56 - water_OFF!X56 - AVERAGE(X$62:X$63)</f>
        <v>5.8500000000000512</v>
      </c>
      <c r="Y56" s="10">
        <f>water_ON!Y56 - water_OFF!Y56 - AVERAGE(Y$62:Y$63)</f>
        <v>10.749999999999972</v>
      </c>
      <c r="Z56" s="10">
        <f>water_ON!Z56 - water_OFF!Z56 - AVERAGE(Z$62:Z$63)</f>
        <v>8.4000000000000341</v>
      </c>
      <c r="AA56" s="10">
        <f>water_ON!AA56 - water_OFF!AA56 - AVERAGE(AA$62:AA$63)</f>
        <v>5.1000000000000512</v>
      </c>
      <c r="AB56" s="10">
        <f>water_ON!AB56 - water_OFF!AB56 - AVERAGE(AB$62:AB$63)</f>
        <v>3.5500000000000114</v>
      </c>
      <c r="AC56" s="10">
        <f>water_ON!AC56 - water_OFF!AC56 - AVERAGE(AC$62:AC$63)</f>
        <v>3.4499999999999886</v>
      </c>
      <c r="AD56" s="10">
        <f>water_ON!AD56 - water_OFF!AD56 - AVERAGE(AD$62:AD$63)</f>
        <v>3.8999999999999773</v>
      </c>
      <c r="AE56" s="10">
        <f>water_ON!AE56 - water_OFF!AE56 - AVERAGE(AE$62:AE$63)</f>
        <v>5.5</v>
      </c>
      <c r="AF56" s="10">
        <f>water_ON!AF56 - water_OFF!AF56 - AVERAGE(AF$62:AF$63)</f>
        <v>3.8000000000000114</v>
      </c>
      <c r="AG56" s="10">
        <f>water_ON!AG56 - water_OFF!AG56 - AVERAGE(AG$62:AG$63)</f>
        <v>3.5500000000000114</v>
      </c>
      <c r="AH56" s="10">
        <f>water_ON!AH56 - water_OFF!AH56 - AVERAGE(AH$62:AH$63)</f>
        <v>5.0999999999999943</v>
      </c>
      <c r="AI56" s="10">
        <f>water_ON!AI56 - water_OFF!AI56 - AVERAGE(AI$62:AI$63)</f>
        <v>4.6999999999999886</v>
      </c>
      <c r="AJ56" s="10">
        <f>water_ON!AJ56 - water_OFF!AJ56 - AVERAGE(AJ$62:AJ$63)</f>
        <v>2.8999999999999488</v>
      </c>
      <c r="AK56" s="10">
        <f>water_ON!AK56 - water_OFF!AK56 - AVERAGE(AK$62:AK$63)</f>
        <v>3.5499999999999829</v>
      </c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</row>
    <row r="57" spans="1:66">
      <c r="A57" s="30">
        <v>56</v>
      </c>
      <c r="B57" s="10">
        <f>water_ON!B57 - water_OFF!B57 - AVERAGE(B$62:B$63)</f>
        <v>11.149999999999949</v>
      </c>
      <c r="C57" s="10">
        <f>water_ON!C57 - water_OFF!C57 - AVERAGE(C$62:C$63)</f>
        <v>18.80000000000004</v>
      </c>
      <c r="D57" s="10">
        <f>water_ON!D57 - water_OFF!D57 - AVERAGE(D$62:D$63)</f>
        <v>6.2999999999999829</v>
      </c>
      <c r="E57" s="10">
        <f>water_ON!E57 - water_OFF!E57 - AVERAGE(E$62:E$63)</f>
        <v>9.1999999999999602</v>
      </c>
      <c r="F57" s="10">
        <f>water_ON!F57 - water_OFF!F57 - AVERAGE(F$62:F$63)</f>
        <v>-5.000000000003979E-2</v>
      </c>
      <c r="G57" s="10">
        <f>water_ON!G57 - water_OFF!G57 - AVERAGE(G$62:G$63)</f>
        <v>10.500000000000028</v>
      </c>
      <c r="H57" s="10">
        <f>water_ON!H57 - water_OFF!H57 - AVERAGE(H$62:H$63)</f>
        <v>5.2999999999999829</v>
      </c>
      <c r="I57" s="10">
        <f>water_ON!I57 - water_OFF!I57 - AVERAGE(I$62:I$63)</f>
        <v>0.5</v>
      </c>
      <c r="J57" s="10">
        <f>water_ON!J57 - water_OFF!J57 - AVERAGE(J$62:J$63)</f>
        <v>4.7499999999999432</v>
      </c>
      <c r="K57" s="10">
        <f>water_ON!K57 - water_OFF!K57 - AVERAGE(K$62:K$63)</f>
        <v>-5.0000000000011369E-2</v>
      </c>
      <c r="L57" s="10">
        <f>water_ON!L57 - water_OFF!L57 - AVERAGE(L$62:L$63)</f>
        <v>6.8999999999999773</v>
      </c>
      <c r="M57" s="10">
        <f>water_ON!M57 - water_OFF!M57 - AVERAGE(M$62:M$63)</f>
        <v>4.1499999999999773</v>
      </c>
      <c r="N57" s="10">
        <f>water_ON!N57 - water_OFF!N57 - AVERAGE(N$62:N$63)</f>
        <v>4.9499999999999602</v>
      </c>
      <c r="O57" s="10">
        <f>water_ON!O57 - water_OFF!O57 - AVERAGE(O$62:O$63)</f>
        <v>8.5500000000000114</v>
      </c>
      <c r="P57" s="10">
        <f>water_ON!P57 - water_OFF!P57 - AVERAGE(P$62:P$63)</f>
        <v>15.75</v>
      </c>
      <c r="Q57" s="10">
        <f>water_ON!Q57 - water_OFF!Q57 - AVERAGE(Q$62:Q$63)</f>
        <v>8.8000000000000114</v>
      </c>
      <c r="R57" s="10">
        <f>water_ON!R57 - water_OFF!R57 - AVERAGE(R$62:R$63)</f>
        <v>6.4499999999999318</v>
      </c>
      <c r="S57" s="10">
        <f>water_ON!S57 - water_OFF!S57 - AVERAGE(S$62:S$63)</f>
        <v>5.7000000000000739</v>
      </c>
      <c r="T57" s="10">
        <f>water_ON!T57 - water_OFF!T57 - AVERAGE(T$62:T$63)</f>
        <v>6.9000000000000057</v>
      </c>
      <c r="U57" s="10">
        <f>water_ON!U57 - water_OFF!U57 - AVERAGE(U$62:U$63)</f>
        <v>7.1999999999999886</v>
      </c>
      <c r="V57" s="10">
        <f>water_ON!V57 - water_OFF!V57 - AVERAGE(V$62:V$63)</f>
        <v>3.0499999999999829</v>
      </c>
      <c r="W57" s="10">
        <f>water_ON!W57 - water_OFF!W57 - AVERAGE(W$62:W$63)</f>
        <v>5.0500000000000114</v>
      </c>
      <c r="X57" s="10">
        <f>water_ON!X57 - water_OFF!X57 - AVERAGE(X$62:X$63)</f>
        <v>2.9500000000000739</v>
      </c>
      <c r="Y57" s="10">
        <f>water_ON!Y57 - water_OFF!Y57 - AVERAGE(Y$62:Y$63)</f>
        <v>1.9499999999999602</v>
      </c>
      <c r="Z57" s="10">
        <f>water_ON!Z57 - water_OFF!Z57 - AVERAGE(Z$62:Z$63)</f>
        <v>5.8999999999999773</v>
      </c>
      <c r="AA57" s="10">
        <f>water_ON!AA57 - water_OFF!AA57 - AVERAGE(AA$62:AA$63)</f>
        <v>2.0000000000000284</v>
      </c>
      <c r="AB57" s="10">
        <f>water_ON!AB57 - water_OFF!AB57 - AVERAGE(AB$62:AB$63)</f>
        <v>3.5499999999999545</v>
      </c>
      <c r="AC57" s="10">
        <f>water_ON!AC57 - water_OFF!AC57 - AVERAGE(AC$62:AC$63)</f>
        <v>1.25</v>
      </c>
      <c r="AD57" s="10">
        <f>water_ON!AD57 - water_OFF!AD57 - AVERAGE(AD$62:AD$63)</f>
        <v>1.3999999999999773</v>
      </c>
      <c r="AE57" s="10">
        <f>water_ON!AE57 - water_OFF!AE57 - AVERAGE(AE$62:AE$63)</f>
        <v>2.5</v>
      </c>
      <c r="AF57" s="10">
        <f>water_ON!AF57 - water_OFF!AF57 - AVERAGE(AF$62:AF$63)</f>
        <v>7</v>
      </c>
      <c r="AG57" s="10">
        <f>water_ON!AG57 - water_OFF!AG57 - AVERAGE(AG$62:AG$63)</f>
        <v>4.0500000000000114</v>
      </c>
      <c r="AH57" s="10">
        <f>water_ON!AH57 - water_OFF!AH57 - AVERAGE(AH$62:AH$63)</f>
        <v>5.4000000000000057</v>
      </c>
      <c r="AI57" s="10">
        <f>water_ON!AI57 - water_OFF!AI57 - AVERAGE(AI$62:AI$63)</f>
        <v>1.3999999999999773</v>
      </c>
      <c r="AJ57" s="10">
        <f>water_ON!AJ57 - water_OFF!AJ57 - AVERAGE(AJ$62:AJ$63)</f>
        <v>2.5999999999999943</v>
      </c>
      <c r="AK57" s="10">
        <f>water_ON!AK57 - water_OFF!AK57 - AVERAGE(AK$62:AK$63)</f>
        <v>1.6499999999999488</v>
      </c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</row>
    <row r="58" spans="1:66">
      <c r="A58" s="30">
        <v>57</v>
      </c>
      <c r="B58" s="10">
        <f>water_ON!B58 - water_OFF!B58 - AVERAGE(B$62:B$63)</f>
        <v>20.250000000000028</v>
      </c>
      <c r="C58" s="10">
        <f>water_ON!C58 - water_OFF!C58 - AVERAGE(C$62:C$63)</f>
        <v>23.599999999999994</v>
      </c>
      <c r="D58" s="10">
        <f>water_ON!D58 - water_OFF!D58 - AVERAGE(D$62:D$63)</f>
        <v>24.099999999999994</v>
      </c>
      <c r="E58" s="10">
        <f>water_ON!E58 - water_OFF!E58 - AVERAGE(E$62:E$63)</f>
        <v>28.099999999999994</v>
      </c>
      <c r="F58" s="10">
        <f>water_ON!F58 - water_OFF!F58 - AVERAGE(F$62:F$63)</f>
        <v>-5.000000000003979E-2</v>
      </c>
      <c r="G58" s="10">
        <f>water_ON!G58 - water_OFF!G58 - AVERAGE(G$62:G$63)</f>
        <v>-0.29999999999998295</v>
      </c>
      <c r="H58" s="10">
        <f>water_ON!H58 - water_OFF!H58 - AVERAGE(H$62:H$63)</f>
        <v>-0.40000000000000568</v>
      </c>
      <c r="I58" s="10">
        <f>water_ON!I58 - water_OFF!I58 - AVERAGE(I$62:I$63)</f>
        <v>-0.30000000000001137</v>
      </c>
      <c r="J58" s="10">
        <f>water_ON!J58 - water_OFF!J58 - AVERAGE(J$62:J$63)</f>
        <v>-0.35000000000002274</v>
      </c>
      <c r="K58" s="10">
        <f>water_ON!K58 - water_OFF!K58 - AVERAGE(K$62:K$63)</f>
        <v>-0.25</v>
      </c>
      <c r="L58" s="10">
        <f>water_ON!L58 - water_OFF!L58 - AVERAGE(L$62:L$63)</f>
        <v>-0.30000000000001137</v>
      </c>
      <c r="M58" s="10">
        <f>water_ON!M58 - water_OFF!M58 - AVERAGE(M$62:M$63)</f>
        <v>-0.54999999999995453</v>
      </c>
      <c r="N58" s="10">
        <f>water_ON!N58 - water_OFF!N58 - AVERAGE(N$62:N$63)</f>
        <v>18.749999999999972</v>
      </c>
      <c r="O58" s="10">
        <f>water_ON!O58 - water_OFF!O58 - AVERAGE(O$62:O$63)</f>
        <v>16.649999999999977</v>
      </c>
      <c r="P58" s="10">
        <f>water_ON!P58 - water_OFF!P58 - AVERAGE(P$62:P$63)</f>
        <v>14.149999999999977</v>
      </c>
      <c r="Q58" s="10">
        <f>water_ON!Q58 - water_OFF!Q58 - AVERAGE(Q$62:Q$63)</f>
        <v>21.199999999999989</v>
      </c>
      <c r="R58" s="10">
        <f>water_ON!R58 - water_OFF!R58 - AVERAGE(R$62:R$63)</f>
        <v>18.449999999999932</v>
      </c>
      <c r="S58" s="10">
        <f>water_ON!S58 - water_OFF!S58 - AVERAGE(S$62:S$63)</f>
        <v>21.400000000000119</v>
      </c>
      <c r="T58" s="10">
        <f>water_ON!T58 - water_OFF!T58 - AVERAGE(T$62:T$63)</f>
        <v>16.999999999999972</v>
      </c>
      <c r="U58" s="10">
        <f>water_ON!U58 - water_OFF!U58 - AVERAGE(U$62:U$63)</f>
        <v>20.899999999999977</v>
      </c>
      <c r="V58" s="10">
        <f>water_ON!V58 - water_OFF!V58 - AVERAGE(V$62:V$63)</f>
        <v>16.349999999999994</v>
      </c>
      <c r="W58" s="10">
        <f>water_ON!W58 - water_OFF!W58 - AVERAGE(W$62:W$63)</f>
        <v>18.75</v>
      </c>
      <c r="X58" s="10">
        <f>water_ON!X58 - water_OFF!X58 - AVERAGE(X$62:X$63)</f>
        <v>17.55000000000004</v>
      </c>
      <c r="Y58" s="10">
        <f>water_ON!Y58 - water_OFF!Y58 - AVERAGE(Y$62:Y$63)</f>
        <v>16.249999999999972</v>
      </c>
      <c r="Z58" s="10">
        <f>water_ON!Z58 - water_OFF!Z58 - AVERAGE(Z$62:Z$63)</f>
        <v>20.399999999999977</v>
      </c>
      <c r="AA58" s="10">
        <f>water_ON!AA58 - water_OFF!AA58 - AVERAGE(AA$62:AA$63)</f>
        <v>16.000000000000085</v>
      </c>
      <c r="AB58" s="10">
        <f>water_ON!AB58 - water_OFF!AB58 - AVERAGE(AB$62:AB$63)</f>
        <v>18.25</v>
      </c>
      <c r="AC58" s="10">
        <f>water_ON!AC58 - water_OFF!AC58 - AVERAGE(AC$62:AC$63)</f>
        <v>13.249999999999943</v>
      </c>
      <c r="AD58" s="10">
        <f>water_ON!AD58 - water_OFF!AD58 - AVERAGE(AD$62:AD$63)</f>
        <v>17.699999999999989</v>
      </c>
      <c r="AE58" s="10">
        <f>water_ON!AE58 - water_OFF!AE58 - AVERAGE(AE$62:AE$63)</f>
        <v>12.100000000000023</v>
      </c>
      <c r="AF58" s="10">
        <f>water_ON!AF58 - water_OFF!AF58 - AVERAGE(AF$62:AF$63)</f>
        <v>16.200000000000045</v>
      </c>
      <c r="AG58" s="10">
        <f>water_ON!AG58 - water_OFF!AG58 - AVERAGE(AG$62:AG$63)</f>
        <v>17.149999999999977</v>
      </c>
      <c r="AH58" s="10">
        <f>water_ON!AH58 - water_OFF!AH58 - AVERAGE(AH$62:AH$63)</f>
        <v>20.200000000000017</v>
      </c>
      <c r="AI58" s="10">
        <f>water_ON!AI58 - water_OFF!AI58 - AVERAGE(AI$62:AI$63)</f>
        <v>13.5</v>
      </c>
      <c r="AJ58" s="10">
        <f>water_ON!AJ58 - water_OFF!AJ58 - AVERAGE(AJ$62:AJ$63)</f>
        <v>15.900000000000006</v>
      </c>
      <c r="AK58" s="10">
        <f>water_ON!AK58 - water_OFF!AK58 - AVERAGE(AK$62:AK$63)</f>
        <v>14.149999999999949</v>
      </c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</row>
    <row r="59" spans="1:66">
      <c r="A59" s="30">
        <v>58</v>
      </c>
      <c r="B59" s="10">
        <f>water_ON!B59 - water_OFF!B59 - AVERAGE(B$62:B$63)</f>
        <v>-0.24999999999997158</v>
      </c>
      <c r="C59" s="10">
        <f>water_ON!C59 - water_OFF!C59 - AVERAGE(C$62:C$63)</f>
        <v>31.799999999999983</v>
      </c>
      <c r="D59" s="10">
        <f>water_ON!D59 - water_OFF!D59 - AVERAGE(D$62:D$63)</f>
        <v>29.799999999999983</v>
      </c>
      <c r="E59" s="10">
        <f>water_ON!E59 - water_OFF!E59 - AVERAGE(E$62:E$63)</f>
        <v>30.200000000000017</v>
      </c>
      <c r="F59" s="10">
        <f>water_ON!F59 - water_OFF!F59 - AVERAGE(F$62:F$63)</f>
        <v>31.049999999999983</v>
      </c>
      <c r="G59" s="10">
        <f>water_ON!G59 - water_OFF!G59 - AVERAGE(G$62:G$63)</f>
        <v>29.400000000000006</v>
      </c>
      <c r="H59" s="10">
        <f>water_ON!H59 - water_OFF!H59 - AVERAGE(H$62:H$63)</f>
        <v>31.900000000000006</v>
      </c>
      <c r="I59" s="10">
        <f>water_ON!I59 - water_OFF!I59 - AVERAGE(I$62:I$63)</f>
        <v>28.900000000000034</v>
      </c>
      <c r="J59" s="10">
        <f>water_ON!J59 - water_OFF!J59 - AVERAGE(J$62:J$63)</f>
        <v>29.049999999999955</v>
      </c>
      <c r="K59" s="10">
        <f>water_ON!K59 - water_OFF!K59 - AVERAGE(K$62:K$63)</f>
        <v>30.25</v>
      </c>
      <c r="L59" s="10">
        <f>water_ON!L59 - water_OFF!L59 - AVERAGE(L$62:L$63)</f>
        <v>29.299999999999955</v>
      </c>
      <c r="M59" s="10">
        <f>water_ON!M59 - water_OFF!M59 - AVERAGE(M$62:M$63)</f>
        <v>27.650000000000034</v>
      </c>
      <c r="N59" s="10">
        <f>water_ON!N59 - water_OFF!N59 - AVERAGE(N$62:N$63)</f>
        <v>23.650000000000006</v>
      </c>
      <c r="O59" s="10">
        <f>water_ON!O59 - water_OFF!O59 - AVERAGE(O$62:O$63)</f>
        <v>26.349999999999966</v>
      </c>
      <c r="P59" s="10">
        <f>water_ON!P59 - water_OFF!P59 - AVERAGE(P$62:P$63)</f>
        <v>28.149999999999977</v>
      </c>
      <c r="Q59" s="10">
        <f>water_ON!Q59 - water_OFF!Q59 - AVERAGE(Q$62:Q$63)</f>
        <v>27.399999999999977</v>
      </c>
      <c r="R59" s="10">
        <f>water_ON!R59 - water_OFF!R59 - AVERAGE(R$62:R$63)</f>
        <v>25.550000000000011</v>
      </c>
      <c r="S59" s="10">
        <f>water_ON!S59 - water_OFF!S59 - AVERAGE(S$62:S$63)</f>
        <v>26.600000000000051</v>
      </c>
      <c r="T59" s="10">
        <f>water_ON!T59 - water_OFF!T59 - AVERAGE(T$62:T$63)</f>
        <v>25.499999999999972</v>
      </c>
      <c r="U59" s="10">
        <f>water_ON!U59 - water_OFF!U59 - AVERAGE(U$62:U$63)</f>
        <v>36.5</v>
      </c>
      <c r="V59" s="10">
        <f>water_ON!V59 - water_OFF!V59 - AVERAGE(V$62:V$63)</f>
        <v>27.950000000000017</v>
      </c>
      <c r="W59" s="10">
        <f>water_ON!W59 - water_OFF!W59 - AVERAGE(W$62:W$63)</f>
        <v>27.750000000000057</v>
      </c>
      <c r="X59" s="10">
        <f>water_ON!X59 - water_OFF!X59 - AVERAGE(X$62:X$63)</f>
        <v>28.850000000000051</v>
      </c>
      <c r="Y59" s="10">
        <f>water_ON!Y59 - water_OFF!Y59 - AVERAGE(Y$62:Y$63)</f>
        <v>28.250000000000028</v>
      </c>
      <c r="Z59" s="10">
        <f>water_ON!Z59 - water_OFF!Z59 - AVERAGE(Z$62:Z$63)</f>
        <v>23.199999999999989</v>
      </c>
      <c r="AA59" s="10">
        <f>water_ON!AA59 - water_OFF!AA59 - AVERAGE(AA$62:AA$63)</f>
        <v>28.200000000000017</v>
      </c>
      <c r="AB59" s="10">
        <f>water_ON!AB59 - water_OFF!AB59 - AVERAGE(AB$62:AB$63)</f>
        <v>27.050000000000011</v>
      </c>
      <c r="AC59" s="10">
        <f>water_ON!AC59 - water_OFF!AC59 - AVERAGE(AC$62:AC$63)</f>
        <v>29.749999999999943</v>
      </c>
      <c r="AD59" s="10">
        <f>water_ON!AD59 - water_OFF!AD59 - AVERAGE(AD$62:AD$63)</f>
        <v>27.5</v>
      </c>
      <c r="AE59" s="10">
        <f>water_ON!AE59 - water_OFF!AE59 - AVERAGE(AE$62:AE$63)</f>
        <v>29.5</v>
      </c>
      <c r="AF59" s="10">
        <f>water_ON!AF59 - water_OFF!AF59 - AVERAGE(AF$62:AF$63)</f>
        <v>24.300000000000011</v>
      </c>
      <c r="AG59" s="10">
        <f>water_ON!AG59 - water_OFF!AG59 - AVERAGE(AG$62:AG$63)</f>
        <v>25.949999999999989</v>
      </c>
      <c r="AH59" s="10">
        <f>water_ON!AH59 - water_OFF!AH59 - AVERAGE(AH$62:AH$63)</f>
        <v>27.400000000000006</v>
      </c>
      <c r="AI59" s="10">
        <f>water_ON!AI59 - water_OFF!AI59 - AVERAGE(AI$62:AI$63)</f>
        <v>22.800000000000011</v>
      </c>
      <c r="AJ59" s="10">
        <f>water_ON!AJ59 - water_OFF!AJ59 - AVERAGE(AJ$62:AJ$63)</f>
        <v>24.500000000000028</v>
      </c>
      <c r="AK59" s="10">
        <f>water_ON!AK59 - water_OFF!AK59 - AVERAGE(AK$62:AK$63)</f>
        <v>30.849999999999994</v>
      </c>
      <c r="AL59" s="11"/>
      <c r="AN59" s="1"/>
      <c r="AO59" s="17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</row>
    <row r="60" spans="1:66">
      <c r="A60" s="30">
        <v>59</v>
      </c>
      <c r="B60" s="10">
        <f>water_ON!B60 - water_OFF!B60 - AVERAGE(B$62:B$63)</f>
        <v>12.250000000000028</v>
      </c>
      <c r="C60" s="10">
        <f>water_ON!C60 - water_OFF!C60 - AVERAGE(C$62:C$63)</f>
        <v>-0.19999999999996021</v>
      </c>
      <c r="D60" s="10">
        <f>water_ON!D60 - water_OFF!D60 - AVERAGE(D$62:D$63)</f>
        <v>6.5000000000000284</v>
      </c>
      <c r="E60" s="10">
        <f>water_ON!E60 - water_OFF!E60 - AVERAGE(E$62:E$63)</f>
        <v>5.9999999999999716</v>
      </c>
      <c r="F60" s="10">
        <f>water_ON!F60 - water_OFF!F60 - AVERAGE(F$62:F$63)</f>
        <v>1.7500000000000284</v>
      </c>
      <c r="G60" s="10">
        <f>water_ON!G60 - water_OFF!G60 - AVERAGE(G$62:G$63)</f>
        <v>5.7000000000000171</v>
      </c>
      <c r="H60" s="10">
        <f>water_ON!H60 - water_OFF!H60 - AVERAGE(H$62:H$63)</f>
        <v>6.4000000000000057</v>
      </c>
      <c r="I60" s="10">
        <f>water_ON!I60 - water_OFF!I60 - AVERAGE(I$62:I$63)</f>
        <v>1.8000000000000114</v>
      </c>
      <c r="J60" s="10">
        <f>water_ON!J60 - water_OFF!J60 - AVERAGE(J$62:J$63)</f>
        <v>1.3499999999999659</v>
      </c>
      <c r="K60" s="10">
        <f>water_ON!K60 - water_OFF!K60 - AVERAGE(K$62:K$63)</f>
        <v>0.55000000000001137</v>
      </c>
      <c r="L60" s="10">
        <f>water_ON!L60 - water_OFF!L60 - AVERAGE(L$62:L$63)</f>
        <v>3.8000000000000114</v>
      </c>
      <c r="M60" s="10">
        <f>water_ON!M60 - water_OFF!M60 - AVERAGE(M$62:M$63)</f>
        <v>5.0000000000011369E-2</v>
      </c>
      <c r="N60" s="10">
        <f>water_ON!N60 - water_OFF!N60 - AVERAGE(N$62:N$63)</f>
        <v>3.7499999999999716</v>
      </c>
      <c r="O60" s="10">
        <f>water_ON!O60 - water_OFF!O60 - AVERAGE(O$62:O$63)</f>
        <v>1.75</v>
      </c>
      <c r="P60" s="10">
        <f>water_ON!P60 - water_OFF!P60 - AVERAGE(P$62:P$63)</f>
        <v>0.25</v>
      </c>
      <c r="Q60" s="10">
        <f>water_ON!Q60 - water_OFF!Q60 - AVERAGE(Q$62:Q$63)</f>
        <v>6</v>
      </c>
      <c r="R60" s="10">
        <f>water_ON!R60 - water_OFF!R60 - AVERAGE(R$62:R$63)</f>
        <v>3.5500000000000114</v>
      </c>
      <c r="S60" s="10">
        <f>water_ON!S60 - water_OFF!S60 - AVERAGE(S$62:S$63)</f>
        <v>2.7999999999999829</v>
      </c>
      <c r="T60" s="10">
        <f>water_ON!T60 - water_OFF!T60 - AVERAGE(T$62:T$63)</f>
        <v>3.0999999999999943</v>
      </c>
      <c r="U60" s="10">
        <f>water_ON!U60 - water_OFF!U60 - AVERAGE(U$62:U$63)</f>
        <v>2.8000000000000114</v>
      </c>
      <c r="V60" s="10">
        <f>water_ON!V60 - water_OFF!V60 - AVERAGE(V$62:V$63)</f>
        <v>0.84999999999999432</v>
      </c>
      <c r="W60" s="10">
        <f>water_ON!W60 - water_OFF!W60 - AVERAGE(W$62:W$63)</f>
        <v>0.15000000000003411</v>
      </c>
      <c r="X60" s="10">
        <f>water_ON!X60 - water_OFF!X60 - AVERAGE(X$62:X$63)</f>
        <v>3.7500000000000284</v>
      </c>
      <c r="Y60" s="10">
        <f>water_ON!Y60 - water_OFF!Y60 - AVERAGE(Y$62:Y$63)</f>
        <v>1.3499999999999943</v>
      </c>
      <c r="Z60" s="10">
        <f>water_ON!Z60 - water_OFF!Z60 - AVERAGE(Z$62:Z$63)</f>
        <v>0.80000000000001137</v>
      </c>
      <c r="AA60" s="10">
        <f>water_ON!AA60 - water_OFF!AA60 - AVERAGE(AA$62:AA$63)</f>
        <v>2.8421709430404007E-14</v>
      </c>
      <c r="AB60" s="10">
        <f>water_ON!AB60 - water_OFF!AB60 - AVERAGE(AB$62:AB$63)</f>
        <v>0.14999999999997726</v>
      </c>
      <c r="AC60" s="10">
        <f>water_ON!AC60 - water_OFF!AC60 - AVERAGE(AC$62:AC$63)</f>
        <v>3.6499999999999773</v>
      </c>
      <c r="AD60" s="10">
        <f>water_ON!AD60 - water_OFF!AD60 - AVERAGE(AD$62:AD$63)</f>
        <v>0.59999999999996589</v>
      </c>
      <c r="AE60" s="10">
        <f>water_ON!AE60 - water_OFF!AE60 - AVERAGE(AE$62:AE$63)</f>
        <v>0.10000000000002274</v>
      </c>
      <c r="AF60" s="10">
        <f>water_ON!AF60 - water_OFF!AF60 - AVERAGE(AF$62:AF$63)</f>
        <v>-9.9999999999965894E-2</v>
      </c>
      <c r="AG60" s="10">
        <f>water_ON!AG60 - water_OFF!AG60 - AVERAGE(AG$62:AG$63)</f>
        <v>0.14999999999997726</v>
      </c>
      <c r="AH60" s="10">
        <f>water_ON!AH60 - water_OFF!AH60 - AVERAGE(AH$62:AH$63)</f>
        <v>-0.20000000000001705</v>
      </c>
      <c r="AI60" s="10">
        <f>water_ON!AI60 - water_OFF!AI60 - AVERAGE(AI$62:AI$63)</f>
        <v>-0.19999999999998863</v>
      </c>
      <c r="AJ60" s="10">
        <f>water_ON!AJ60 - water_OFF!AJ60 - AVERAGE(AJ$62:AJ$63)</f>
        <v>0.59999999999999432</v>
      </c>
      <c r="AK60" s="10">
        <f>water_ON!AK60 - water_OFF!AK60 - AVERAGE(AK$62:AK$63)</f>
        <v>3.0499999999999829</v>
      </c>
      <c r="AL60" s="11"/>
      <c r="AN60" s="1"/>
      <c r="AO60" s="17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</row>
    <row r="61" spans="1:66" s="18" customFormat="1">
      <c r="A61" s="30">
        <v>60</v>
      </c>
      <c r="B61" s="10">
        <f>water_ON!B61 - water_OFF!B61 - AVERAGE(B$62:B$63)</f>
        <v>0.34999999999999432</v>
      </c>
      <c r="C61" s="10">
        <f>water_ON!C61 - water_OFF!C61 - AVERAGE(C$62:C$63)</f>
        <v>2.8421709430404007E-14</v>
      </c>
      <c r="D61" s="10">
        <f>water_ON!D61 - water_OFF!D61 - AVERAGE(D$62:D$63)</f>
        <v>4.6999999999999602</v>
      </c>
      <c r="E61" s="10">
        <f>water_ON!E61 - water_OFF!E61 - AVERAGE(E$62:E$63)</f>
        <v>1.9999999999999716</v>
      </c>
      <c r="F61" s="10">
        <f>water_ON!F61 - water_OFF!F61 - AVERAGE(F$62:F$63)</f>
        <v>7.8499999999999943</v>
      </c>
      <c r="G61" s="10">
        <f>water_ON!G61 - water_OFF!G61 - AVERAGE(G$62:G$63)</f>
        <v>6.0000000000000284</v>
      </c>
      <c r="H61" s="10">
        <f>water_ON!H61 - water_OFF!H61 - AVERAGE(H$62:H$63)</f>
        <v>-0.29999999999998295</v>
      </c>
      <c r="I61" s="10">
        <f>water_ON!I61 - water_OFF!I61 - AVERAGE(I$62:I$63)</f>
        <v>2.2999999999999545</v>
      </c>
      <c r="J61" s="10">
        <f>water_ON!J61 - water_OFF!J61 - AVERAGE(J$62:J$63)</f>
        <v>0.64999999999997726</v>
      </c>
      <c r="K61" s="10">
        <f>water_ON!K61 - water_OFF!K61 - AVERAGE(K$62:K$63)</f>
        <v>0.15000000000003411</v>
      </c>
      <c r="L61" s="10">
        <f>water_ON!L61 - water_OFF!L61 - AVERAGE(L$62:L$63)</f>
        <v>0.19999999999998863</v>
      </c>
      <c r="M61" s="10">
        <f>water_ON!M61 - water_OFF!M61 - AVERAGE(M$62:M$63)</f>
        <v>1.5500000000000682</v>
      </c>
      <c r="N61" s="10">
        <f>water_ON!N61 - water_OFF!N61 - AVERAGE(N$62:N$63)</f>
        <v>0.24999999999997158</v>
      </c>
      <c r="O61" s="10">
        <f>water_ON!O61 - water_OFF!O61 - AVERAGE(O$62:O$63)</f>
        <v>2.3500000000000227</v>
      </c>
      <c r="P61" s="10">
        <f>water_ON!P61 - water_OFF!P61 - AVERAGE(P$62:P$63)</f>
        <v>5.0000000000011369E-2</v>
      </c>
      <c r="Q61" s="10">
        <f>water_ON!Q61 - water_OFF!Q61 - AVERAGE(Q$62:Q$63)</f>
        <v>9.5</v>
      </c>
      <c r="R61" s="10">
        <f>water_ON!R61 - water_OFF!R61 - AVERAGE(R$62:R$63)</f>
        <v>0.34999999999996589</v>
      </c>
      <c r="S61" s="10">
        <f>water_ON!S61 - water_OFF!S61 - AVERAGE(S$62:S$63)</f>
        <v>0.40000000000000568</v>
      </c>
      <c r="T61" s="10">
        <f>water_ON!T61 - water_OFF!T61 - AVERAGE(T$62:T$63)</f>
        <v>1.6999999999999602</v>
      </c>
      <c r="U61" s="10">
        <f>water_ON!U61 - water_OFF!U61 - AVERAGE(U$62:U$63)</f>
        <v>2.5999999999999659</v>
      </c>
      <c r="V61" s="10">
        <f>water_ON!V61 - water_OFF!V61 - AVERAGE(V$62:V$63)</f>
        <v>0.15000000000000568</v>
      </c>
      <c r="W61" s="10">
        <f>water_ON!W61 - water_OFF!W61 - AVERAGE(W$62:W$63)</f>
        <v>0.75</v>
      </c>
      <c r="X61" s="10">
        <f>water_ON!X61 - water_OFF!X61 - AVERAGE(X$62:X$63)</f>
        <v>0.35000000000005116</v>
      </c>
      <c r="Y61" s="10">
        <f>water_ON!Y61 - water_OFF!Y61 - AVERAGE(Y$62:Y$63)</f>
        <v>0.15000000000000568</v>
      </c>
      <c r="Z61" s="10">
        <f>water_ON!Z61 - water_OFF!Z61 - AVERAGE(Z$62:Z$63)</f>
        <v>0.19999999999998863</v>
      </c>
      <c r="AA61" s="10">
        <f>water_ON!AA61 - water_OFF!AA61 - AVERAGE(AA$62:AA$63)</f>
        <v>3.6000000000000512</v>
      </c>
      <c r="AB61" s="10">
        <f>water_ON!AB61 - water_OFF!AB61 - AVERAGE(AB$62:AB$63)</f>
        <v>0.25</v>
      </c>
      <c r="AC61" s="10">
        <f>water_ON!AC61 - water_OFF!AC61 - AVERAGE(AC$62:AC$63)</f>
        <v>0.55000000000001137</v>
      </c>
      <c r="AD61" s="10">
        <f>water_ON!AD61 - water_OFF!AD61 - AVERAGE(AD$62:AD$63)</f>
        <v>0.30000000000001137</v>
      </c>
      <c r="AE61" s="10">
        <f>water_ON!AE61 - water_OFF!AE61 - AVERAGE(AE$62:AE$63)</f>
        <v>9.9999999999965894E-2</v>
      </c>
      <c r="AF61" s="10">
        <f>water_ON!AF61 - water_OFF!AF61 - AVERAGE(AF$62:AF$63)</f>
        <v>2.1000000000000227</v>
      </c>
      <c r="AG61" s="10">
        <f>water_ON!AG61 - water_OFF!AG61 - AVERAGE(AG$62:AG$63)</f>
        <v>0.25</v>
      </c>
      <c r="AH61" s="10">
        <f>water_ON!AH61 - water_OFF!AH61 - AVERAGE(AH$62:AH$63)</f>
        <v>9.9999999999994316E-2</v>
      </c>
      <c r="AI61" s="10">
        <f>water_ON!AI61 - water_OFF!AI61 - AVERAGE(AI$62:AI$63)</f>
        <v>0</v>
      </c>
      <c r="AJ61" s="10">
        <f>water_ON!AJ61 - water_OFF!AJ61 - AVERAGE(AJ$62:AJ$63)</f>
        <v>0.20000000000001705</v>
      </c>
      <c r="AK61" s="10">
        <f>water_ON!AK61 - water_OFF!AK61 - AVERAGE(AK$62:AK$63)</f>
        <v>4.9999999999982947E-2</v>
      </c>
      <c r="AL61" s="22"/>
      <c r="AN61" s="21"/>
      <c r="AO61" s="3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/>
    </row>
    <row r="62" spans="1:66" s="2" customFormat="1">
      <c r="A62" s="31" t="s">
        <v>135</v>
      </c>
      <c r="B62" s="39">
        <f>water_ON!B62 - water_OFF!B62</f>
        <v>-3</v>
      </c>
      <c r="C62" s="39">
        <f>water_ON!C62 - water_OFF!C62</f>
        <v>0.59999999999996589</v>
      </c>
      <c r="D62" s="39">
        <f>water_ON!D62 - water_OFF!D62</f>
        <v>0.19999999999998863</v>
      </c>
      <c r="E62" s="39">
        <f>water_ON!E62 - water_OFF!E62</f>
        <v>0.40000000000003411</v>
      </c>
      <c r="F62" s="39">
        <f>water_ON!F62 - water_OFF!F62</f>
        <v>0.40000000000003411</v>
      </c>
      <c r="G62" s="39">
        <f>water_ON!G62 - water_OFF!G62</f>
        <v>0.39999999999997726</v>
      </c>
      <c r="H62" s="39">
        <f>water_ON!H62 - water_OFF!H62</f>
        <v>0.40000000000003411</v>
      </c>
      <c r="I62" s="39">
        <f>water_ON!I62 - water_OFF!I62</f>
        <v>0.30000000000001137</v>
      </c>
      <c r="J62" s="39">
        <f>water_ON!J62 - water_OFF!J62</f>
        <v>0.30000000000001137</v>
      </c>
      <c r="K62" s="39">
        <f>water_ON!K62 - water_OFF!K62</f>
        <v>0.20000000000004547</v>
      </c>
      <c r="L62" s="39">
        <f>water_ON!L62 - water_OFF!L62</f>
        <v>0.5</v>
      </c>
      <c r="M62" s="39">
        <f>water_ON!M62 - water_OFF!M62</f>
        <v>2.0999999999999659</v>
      </c>
      <c r="N62" s="39">
        <f>water_ON!N62 - water_OFF!N62</f>
        <v>0.5</v>
      </c>
      <c r="O62" s="39">
        <f>water_ON!O62 - water_OFF!O62</f>
        <v>0.60000000000002274</v>
      </c>
      <c r="P62" s="39">
        <f>water_ON!P62 - water_OFF!P62</f>
        <v>3.3000000000000114</v>
      </c>
      <c r="Q62" s="39">
        <f>water_ON!Q62 - water_OFF!Q62</f>
        <v>0.60000000000002274</v>
      </c>
      <c r="R62" s="39">
        <f>water_ON!R62 - water_OFF!R62</f>
        <v>0.30000000000006821</v>
      </c>
      <c r="S62" s="39">
        <f>water_ON!S62 - water_OFF!S62</f>
        <v>0.49999999999994316</v>
      </c>
      <c r="T62" s="39">
        <f>water_ON!T62 - water_OFF!T62</f>
        <v>-2.6000000000000227</v>
      </c>
      <c r="U62" s="39">
        <f>water_ON!U62 - water_OFF!U62</f>
        <v>0.5</v>
      </c>
      <c r="V62" s="39">
        <f>water_ON!V62 - water_OFF!V62</f>
        <v>0.39999999999997726</v>
      </c>
      <c r="W62" s="39">
        <f>water_ON!W62 - water_OFF!W62</f>
        <v>0.5</v>
      </c>
      <c r="X62" s="39">
        <f>water_ON!X62 - water_OFF!X62</f>
        <v>0.29999999999995453</v>
      </c>
      <c r="Y62" s="39">
        <f>water_ON!Y62 - water_OFF!Y62</f>
        <v>0.30000000000001137</v>
      </c>
      <c r="Z62" s="39">
        <f>water_ON!Z62 - water_OFF!Z62</f>
        <v>0.60000000000002274</v>
      </c>
      <c r="AA62" s="39">
        <f>water_ON!AA62 - water_OFF!AA62</f>
        <v>0.29999999999995453</v>
      </c>
      <c r="AB62" s="39">
        <f>water_ON!AB62 - water_OFF!AB62</f>
        <v>0.40000000000003411</v>
      </c>
      <c r="AC62" s="39">
        <f>water_ON!AC62 - water_OFF!AC62</f>
        <v>0.40000000000003411</v>
      </c>
      <c r="AD62" s="39">
        <f>water_ON!AD62 - water_OFF!AD62</f>
        <v>0.60000000000002274</v>
      </c>
      <c r="AE62" s="39">
        <f>water_ON!AE62 - water_OFF!AE62</f>
        <v>0.5</v>
      </c>
      <c r="AF62" s="39">
        <f>water_ON!AF62 - water_OFF!AF62</f>
        <v>0.5</v>
      </c>
      <c r="AG62" s="39">
        <f>water_ON!AG62 - water_OFF!AG62</f>
        <v>0.39999999999997726</v>
      </c>
      <c r="AH62" s="39">
        <f>water_ON!AH62 - water_OFF!AH62</f>
        <v>1.4000000000000341</v>
      </c>
      <c r="AI62" s="39">
        <f>water_ON!AI62 - water_OFF!AI62</f>
        <v>0.90000000000003411</v>
      </c>
      <c r="AJ62" s="39">
        <f>water_ON!AJ62 - water_OFF!AJ62</f>
        <v>0.39999999999997726</v>
      </c>
      <c r="AK62" s="39">
        <f>water_ON!AK62 - water_OFF!AK62</f>
        <v>0.5</v>
      </c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1:66" s="18" customFormat="1">
      <c r="A63" s="32" t="s">
        <v>136</v>
      </c>
      <c r="B63" s="39">
        <f>water_ON!B63 - water_OFF!B63</f>
        <v>-3.0999999999999659</v>
      </c>
      <c r="C63" s="39">
        <f>water_ON!C63 - water_OFF!C63</f>
        <v>0</v>
      </c>
      <c r="D63" s="39">
        <f>water_ON!D63 - water_OFF!D63</f>
        <v>0</v>
      </c>
      <c r="E63" s="39">
        <f>water_ON!E63 - water_OFF!E63</f>
        <v>0</v>
      </c>
      <c r="F63" s="39">
        <f>water_ON!F63 - water_OFF!F63</f>
        <v>-0.10000000000002274</v>
      </c>
      <c r="G63" s="39">
        <f>water_ON!G63 - water_OFF!G63</f>
        <v>0.19999999999998863</v>
      </c>
      <c r="H63" s="39">
        <f>water_ON!H63 - water_OFF!H63</f>
        <v>0.39999999999997726</v>
      </c>
      <c r="I63" s="39">
        <f>water_ON!I63 - water_OFF!I63</f>
        <v>0.30000000000001137</v>
      </c>
      <c r="J63" s="39">
        <f>water_ON!J63 - water_OFF!J63</f>
        <v>0.40000000000003411</v>
      </c>
      <c r="K63" s="39">
        <f>water_ON!K63 - water_OFF!K63</f>
        <v>0.10000000000002274</v>
      </c>
      <c r="L63" s="39">
        <f>water_ON!L63 - water_OFF!L63</f>
        <v>0.29999999999995453</v>
      </c>
      <c r="M63" s="39">
        <f>water_ON!M63 - water_OFF!M63</f>
        <v>1.9999999999999432</v>
      </c>
      <c r="N63" s="39">
        <f>water_ON!N63 - water_OFF!N63</f>
        <v>0.40000000000003411</v>
      </c>
      <c r="O63" s="39">
        <f>water_ON!O63 - water_OFF!O63</f>
        <v>0.5</v>
      </c>
      <c r="P63" s="39">
        <f>water_ON!P63 - water_OFF!P63</f>
        <v>3.1999999999999886</v>
      </c>
      <c r="Q63" s="39">
        <f>water_ON!Q63 - water_OFF!Q63</f>
        <v>0.39999999999997726</v>
      </c>
      <c r="R63" s="39">
        <f>water_ON!R63 - water_OFF!R63</f>
        <v>0.19999999999993179</v>
      </c>
      <c r="S63" s="39">
        <f>water_ON!S63 - water_OFF!S63</f>
        <v>0.29999999999995453</v>
      </c>
      <c r="T63" s="39">
        <f>water_ON!T63 - water_OFF!T63</f>
        <v>-2.5999999999999659</v>
      </c>
      <c r="U63" s="39">
        <f>water_ON!U63 - water_OFF!U63</f>
        <v>0.5</v>
      </c>
      <c r="V63" s="39">
        <f>water_ON!V63 - water_OFF!V63</f>
        <v>0.30000000000001137</v>
      </c>
      <c r="W63" s="39">
        <f>water_ON!W63 - water_OFF!W63</f>
        <v>0.39999999999997726</v>
      </c>
      <c r="X63" s="39">
        <f>water_ON!X63 - water_OFF!X63</f>
        <v>0.19999999999998863</v>
      </c>
      <c r="Y63" s="39">
        <f>water_ON!Y63 - water_OFF!Y63</f>
        <v>0.39999999999997726</v>
      </c>
      <c r="Z63" s="39">
        <f>water_ON!Z63 - water_OFF!Z63</f>
        <v>0.39999999999997726</v>
      </c>
      <c r="AA63" s="39">
        <f>water_ON!AA63 - water_OFF!AA63</f>
        <v>9.9999999999965894E-2</v>
      </c>
      <c r="AB63" s="39">
        <f>water_ON!AB63 - water_OFF!AB63</f>
        <v>0.30000000000001137</v>
      </c>
      <c r="AC63" s="39">
        <f>water_ON!AC63 - water_OFF!AC63</f>
        <v>0.30000000000001137</v>
      </c>
      <c r="AD63" s="39">
        <f>water_ON!AD63 - water_OFF!AD63</f>
        <v>0.39999999999997726</v>
      </c>
      <c r="AE63" s="39">
        <f>water_ON!AE63 - water_OFF!AE63</f>
        <v>0.5</v>
      </c>
      <c r="AF63" s="39">
        <f>water_ON!AF63 - water_OFF!AF63</f>
        <v>0.5</v>
      </c>
      <c r="AG63" s="39">
        <f>water_ON!AG63 - water_OFF!AG63</f>
        <v>0.5</v>
      </c>
      <c r="AH63" s="39">
        <f>water_ON!AH63 - water_OFF!AH63</f>
        <v>1</v>
      </c>
      <c r="AI63" s="39">
        <f>water_ON!AI63 - water_OFF!AI63</f>
        <v>0.69999999999998863</v>
      </c>
      <c r="AJ63" s="39">
        <f>water_ON!AJ63 - water_OFF!AJ63</f>
        <v>0.40000000000003411</v>
      </c>
      <c r="AK63" s="39">
        <f>water_ON!AK63 - water_OFF!AK63</f>
        <v>0.40000000000003411</v>
      </c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</row>
    <row r="64" spans="1:66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28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</row>
    <row r="65" spans="2: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28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</row>
    <row r="66" spans="2:6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28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</row>
    <row r="67" spans="2:6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28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</row>
    <row r="68" spans="2:6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28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</row>
    <row r="69" spans="2:6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28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</row>
    <row r="70" spans="2:6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28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</row>
    <row r="71" spans="2:6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28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</row>
    <row r="72" spans="2:6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28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</row>
    <row r="73" spans="2:6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28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</row>
    <row r="74" spans="2:6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28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</row>
    <row r="75" spans="2:6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28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</row>
    <row r="76" spans="2:6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28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</row>
    <row r="77" spans="2:6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28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</row>
    <row r="78" spans="2:6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28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</row>
    <row r="79" spans="2:6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28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</row>
    <row r="80" spans="2:6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28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</row>
    <row r="81" spans="2:6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28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</row>
    <row r="82" spans="2:6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28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</row>
    <row r="83" spans="2:6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28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</row>
    <row r="84" spans="2:6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28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</row>
    <row r="85" spans="2:6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28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</row>
    <row r="86" spans="2:6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28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</row>
    <row r="87" spans="2:6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28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</row>
    <row r="88" spans="2:6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28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</row>
    <row r="89" spans="2:6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28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</row>
    <row r="90" spans="2:6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28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</row>
  </sheetData>
  <phoneticPr fontId="4" type="noConversion"/>
  <conditionalFormatting sqref="B2:AK61">
    <cfRule type="colorScale" priority="1">
      <colorScale>
        <cfvo type="num" val="-10"/>
        <cfvo type="percentile" val="50"/>
        <cfvo type="num" val="80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FEA5-8681-4C5D-990D-C795F03A1AF8}">
  <dimension ref="A1:CG156"/>
  <sheetViews>
    <sheetView topLeftCell="A16" workbookViewId="0">
      <selection activeCell="R65" sqref="R65"/>
    </sheetView>
  </sheetViews>
  <sheetFormatPr defaultColWidth="7.453125" defaultRowHeight="14.5"/>
  <cols>
    <col min="1" max="1" width="7.453125" style="29"/>
    <col min="2" max="5" width="7.453125" style="11"/>
  </cols>
  <sheetData>
    <row r="1" spans="1:85" s="3" customFormat="1">
      <c r="A1" s="27" t="s">
        <v>1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15</v>
      </c>
      <c r="S1" s="3" t="s">
        <v>42</v>
      </c>
      <c r="T1" s="3" t="s">
        <v>43</v>
      </c>
      <c r="U1" s="3" t="s">
        <v>11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25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</row>
    <row r="2" spans="1:85">
      <c r="A2" s="30">
        <v>1</v>
      </c>
      <c r="B2" s="37">
        <f>W_g!B2/(rat_weight!B2/1000)*0.1578</f>
        <v>6.7049407114624673</v>
      </c>
      <c r="C2" s="37">
        <f>W_g!C2/(rat_weight!C2/1000)*0.1578</f>
        <v>3.8068482490272477</v>
      </c>
      <c r="D2" s="37">
        <f>W_g!D2/(rat_weight!D2/1000)*0.1578</f>
        <v>3.7454474708171168</v>
      </c>
      <c r="E2" s="37">
        <f>W_g!E2/(rat_weight!E2/1000)*0.1578</f>
        <v>4.9312500000000172</v>
      </c>
      <c r="F2" s="37">
        <f>W_g!F2/(rat_weight!F2/1000)*0.1578</f>
        <v>2.7131620553359648</v>
      </c>
      <c r="G2" s="37">
        <f>W_g!G2/(rat_weight!G2/1000)*0.1578</f>
        <v>2.01837209302328</v>
      </c>
      <c r="H2" s="37">
        <f>W_g!H2/(rat_weight!H2/1000)*0.1578</f>
        <v>1.4013127413127309</v>
      </c>
      <c r="I2" s="37">
        <f>W_g!I2/(rat_weight!I2/1000)*0.1578</f>
        <v>2.2887022900763081</v>
      </c>
      <c r="J2" s="37">
        <f>W_g!J2/(rat_weight!J2/1000)*0.1578</f>
        <v>1.399358490566051</v>
      </c>
      <c r="K2" s="37">
        <f>W_g!K2/(rat_weight!K2/1000)*0.1578</f>
        <v>0.93354961832061745</v>
      </c>
      <c r="L2" s="37">
        <f>W_g!L2/(rat_weight!L2/1000)*0.1578</f>
        <v>2.5997701149425354</v>
      </c>
      <c r="M2" s="37">
        <f>W_g!M2/(rat_weight!M2/1000)*0.1578</f>
        <v>2.3700000000000272</v>
      </c>
      <c r="N2" s="37">
        <f>W_g!N2/(rat_weight!N2/1000)*0.1578</f>
        <v>4.0469003690036667</v>
      </c>
      <c r="O2" s="37">
        <f>W_g!O2/(rat_weight!O2/1000)*0.1578</f>
        <v>3.7557564575645688</v>
      </c>
      <c r="P2" s="37">
        <f>W_g!P2/(rat_weight!P2/1000)*0.1578</f>
        <v>2.9405535055350618</v>
      </c>
      <c r="Q2" s="37">
        <f>W_g!Q2/(rat_weight!Q2/1000)*0.1578</f>
        <v>5.3184444444444239</v>
      </c>
      <c r="R2" s="37">
        <f>W_g!R2/(rat_weight!R2/1000)*0.1578</f>
        <v>2.7761111111111108</v>
      </c>
      <c r="S2" s="37">
        <f>W_g!S2/(rat_weight!S2/1000)*0.1578</f>
        <v>1.9286666666666898</v>
      </c>
      <c r="T2" s="37">
        <f>W_g!T2/(rat_weight!T2/1000)*0.1578</f>
        <v>2.9114391143911269</v>
      </c>
      <c r="U2" s="37">
        <f>W_g!U2/(rat_weight!U2/1000)*0.1578</f>
        <v>3.2608118081180941</v>
      </c>
      <c r="V2" s="37">
        <f>W_g!V2/(rat_weight!V2/1000)*0.1578</f>
        <v>1.950664206642063</v>
      </c>
      <c r="W2" s="37">
        <f>W_g!W2/(rat_weight!W2/1000)*0.1578</f>
        <v>1.5837591240875912</v>
      </c>
      <c r="X2" s="37">
        <f>W_g!X2/(rat_weight!X2/1000)*0.1578</f>
        <v>2.9083576642335993</v>
      </c>
      <c r="Y2" s="37">
        <f>W_g!Y2/(rat_weight!Y2/1000)*0.1578</f>
        <v>2.1020802919708061</v>
      </c>
      <c r="Z2" s="37">
        <f>W_g!Z2/(rat_weight!Z2/1000)*0.1578</f>
        <v>1.3623021582733683</v>
      </c>
      <c r="AA2" s="37">
        <f>W_g!AA2/(rat_weight!AA2/1000)*0.1578</f>
        <v>2.8948920863309642</v>
      </c>
      <c r="AB2" s="37">
        <f>W_g!AB2/(rat_weight!AB2/1000)*0.1578</f>
        <v>3.3206115107913794</v>
      </c>
      <c r="AC2" s="37">
        <f>W_g!AC2/(rat_weight!AC2/1000)*0.1578</f>
        <v>2.5746315789473559</v>
      </c>
      <c r="AD2" s="37">
        <f>W_g!AD2/(rat_weight!AD2/1000)*0.1578</f>
        <v>3.0452631578947371</v>
      </c>
      <c r="AE2" s="37">
        <f>W_g!AE2/(rat_weight!AE2/1000)*0.1578</f>
        <v>2.6576842105263223</v>
      </c>
      <c r="AF2" s="37">
        <f>W_g!AF2/(rat_weight!AF2/1000)*0.1578</f>
        <v>1.979372822299633</v>
      </c>
      <c r="AG2" s="37">
        <f>W_g!AG2/(rat_weight!AG2/1000)*0.1578</f>
        <v>0.74226480836238196</v>
      </c>
      <c r="AH2" s="37">
        <f>W_g!AH2/(rat_weight!AH2/1000)*0.1578</f>
        <v>2.5291986062717431</v>
      </c>
      <c r="AI2" s="37">
        <f>W_g!AI2/(rat_weight!AI2/1000)*0.1578</f>
        <v>0.81061643835616448</v>
      </c>
      <c r="AJ2" s="37">
        <f>W_g!AJ2/(rat_weight!AJ2/1000)*0.1578</f>
        <v>1.9995205479452147</v>
      </c>
      <c r="AK2" s="37">
        <f>W_g!AK2/(rat_weight!AK2/1000)*0.1578</f>
        <v>2.0265410958903955</v>
      </c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</row>
    <row r="3" spans="1:85">
      <c r="A3" s="30">
        <v>2</v>
      </c>
      <c r="B3" s="37">
        <f>W_g!B3/(rat_weight!B3/1000)*0.1578</f>
        <v>12.906481481481508</v>
      </c>
      <c r="C3" s="37">
        <f>W_g!C3/(rat_weight!C3/1000)*0.1578</f>
        <v>11.692409638554254</v>
      </c>
      <c r="D3" s="37">
        <f>W_g!D3/(rat_weight!D3/1000)*0.1578</f>
        <v>12.857777777777793</v>
      </c>
      <c r="E3" s="37">
        <f>W_g!E3/(rat_weight!E3/1000)*0.1578</f>
        <v>10.024941176470572</v>
      </c>
      <c r="F3" s="37">
        <f>W_g!F3/(rat_weight!F3/1000)*0.1578</f>
        <v>6.0729090909090848</v>
      </c>
      <c r="G3" s="37">
        <f>W_g!G3/(rat_weight!G3/1000)*0.1578</f>
        <v>3.7073493975903666</v>
      </c>
      <c r="H3" s="37">
        <f>W_g!H3/(rat_weight!H3/1000)*0.1578</f>
        <v>3.969202453987724</v>
      </c>
      <c r="I3" s="37">
        <f>W_g!I3/(rat_weight!I3/1000)*0.1578</f>
        <v>5.3816184971098062</v>
      </c>
      <c r="J3" s="37">
        <f>W_g!J3/(rat_weight!J3/1000)*0.1578</f>
        <v>2.3669999999999578</v>
      </c>
      <c r="K3" s="37">
        <f>W_g!K3/(rat_weight!K3/1000)*0.1578</f>
        <v>3.314733727810661</v>
      </c>
      <c r="L3" s="37">
        <f>W_g!L3/(rat_weight!L3/1000)*0.1578</f>
        <v>0.86072727272725091</v>
      </c>
      <c r="M3" s="37">
        <f>W_g!M3/(rat_weight!M3/1000)*0.1578</f>
        <v>4.7054819277108324</v>
      </c>
      <c r="N3" s="37">
        <f>W_g!N3/(rat_weight!N3/1000)*0.1578</f>
        <v>3.4081065088756914</v>
      </c>
      <c r="O3" s="37">
        <f>W_g!O3/(rat_weight!O3/1000)*0.1578</f>
        <v>2.100887573964497</v>
      </c>
      <c r="P3" s="37">
        <f>W_g!P3/(rat_weight!P3/1000)*0.1578</f>
        <v>3.8749704142012149</v>
      </c>
      <c r="Q3" s="37">
        <f>W_g!Q3/(rat_weight!Q3/1000)*0.1578</f>
        <v>5.2299428571428157</v>
      </c>
      <c r="R3" s="37">
        <f>W_g!R3/(rat_weight!R3/1000)*0.1578</f>
        <v>4.4634857142857554</v>
      </c>
      <c r="S3" s="37">
        <f>W_g!S3/(rat_weight!S3/1000)*0.1578</f>
        <v>5.7709714285714853</v>
      </c>
      <c r="T3" s="37">
        <f>W_g!T3/(rat_weight!T3/1000)*0.1578</f>
        <v>4.6251724137930985</v>
      </c>
      <c r="U3" s="37">
        <f>W_g!U3/(rat_weight!U3/1000)*0.1578</f>
        <v>3.7182758620689866</v>
      </c>
      <c r="V3" s="37">
        <f>W_g!V3/(rat_weight!V3/1000)*0.1578</f>
        <v>5.396034482758636</v>
      </c>
      <c r="W3" s="37">
        <f>W_g!W3/(rat_weight!W3/1000)*0.1578</f>
        <v>3.6311931818181917</v>
      </c>
      <c r="X3" s="37">
        <f>W_g!X3/(rat_weight!X3/1000)*0.1578</f>
        <v>4.7071022727272984</v>
      </c>
      <c r="Y3" s="37">
        <f>W_g!Y3/(rat_weight!Y3/1000)*0.1578</f>
        <v>9.9073295454545818</v>
      </c>
      <c r="Z3" s="37">
        <f>W_g!Z3/(rat_weight!Z3/1000)*0.1578</f>
        <v>4.6463333333333434</v>
      </c>
      <c r="AA3" s="37">
        <f>W_g!AA3/(rat_weight!AA3/1000)*0.1578</f>
        <v>3.9450000000000252</v>
      </c>
      <c r="AB3" s="37">
        <f>W_g!AB3/(rat_weight!AB3/1000)*0.1578</f>
        <v>5.3914999999999802</v>
      </c>
      <c r="AC3" s="37">
        <f>W_g!AC3/(rat_weight!AC3/1000)*0.1578</f>
        <v>4.4781081081080591</v>
      </c>
      <c r="AD3" s="37">
        <f>W_g!AD3/(rat_weight!AD3/1000)*0.1578</f>
        <v>2.2177297297297005</v>
      </c>
      <c r="AE3" s="37">
        <f>W_g!AE3/(rat_weight!AE3/1000)*0.1578</f>
        <v>2.9854054054054053</v>
      </c>
      <c r="AF3" s="37">
        <f>W_g!AF3/(rat_weight!AF3/1000)*0.1578</f>
        <v>3.4001104972375988</v>
      </c>
      <c r="AG3" s="37">
        <f>W_g!AG3/(rat_weight!AG3/1000)*0.1578</f>
        <v>3.966795580110507</v>
      </c>
      <c r="AH3" s="37">
        <f>W_g!AH3/(rat_weight!AH3/1000)*0.1578</f>
        <v>0.69745856353589675</v>
      </c>
      <c r="AI3" s="37">
        <f>W_g!AI3/(rat_weight!AI3/1000)*0.1578</f>
        <v>1.7436464088397294</v>
      </c>
      <c r="AJ3" s="37">
        <f>W_g!AJ3/(rat_weight!AJ3/1000)*0.1578</f>
        <v>1.7436464088398036</v>
      </c>
      <c r="AK3" s="37">
        <f>W_g!AK3/(rat_weight!AK3/1000)*0.1578</f>
        <v>2.5718784530386887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</row>
    <row r="4" spans="1:85">
      <c r="A4" s="30">
        <v>3</v>
      </c>
      <c r="B4" s="37">
        <f>W_g!B4/(rat_weight!B4/1000)*0.1578</f>
        <v>2.8448007968127436</v>
      </c>
      <c r="C4" s="37">
        <f>W_g!C4/(rat_weight!C4/1000)*0.1578</f>
        <v>2.812277227722781</v>
      </c>
      <c r="D4" s="37">
        <f>W_g!D4/(rat_weight!D4/1000)*0.1578</f>
        <v>2.0111764705882265</v>
      </c>
      <c r="E4" s="37">
        <f>W_g!E4/(rat_weight!E4/1000)*0.1578</f>
        <v>1.9154913294797635</v>
      </c>
      <c r="F4" s="37">
        <f>W_g!F4/(rat_weight!F4/1000)*0.1578</f>
        <v>2.8843520309477633</v>
      </c>
      <c r="G4" s="37">
        <f>W_g!G4/(rat_weight!G4/1000)*0.1578</f>
        <v>1.5114942528735718</v>
      </c>
      <c r="H4" s="37">
        <f>W_g!H4/(rat_weight!H4/1000)*0.1578</f>
        <v>0.71591682419659897</v>
      </c>
      <c r="I4" s="37">
        <f>W_g!I4/(rat_weight!I4/1000)*0.1578</f>
        <v>5.8770949720667043E-2</v>
      </c>
      <c r="J4" s="37">
        <f>W_g!J4/(rat_weight!J4/1000)*0.1578</f>
        <v>1.2379395085066094</v>
      </c>
      <c r="K4" s="37">
        <f>W_g!K4/(rat_weight!K4/1000)*0.1578</f>
        <v>1.3470731707316936</v>
      </c>
      <c r="L4" s="37">
        <f>W_g!L4/(rat_weight!L4/1000)*0.1578</f>
        <v>1.639480519480526</v>
      </c>
      <c r="M4" s="37">
        <f>W_g!M4/(rat_weight!M4/1000)*0.1578</f>
        <v>0.31203389830510497</v>
      </c>
      <c r="N4" s="37">
        <f>W_g!N4/(rat_weight!N4/1000)*0.1578</f>
        <v>1.3578804347826003</v>
      </c>
      <c r="O4" s="37">
        <f>W_g!O4/(rat_weight!O4/1000)*0.1578</f>
        <v>1.3292934782608792</v>
      </c>
      <c r="P4" s="37">
        <f>W_g!P4/(rat_weight!P4/1000)*0.1578</f>
        <v>0.41451086956523031</v>
      </c>
      <c r="Q4" s="37">
        <f>W_g!Q4/(rat_weight!Q4/1000)*0.1578</f>
        <v>2.1697499999999965</v>
      </c>
      <c r="R4" s="37">
        <f>W_g!R4/(rat_weight!R4/1000)*0.1578</f>
        <v>0.2395178571428635</v>
      </c>
      <c r="S4" s="37">
        <f>W_g!S4/(rat_weight!S4/1000)*0.1578</f>
        <v>0.30996428571431611</v>
      </c>
      <c r="T4" s="37">
        <f>W_g!T4/(rat_weight!T4/1000)*0.1578</f>
        <v>1.072701252236131</v>
      </c>
      <c r="U4" s="37">
        <f>W_g!U4/(rat_weight!U4/1000)*0.1578</f>
        <v>0.98801431127012518</v>
      </c>
      <c r="V4" s="37">
        <f>W_g!V4/(rat_weight!V4/1000)*0.1578</f>
        <v>1.4820214669051957</v>
      </c>
      <c r="W4" s="37">
        <f>W_g!W4/(rat_weight!W4/1000)*0.1578</f>
        <v>0.15306878306878624</v>
      </c>
      <c r="X4" s="37">
        <f>W_g!X4/(rat_weight!X4/1000)*0.1578</f>
        <v>1.3915343915354992E-2</v>
      </c>
      <c r="Y4" s="37">
        <f>W_g!Y4/(rat_weight!Y4/1000)*0.1578</f>
        <v>1.0436507936508017</v>
      </c>
      <c r="Z4" s="37">
        <f>W_g!Z4/(rat_weight!Z4/1000)*0.1578</f>
        <v>0.89690941385434864</v>
      </c>
      <c r="AA4" s="37">
        <f>W_g!AA4/(rat_weight!AA4/1000)*0.1578</f>
        <v>0.7287388987566592</v>
      </c>
      <c r="AB4" s="37">
        <f>W_g!AB4/(rat_weight!AB4/1000)*0.1578</f>
        <v>1.163179396092356</v>
      </c>
      <c r="AC4" s="37">
        <f>W_g!AC4/(rat_weight!AC4/1000)*0.1578</f>
        <v>1.6054434782608604</v>
      </c>
      <c r="AD4" s="37">
        <f>W_g!AD4/(rat_weight!AD4/1000)*0.1578</f>
        <v>1.4545043478260899</v>
      </c>
      <c r="AE4" s="37">
        <f>W_g!AE4/(rat_weight!AE4/1000)*0.1578</f>
        <v>0</v>
      </c>
      <c r="AF4" s="37">
        <f>W_g!AF4/(rat_weight!AF4/1000)*0.1578</f>
        <v>0.68017241379310345</v>
      </c>
      <c r="AG4" s="37">
        <f>W_g!AG4/(rat_weight!AG4/1000)*0.1578</f>
        <v>0.36729310344828209</v>
      </c>
      <c r="AH4" s="37">
        <f>W_g!AH4/(rat_weight!AH4/1000)*0.1578</f>
        <v>-0.19044827586207361</v>
      </c>
      <c r="AI4" s="37">
        <f>W_g!AI4/(rat_weight!AI4/1000)*0.1578</f>
        <v>-2.6882453151624512E-2</v>
      </c>
      <c r="AJ4" s="37">
        <f>W_g!AJ4/(rat_weight!AJ4/1000)*0.1578</f>
        <v>0.51076660988073586</v>
      </c>
      <c r="AK4" s="37">
        <f>W_g!AK4/(rat_weight!AK4/1000)*0.1578</f>
        <v>-1.3441226575819896E-2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</row>
    <row r="5" spans="1:85">
      <c r="A5" s="30">
        <v>4</v>
      </c>
      <c r="B5" s="37">
        <f>W_g!B5/(rat_weight!B5/1000)*0.1578</f>
        <v>5.3257499999999771</v>
      </c>
      <c r="C5" s="37">
        <f>W_g!C5/(rat_weight!C5/1000)*0.1578</f>
        <v>6.665198555956688</v>
      </c>
      <c r="D5" s="37">
        <f>W_g!D5/(rat_weight!D5/1000)*0.1578</f>
        <v>6.85844522968197</v>
      </c>
      <c r="E5" s="37">
        <f>W_g!E5/(rat_weight!E5/1000)*0.1578</f>
        <v>6.5296551724137775</v>
      </c>
      <c r="F5" s="37">
        <f>W_g!F5/(rat_weight!F5/1000)*0.1578</f>
        <v>3.7402422145328686</v>
      </c>
      <c r="G5" s="37">
        <f>W_g!G5/(rat_weight!G5/1000)*0.1578</f>
        <v>5.2052083333333492</v>
      </c>
      <c r="H5" s="37">
        <f>W_g!H5/(rat_weight!H5/1000)*0.1578</f>
        <v>1.4591095890411052</v>
      </c>
      <c r="I5" s="37">
        <f>W_g!I5/(rat_weight!I5/1000)*0.1578</f>
        <v>2.01331034482758</v>
      </c>
      <c r="J5" s="37">
        <f>W_g!J5/(rat_weight!J5/1000)*0.1578</f>
        <v>2.9965505226480467</v>
      </c>
      <c r="K5" s="37">
        <f>W_g!K5/(rat_weight!K5/1000)*0.1578</f>
        <v>2.8762876254180543</v>
      </c>
      <c r="L5" s="37">
        <f>W_g!L5/(rat_weight!L5/1000)*0.1578</f>
        <v>2.6745762711864409</v>
      </c>
      <c r="M5" s="37">
        <f>W_g!M5/(rat_weight!M5/1000)*0.1578</f>
        <v>2.15678200692044</v>
      </c>
      <c r="N5" s="37">
        <f>W_g!N5/(rat_weight!N5/1000)*0.1578</f>
        <v>4.3595593220339017</v>
      </c>
      <c r="O5" s="37">
        <f>W_g!O5/(rat_weight!O5/1000)*0.1578</f>
        <v>2.8083050847457627</v>
      </c>
      <c r="P5" s="37">
        <f>W_g!P5/(rat_weight!P5/1000)*0.1578</f>
        <v>4.3595593220338866</v>
      </c>
      <c r="Q5" s="37">
        <f>W_g!Q5/(rat_weight!Q5/1000)*0.1578</f>
        <v>3.4832107023411489</v>
      </c>
      <c r="R5" s="37">
        <f>W_g!R5/(rat_weight!R5/1000)*0.1578</f>
        <v>2.6124080267558769</v>
      </c>
      <c r="S5" s="37">
        <f>W_g!S5/(rat_weight!S5/1000)*0.1578</f>
        <v>3.1665551839465333</v>
      </c>
      <c r="T5" s="37">
        <f>W_g!T5/(rat_weight!T5/1000)*0.1578</f>
        <v>4.3225742574257335</v>
      </c>
      <c r="U5" s="37">
        <f>W_g!U5/(rat_weight!U5/1000)*0.1578</f>
        <v>3.0726732673267207</v>
      </c>
      <c r="V5" s="37">
        <f>W_g!V5/(rat_weight!V5/1000)*0.1578</f>
        <v>2.4737623762376089</v>
      </c>
      <c r="W5" s="37">
        <f>W_g!W5/(rat_weight!W5/1000)*0.1578</f>
        <v>1.9275244299674268</v>
      </c>
      <c r="X5" s="37">
        <f>W_g!X5/(rat_weight!X5/1000)*0.1578</f>
        <v>4.189153094462573</v>
      </c>
      <c r="Y5" s="37">
        <f>W_g!Y5/(rat_weight!Y5/1000)*0.1578</f>
        <v>2.5443322475569827</v>
      </c>
      <c r="Z5" s="37">
        <f>W_g!Z5/(rat_weight!Z5/1000)*0.1578</f>
        <v>2.369520766773157</v>
      </c>
      <c r="AA5" s="37">
        <f>W_g!AA5/(rat_weight!AA5/1000)*0.1578</f>
        <v>3.8819808306709351</v>
      </c>
      <c r="AB5" s="37">
        <f>W_g!AB5/(rat_weight!AB5/1000)*0.1578</f>
        <v>5.2684025559105372</v>
      </c>
      <c r="AC5" s="37">
        <f>W_g!AC5/(rat_weight!AC5/1000)*0.1578</f>
        <v>4.3332380952380838</v>
      </c>
      <c r="AD5" s="37">
        <f>W_g!AD5/(rat_weight!AD5/1000)*0.1578</f>
        <v>4.1579047619047671</v>
      </c>
      <c r="AE5" s="37">
        <f>W_g!AE5/(rat_weight!AE5/1000)*0.1578</f>
        <v>3.6068571428571374</v>
      </c>
      <c r="AF5" s="37">
        <f>W_g!AF5/(rat_weight!AF5/1000)*0.1578</f>
        <v>2.6215974440894798</v>
      </c>
      <c r="AG5" s="37">
        <f>W_g!AG5/(rat_weight!AG5/1000)*0.1578</f>
        <v>3.9576038338658264</v>
      </c>
      <c r="AH5" s="37">
        <f>W_g!AH5/(rat_weight!AH5/1000)*0.1578</f>
        <v>2.4703514376996831</v>
      </c>
      <c r="AI5" s="37">
        <f>W_g!AI5/(rat_weight!AI5/1000)*0.1578</f>
        <v>0.49779179810725549</v>
      </c>
      <c r="AJ5" s="37">
        <f>W_g!AJ5/(rat_weight!AJ5/1000)*0.1578</f>
        <v>3.4347634069400659</v>
      </c>
      <c r="AK5" s="37">
        <f>W_g!AK5/(rat_weight!AK5/1000)*0.1578</f>
        <v>3.3103154574132518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</row>
    <row r="6" spans="1:85">
      <c r="A6" s="30">
        <v>5</v>
      </c>
      <c r="B6" s="37">
        <f>W_g!B6/(rat_weight!B6/1000)*0.1578</f>
        <v>12.104534161490678</v>
      </c>
      <c r="C6" s="37">
        <f>W_g!C6/(rat_weight!C6/1000)*0.1578</f>
        <v>11.407625000000005</v>
      </c>
      <c r="D6" s="37">
        <f>W_g!D6/(rat_weight!D6/1000)*0.1578</f>
        <v>8.888326530612261</v>
      </c>
      <c r="E6" s="37">
        <f>W_g!E6/(rat_weight!E6/1000)*0.1578</f>
        <v>10.488313253012045</v>
      </c>
      <c r="F6" s="37">
        <f>W_g!F6/(rat_weight!F6/1000)*0.1578</f>
        <v>10.387439516129035</v>
      </c>
      <c r="G6" s="37">
        <f>W_g!G6/(rat_weight!G6/1000)*0.1578</f>
        <v>11.030376237623774</v>
      </c>
      <c r="H6" s="37">
        <f>W_g!H6/(rat_weight!H6/1000)*0.1578</f>
        <v>8.7908267716535384</v>
      </c>
      <c r="I6" s="37">
        <f>W_g!I6/(rat_weight!I6/1000)*0.1578</f>
        <v>8.9772047244094413</v>
      </c>
      <c r="J6" s="37">
        <f>W_g!J6/(rat_weight!J6/1000)*0.1578</f>
        <v>9.4280116959064255</v>
      </c>
      <c r="K6" s="37">
        <f>W_g!K6/(rat_weight!K6/1000)*0.1578</f>
        <v>8.8155576923076957</v>
      </c>
      <c r="L6" s="37">
        <f>W_g!L6/(rat_weight!L6/1000)*0.1578</f>
        <v>8.6564571428571462</v>
      </c>
      <c r="M6" s="37">
        <f>W_g!M6/(rat_weight!M6/1000)*0.1578</f>
        <v>7.4786033519553197</v>
      </c>
      <c r="N6" s="37">
        <f>W_g!N6/(rat_weight!N6/1000)*0.1578</f>
        <v>9.360276752767513</v>
      </c>
      <c r="O6" s="37">
        <f>W_g!O6/(rat_weight!O6/1000)*0.1578</f>
        <v>7.7589852398523913</v>
      </c>
      <c r="P6" s="37">
        <f>W_g!P6/(rat_weight!P6/1000)*0.1578</f>
        <v>8.9817896678966846</v>
      </c>
      <c r="Q6" s="37">
        <f>W_g!Q6/(rat_weight!Q6/1000)*0.1578</f>
        <v>7.6179310344827638</v>
      </c>
      <c r="R6" s="37">
        <f>W_g!R6/(rat_weight!R6/1000)*0.1578</f>
        <v>8.5200544464609802</v>
      </c>
      <c r="S6" s="37">
        <f>W_g!S6/(rat_weight!S6/1000)*0.1578</f>
        <v>7.9615970961887585</v>
      </c>
      <c r="T6" s="37">
        <f>W_g!T6/(rat_weight!T6/1000)*0.1578</f>
        <v>9.9470357142857075</v>
      </c>
      <c r="U6" s="37">
        <f>W_g!U6/(rat_weight!U6/1000)*0.1578</f>
        <v>6.9037499999999987</v>
      </c>
      <c r="V6" s="37">
        <f>W_g!V6/(rat_weight!V6/1000)*0.1578</f>
        <v>11.989982142857137</v>
      </c>
      <c r="W6" s="37">
        <f>W_g!W6/(rat_weight!W6/1000)*0.1578</f>
        <v>8.2430808950086121</v>
      </c>
      <c r="X6" s="37">
        <f>W_g!X6/(rat_weight!X6/1000)*0.1578</f>
        <v>7.5640791738382243</v>
      </c>
      <c r="Y6" s="37">
        <f>W_g!Y6/(rat_weight!Y6/1000)*0.1578</f>
        <v>7.2109982788296154</v>
      </c>
      <c r="Z6" s="37">
        <f>W_g!Z6/(rat_weight!Z6/1000)*0.1578</f>
        <v>12.218541666666674</v>
      </c>
      <c r="AA6" s="37">
        <f>W_g!AA6/(rat_weight!AA6/1000)*0.1578</f>
        <v>6.3284375000000139</v>
      </c>
      <c r="AB6" s="37">
        <f>W_g!AB6/(rat_weight!AB6/1000)*0.1578</f>
        <v>10.424114583333337</v>
      </c>
      <c r="AC6" s="37">
        <f>W_g!AC6/(rat_weight!AC6/1000)*0.1578</f>
        <v>8.5206632653061227</v>
      </c>
      <c r="AD6" s="37">
        <f>W_g!AD6/(rat_weight!AD6/1000)*0.1578</f>
        <v>8.6951020408163195</v>
      </c>
      <c r="AE6" s="37">
        <f>W_g!AE6/(rat_weight!AE6/1000)*0.1578</f>
        <v>8.0241836734693823</v>
      </c>
      <c r="AF6" s="37">
        <f>W_g!AF6/(rat_weight!AF6/1000)*0.1578</f>
        <v>11.03809682804674</v>
      </c>
      <c r="AG6" s="37">
        <f>W_g!AG6/(rat_weight!AG6/1000)*0.1578</f>
        <v>6.3620534223706269</v>
      </c>
      <c r="AH6" s="37">
        <f>W_g!AH6/(rat_weight!AH6/1000)*0.1578</f>
        <v>7.007479131886476</v>
      </c>
      <c r="AI6" s="37">
        <f>W_g!AI6/(rat_weight!AI6/1000)*0.1578</f>
        <v>6.9786138613861262</v>
      </c>
      <c r="AJ6" s="37">
        <f>W_g!AJ6/(rat_weight!AJ6/1000)*0.1578</f>
        <v>8.0462376237623783</v>
      </c>
      <c r="AK6" s="37">
        <f>W_g!AK6/(rat_weight!AK6/1000)*0.1578</f>
        <v>6.8353960396039533</v>
      </c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</row>
    <row r="7" spans="1:85">
      <c r="A7" s="30">
        <v>6</v>
      </c>
      <c r="B7" s="37">
        <f>W_g!B7/(rat_weight!B7/1000)*0.1578</f>
        <v>9.0069578313253089</v>
      </c>
      <c r="C7" s="37">
        <f>W_g!C7/(rat_weight!C7/1000)*0.1578</f>
        <v>1.6757522123893778</v>
      </c>
      <c r="D7" s="37">
        <f>W_g!D7/(rat_weight!D7/1000)*0.1578</f>
        <v>9.8983636363636442</v>
      </c>
      <c r="E7" s="37">
        <f>W_g!E7/(rat_weight!E7/1000)*0.1578</f>
        <v>2.9703529411764467</v>
      </c>
      <c r="F7" s="37">
        <f>W_g!F7/(rat_weight!F7/1000)*0.1578</f>
        <v>7.495499999999975</v>
      </c>
      <c r="G7" s="37">
        <f>W_g!G7/(rat_weight!G7/1000)*0.1578</f>
        <v>6.4189830508474852</v>
      </c>
      <c r="H7" s="37">
        <f>W_g!H7/(rat_weight!H7/1000)*0.1578</f>
        <v>8.0429916897506946</v>
      </c>
      <c r="I7" s="37">
        <f>W_g!I7/(rat_weight!I7/1000)*0.1578</f>
        <v>6.7265951742627257</v>
      </c>
      <c r="J7" s="37">
        <f>W_g!J7/(rat_weight!J7/1000)*0.1578</f>
        <v>8.1196031746031707</v>
      </c>
      <c r="K7" s="37">
        <f>W_g!K7/(rat_weight!K7/1000)*0.1578</f>
        <v>-6.069230769229849E-2</v>
      </c>
      <c r="L7" s="37">
        <f>W_g!L7/(rat_weight!L7/1000)*0.1578</f>
        <v>-0.20025380710659899</v>
      </c>
      <c r="M7" s="37">
        <f>W_g!M7/(rat_weight!M7/1000)*0.1578</f>
        <v>7.2463421052631531</v>
      </c>
      <c r="N7" s="37">
        <f>W_g!N7/(rat_weight!N7/1000)*0.1578</f>
        <v>5.1572656249999929</v>
      </c>
      <c r="O7" s="37">
        <f>W_g!O7/(rat_weight!O7/1000)*0.1578</f>
        <v>6.6366406249999903</v>
      </c>
      <c r="P7" s="37">
        <f>W_g!P7/(rat_weight!P7/1000)*0.1578</f>
        <v>6.7188281249999848</v>
      </c>
      <c r="Q7" s="37">
        <f>W_g!Q7/(rat_weight!Q7/1000)*0.1578</f>
        <v>9.5661139896372962</v>
      </c>
      <c r="R7" s="37">
        <f>W_g!R7/(rat_weight!R7/1000)*0.1578</f>
        <v>9.6274352331606021</v>
      </c>
      <c r="S7" s="37">
        <f>W_g!S7/(rat_weight!S7/1000)*0.1578</f>
        <v>9.4025906735751406</v>
      </c>
      <c r="T7" s="37">
        <f>W_g!T7/(rat_weight!T7/1000)*0.1578</f>
        <v>8.0439512195121754</v>
      </c>
      <c r="U7" s="37">
        <f>W_g!U7/(rat_weight!U7/1000)*0.1578</f>
        <v>8.5827804878048823</v>
      </c>
      <c r="V7" s="37">
        <f>W_g!V7/(rat_weight!V7/1000)*0.1578</f>
        <v>8.2941219512195286</v>
      </c>
      <c r="W7" s="37">
        <f>W_g!W7/(rat_weight!W7/1000)*0.1578</f>
        <v>4.3917831325301249</v>
      </c>
      <c r="X7" s="37">
        <f>W_g!X7/(rat_weight!X7/1000)*0.1578</f>
        <v>6.1408915662650632</v>
      </c>
      <c r="Y7" s="37">
        <f>W_g!Y7/(rat_weight!Y7/1000)*0.1578</f>
        <v>5.3043614457831172</v>
      </c>
      <c r="Z7" s="37">
        <f>W_g!Z7/(rat_weight!Z7/1000)*0.1578</f>
        <v>7.4258823529411719</v>
      </c>
      <c r="AA7" s="37">
        <f>W_g!AA7/(rat_weight!AA7/1000)*0.1578</f>
        <v>7.5805882352941376</v>
      </c>
      <c r="AB7" s="37">
        <f>W_g!AB7/(rat_weight!AB7/1000)*0.1578</f>
        <v>9.7658088235294116</v>
      </c>
      <c r="AC7" s="37">
        <f>W_g!AC7/(rat_weight!AC7/1000)*0.1578</f>
        <v>7.6890972222222054</v>
      </c>
      <c r="AD7" s="37">
        <f>W_g!AD7/(rat_weight!AD7/1000)*0.1578</f>
        <v>6.5384722222222136</v>
      </c>
      <c r="AE7" s="37">
        <f>W_g!AE7/(rat_weight!AE7/1000)*0.1578</f>
        <v>5.1869444444444408</v>
      </c>
      <c r="AF7" s="37">
        <f>W_g!AF7/(rat_weight!AF7/1000)*0.1578</f>
        <v>6.8035665914221086</v>
      </c>
      <c r="AG7" s="37">
        <f>W_g!AG7/(rat_weight!AG7/1000)*0.1578</f>
        <v>6.0377200902934494</v>
      </c>
      <c r="AH7" s="37">
        <f>W_g!AH7/(rat_weight!AH7/1000)*0.1578</f>
        <v>9.5107449209932344</v>
      </c>
      <c r="AI7" s="37">
        <f>W_g!AI7/(rat_weight!AI7/1000)*0.1578</f>
        <v>7.0905726872246611</v>
      </c>
      <c r="AJ7" s="37">
        <f>W_g!AJ7/(rat_weight!AJ7/1000)*0.1578</f>
        <v>7.7857268722466983</v>
      </c>
      <c r="AK7" s="37">
        <f>W_g!AK7/(rat_weight!AK7/1000)*0.1578</f>
        <v>5.6481277533039735</v>
      </c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</row>
    <row r="8" spans="1:85">
      <c r="A8" s="30">
        <v>7</v>
      </c>
      <c r="B8" s="37">
        <f>W_g!B8/(rat_weight!B8/1000)*0.1578</f>
        <v>5.1356727272727367</v>
      </c>
      <c r="C8" s="37">
        <f>W_g!C8/(rat_weight!C8/1000)*0.1578</f>
        <v>6.8518421052631666</v>
      </c>
      <c r="D8" s="37">
        <f>W_g!D8/(rat_weight!D8/1000)*0.1578</f>
        <v>2.3698901098901066</v>
      </c>
      <c r="E8" s="37">
        <f>W_g!E8/(rat_weight!E8/1000)*0.1578</f>
        <v>4.8051879699248081</v>
      </c>
      <c r="F8" s="37">
        <f>W_g!F8/(rat_weight!F8/1000)*0.1578</f>
        <v>3.5679044117646761</v>
      </c>
      <c r="G8" s="37">
        <f>W_g!G8/(rat_weight!G8/1000)*0.1578</f>
        <v>2.7914079422382705</v>
      </c>
      <c r="H8" s="37">
        <f>W_g!H8/(rat_weight!H8/1000)*0.1578</f>
        <v>3.1901805054151589</v>
      </c>
      <c r="I8" s="37">
        <f>W_g!I8/(rat_weight!I8/1000)*0.1578</f>
        <v>2.2069930069929757</v>
      </c>
      <c r="J8" s="37">
        <f>W_g!J8/(rat_weight!J8/1000)*0.1578</f>
        <v>2.3951785714285712</v>
      </c>
      <c r="K8" s="37">
        <f>W_g!K8/(rat_weight!K8/1000)*0.1578</f>
        <v>1.7319512195121827</v>
      </c>
      <c r="L8" s="37">
        <f>W_g!L8/(rat_weight!L8/1000)*0.1578</f>
        <v>2.0631095406360362</v>
      </c>
      <c r="M8" s="37">
        <f>W_g!M8/(rat_weight!M8/1000)*0.1578</f>
        <v>3.4171478873239631</v>
      </c>
      <c r="N8" s="37">
        <f>W_g!N8/(rat_weight!N8/1000)*0.1578</f>
        <v>2.4504778156996494</v>
      </c>
      <c r="O8" s="37">
        <f>W_g!O8/(rat_weight!O8/1000)*0.1578</f>
        <v>1.5349146757679304</v>
      </c>
      <c r="P8" s="37">
        <f>W_g!P8/(rat_weight!P8/1000)*0.1578</f>
        <v>3.0967576791808877</v>
      </c>
      <c r="Q8" s="37">
        <f>W_g!Q8/(rat_weight!Q8/1000)*0.1578</f>
        <v>2.7751034482758747</v>
      </c>
      <c r="R8" s="37">
        <f>W_g!R8/(rat_weight!R8/1000)*0.1578</f>
        <v>2.4214137931034734</v>
      </c>
      <c r="S8" s="37">
        <f>W_g!S8/(rat_weight!S8/1000)*0.1578</f>
        <v>1.3059310344827926</v>
      </c>
      <c r="T8" s="37">
        <f>W_g!T8/(rat_weight!T8/1000)*0.1578</f>
        <v>2.7815593220338775</v>
      </c>
      <c r="U8" s="37">
        <f>W_g!U8/(rat_weight!U8/1000)*0.1578</f>
        <v>2.2466440677966042</v>
      </c>
      <c r="V8" s="37">
        <f>W_g!V8/(rat_weight!V8/1000)*0.1578</f>
        <v>0.82911864406781788</v>
      </c>
      <c r="W8" s="37">
        <f>W_g!W8/(rat_weight!W8/1000)*0.1578</f>
        <v>2.0524662162162284</v>
      </c>
      <c r="X8" s="37">
        <f>W_g!X8/(rat_weight!X8/1000)*0.1578</f>
        <v>1.3061148648648739</v>
      </c>
      <c r="Y8" s="37">
        <f>W_g!Y8/(rat_weight!Y8/1000)*0.1578</f>
        <v>1.3594256756756971</v>
      </c>
      <c r="Z8" s="37">
        <f>W_g!Z8/(rat_weight!Z8/1000)*0.1578</f>
        <v>1.1271428571428694</v>
      </c>
      <c r="AA8" s="37">
        <f>W_g!AA8/(rat_weight!AA8/1000)*0.1578</f>
        <v>1.1808163265306213</v>
      </c>
      <c r="AB8" s="37">
        <f>W_g!AB8/(rat_weight!AB8/1000)*0.1578</f>
        <v>2.1737755102040572</v>
      </c>
      <c r="AC8" s="37">
        <f>W_g!AC8/(rat_weight!AC8/1000)*0.1578</f>
        <v>1.5296938775510023</v>
      </c>
      <c r="AD8" s="37">
        <f>W_g!AD8/(rat_weight!AD8/1000)*0.1578</f>
        <v>1.5028571428571489</v>
      </c>
      <c r="AE8" s="37">
        <f>W_g!AE8/(rat_weight!AE8/1000)*0.1578</f>
        <v>0.91244897959183069</v>
      </c>
      <c r="AF8" s="37">
        <f>W_g!AF8/(rat_weight!AF8/1000)*0.1578</f>
        <v>0.10662162162161558</v>
      </c>
      <c r="AG8" s="37">
        <f>W_g!AG8/(rat_weight!AG8/1000)*0.1578</f>
        <v>1.6259797297297358</v>
      </c>
      <c r="AH8" s="37">
        <f>W_g!AH8/(rat_weight!AH8/1000)*0.1578</f>
        <v>0.85297297297297003</v>
      </c>
      <c r="AI8" s="37">
        <f>W_g!AI8/(rat_weight!AI8/1000)*0.1578</f>
        <v>5.3310810810792635E-2</v>
      </c>
      <c r="AJ8" s="37">
        <f>W_g!AJ8/(rat_weight!AJ8/1000)*0.1578</f>
        <v>1.1195270270270241</v>
      </c>
      <c r="AK8" s="37">
        <f>W_g!AK8/(rat_weight!AK8/1000)*0.1578</f>
        <v>3.331925675675691</v>
      </c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</row>
    <row r="9" spans="1:85">
      <c r="A9" s="30">
        <v>8</v>
      </c>
      <c r="B9" s="37">
        <f>W_g!B9/(rat_weight!B9/1000)*0.1578</f>
        <v>1.3597659574468028</v>
      </c>
      <c r="C9" s="37">
        <f>W_g!C9/(rat_weight!C9/1000)*0.1578</f>
        <v>2.3365236051502163</v>
      </c>
      <c r="D9" s="37">
        <f>W_g!D9/(rat_weight!D9/1000)*0.1578</f>
        <v>1.8053389830508495</v>
      </c>
      <c r="E9" s="37">
        <f>W_g!E9/(rat_weight!E9/1000)*0.1578</f>
        <v>0.33012552301254294</v>
      </c>
      <c r="F9" s="37">
        <f>W_g!F9/(rat_weight!F9/1000)*0.1578</f>
        <v>2.4085263157894645</v>
      </c>
      <c r="G9" s="37">
        <f>W_g!G9/(rat_weight!G9/1000)*0.1578</f>
        <v>6.507216494845916E-2</v>
      </c>
      <c r="H9" s="37">
        <f>W_g!H9/(rat_weight!H9/1000)*0.1578</f>
        <v>3.2402464065706578E-2</v>
      </c>
      <c r="I9" s="37">
        <f>W_g!I9/(rat_weight!I9/1000)*0.1578</f>
        <v>0.70848979591836359</v>
      </c>
      <c r="J9" s="37">
        <f>W_g!J9/(rat_weight!J9/1000)*0.1578</f>
        <v>8.0346232179207791E-2</v>
      </c>
      <c r="K9" s="37">
        <f>W_g!K9/(rat_weight!K9/1000)*0.1578</f>
        <v>1.3575910931174089</v>
      </c>
      <c r="L9" s="37">
        <f>W_g!L9/(rat_weight!L9/1000)*0.1578</f>
        <v>0.50053422370617096</v>
      </c>
      <c r="M9" s="37">
        <f>W_g!M9/(rat_weight!M9/1000)*0.1578</f>
        <v>4.1619348268839245</v>
      </c>
      <c r="N9" s="37">
        <f>W_g!N9/(rat_weight!N9/1000)*0.1578</f>
        <v>0.42351888667990084</v>
      </c>
      <c r="O9" s="37">
        <f>W_g!O9/(rat_weight!O9/1000)*0.1578</f>
        <v>1.1764413518886681</v>
      </c>
      <c r="P9" s="37">
        <f>W_g!P9/(rat_weight!P9/1000)*0.1578</f>
        <v>0.14117296222663658</v>
      </c>
      <c r="Q9" s="37">
        <f>W_g!Q9/(rat_weight!Q9/1000)*0.1578</f>
        <v>2.1142135922330199</v>
      </c>
      <c r="R9" s="37">
        <f>W_g!R9/(rat_weight!R9/1000)*0.1578</f>
        <v>0.53621359223299225</v>
      </c>
      <c r="S9" s="37">
        <f>W_g!S9/(rat_weight!S9/1000)*0.1578</f>
        <v>0.85794174757284514</v>
      </c>
      <c r="T9" s="37">
        <f>W_g!T9/(rat_weight!T9/1000)*0.1578</f>
        <v>0.57436781609195575</v>
      </c>
      <c r="U9" s="37">
        <f>W_g!U9/(rat_weight!U9/1000)*0.1578</f>
        <v>0.63482758620690338</v>
      </c>
      <c r="V9" s="37">
        <f>W_g!V9/(rat_weight!V9/1000)*0.1578</f>
        <v>0.34764367816092118</v>
      </c>
      <c r="W9" s="37">
        <f>W_g!W9/(rat_weight!W9/1000)*0.1578</f>
        <v>0.36938202247191004</v>
      </c>
      <c r="X9" s="37">
        <f>W_g!X9/(rat_weight!X9/1000)*0.1578</f>
        <v>0.9012921348314723</v>
      </c>
      <c r="Y9" s="37">
        <f>W_g!Y9/(rat_weight!Y9/1000)*0.1578</f>
        <v>7.3876404494390424E-2</v>
      </c>
      <c r="Z9" s="37">
        <f>W_g!Z9/(rat_weight!Z9/1000)*0.1578</f>
        <v>0.29440298507462681</v>
      </c>
      <c r="AA9" s="37">
        <f>W_g!AA9/(rat_weight!AA9/1000)*0.1578</f>
        <v>0.55936567164180939</v>
      </c>
      <c r="AB9" s="37">
        <f>W_g!AB9/(rat_weight!AB9/1000)*0.1578</f>
        <v>0.39744402985073624</v>
      </c>
      <c r="AC9" s="37">
        <f>W_g!AC9/(rat_weight!AC9/1000)*0.1578</f>
        <v>0.13149999999999668</v>
      </c>
      <c r="AD9" s="37">
        <f>W_g!AD9/(rat_weight!AD9/1000)*0.1578</f>
        <v>0.26299999999999335</v>
      </c>
      <c r="AE9" s="37">
        <f>W_g!AE9/(rat_weight!AE9/1000)*0.1578</f>
        <v>0.40911111111110443</v>
      </c>
      <c r="AF9" s="37">
        <f>W_g!AF9/(rat_weight!AF9/1000)*0.1578</f>
        <v>1.0227777777777776</v>
      </c>
      <c r="AG9" s="37">
        <f>W_g!AG9/(rat_weight!AG9/1000)*0.1578</f>
        <v>0.92050000000000987</v>
      </c>
      <c r="AH9" s="37">
        <f>W_g!AH9/(rat_weight!AH9/1000)*0.1578</f>
        <v>2.922222222222056E-2</v>
      </c>
      <c r="AI9" s="37">
        <f>W_g!AI9/(rat_weight!AI9/1000)*0.1578</f>
        <v>0.54512727272726613</v>
      </c>
      <c r="AJ9" s="37">
        <f>W_g!AJ9/(rat_weight!AJ9/1000)*0.1578</f>
        <v>0.48774545454545937</v>
      </c>
      <c r="AK9" s="37">
        <f>W_g!AK9/(rat_weight!AK9/1000)*0.1578</f>
        <v>0.73161818181817684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</row>
    <row r="10" spans="1:85">
      <c r="A10" s="30">
        <v>9</v>
      </c>
      <c r="B10" s="37">
        <f>W_g!B10/(rat_weight!B10/1000)*0.1578</f>
        <v>26.21734285714286</v>
      </c>
      <c r="C10" s="37">
        <f>W_g!C10/(rat_weight!C10/1000)*0.1578</f>
        <v>20.389887640449448</v>
      </c>
      <c r="D10" s="37">
        <f>W_g!D10/(rat_weight!D10/1000)*0.1578</f>
        <v>-8.915254237286363E-2</v>
      </c>
      <c r="E10" s="37">
        <f>W_g!E10/(rat_weight!E10/1000)*0.1578</f>
        <v>17.820517241379303</v>
      </c>
      <c r="F10" s="37">
        <f>W_g!F10/(rat_weight!F10/1000)*0.1578</f>
        <v>24.694070796460167</v>
      </c>
      <c r="G10" s="37">
        <f>W_g!G10/(rat_weight!G10/1000)*0.1578</f>
        <v>24.836347826086975</v>
      </c>
      <c r="H10" s="37">
        <f>W_g!H10/(rat_weight!H10/1000)*0.1578</f>
        <v>19.198219584569717</v>
      </c>
      <c r="I10" s="37">
        <f>W_g!I10/(rat_weight!I10/1000)*0.1578</f>
        <v>17.911206896551725</v>
      </c>
      <c r="J10" s="37">
        <f>W_g!J10/(rat_weight!J10/1000)*0.1578</f>
        <v>25.927680722891569</v>
      </c>
      <c r="K10" s="37">
        <f>W_g!K10/(rat_weight!K10/1000)*0.1578</f>
        <v>21.891971830985916</v>
      </c>
      <c r="L10" s="37">
        <f>W_g!L10/(rat_weight!L10/1000)*0.1578</f>
        <v>23.462973760932943</v>
      </c>
      <c r="M10" s="37">
        <f>W_g!M10/(rat_weight!M10/1000)*0.1578</f>
        <v>24.252049180327869</v>
      </c>
      <c r="N10" s="37">
        <f>W_g!N10/(rat_weight!N10/1000)*0.1578</f>
        <v>27.14768595041323</v>
      </c>
      <c r="O10" s="37">
        <f>W_g!O10/(rat_weight!O10/1000)*0.1578</f>
        <v>20.583553719008247</v>
      </c>
      <c r="P10" s="37">
        <f>W_g!P10/(rat_weight!P10/1000)*0.1578</f>
        <v>23.452644628099169</v>
      </c>
      <c r="Q10" s="37">
        <f>W_g!Q10/(rat_weight!Q10/1000)*0.1578</f>
        <v>22.627924528301879</v>
      </c>
      <c r="R10" s="37">
        <f>W_g!R10/(rat_weight!R10/1000)*0.1578</f>
        <v>29.667250673854422</v>
      </c>
      <c r="S10" s="37">
        <f>W_g!S10/(rat_weight!S10/1000)*0.1578</f>
        <v>18.884959568733205</v>
      </c>
      <c r="T10" s="37">
        <f>W_g!T10/(rat_weight!T10/1000)*0.1578</f>
        <v>25.303787878787865</v>
      </c>
      <c r="U10" s="37">
        <f>W_g!U10/(rat_weight!U10/1000)*0.1578</f>
        <v>20.043787878787882</v>
      </c>
      <c r="V10" s="37">
        <f>W_g!V10/(rat_weight!V10/1000)*0.1578</f>
        <v>28.113106060606054</v>
      </c>
      <c r="W10" s="37">
        <f>W_g!W10/(rat_weight!W10/1000)*0.1578</f>
        <v>20.29141057934509</v>
      </c>
      <c r="X10" s="37">
        <f>W_g!X10/(rat_weight!X10/1000)*0.1578</f>
        <v>23.749496221662476</v>
      </c>
      <c r="Y10" s="37">
        <f>W_g!Y10/(rat_weight!Y10/1000)*0.1578</f>
        <v>15.203652392947113</v>
      </c>
      <c r="Z10" s="37">
        <f>W_g!Z10/(rat_weight!Z10/1000)*0.1578</f>
        <v>23.533629629629619</v>
      </c>
      <c r="AA10" s="37">
        <f>W_g!AA10/(rat_weight!AA10/1000)*0.1578</f>
        <v>19.832148148148171</v>
      </c>
      <c r="AB10" s="37">
        <f>W_g!AB10/(rat_weight!AB10/1000)*0.1578</f>
        <v>26.98185185185185</v>
      </c>
      <c r="AC10" s="37">
        <f>W_g!AC10/(rat_weight!AC10/1000)*0.1578</f>
        <v>21.121794258373182</v>
      </c>
      <c r="AD10" s="37">
        <f>W_g!AD10/(rat_weight!AD10/1000)*0.1578</f>
        <v>21.027416267942581</v>
      </c>
      <c r="AE10" s="37">
        <f>W_g!AE10/(rat_weight!AE10/1000)*0.1578</f>
        <v>18.535837320574171</v>
      </c>
      <c r="AF10" s="37">
        <f>W_g!AF10/(rat_weight!AF10/1000)*0.1578</f>
        <v>24.445755395683463</v>
      </c>
      <c r="AG10" s="37">
        <f>W_g!AG10/(rat_weight!AG10/1000)*0.1578</f>
        <v>16.480071942446049</v>
      </c>
      <c r="AH10" s="37">
        <f>W_g!AH10/(rat_weight!AH10/1000)*0.1578</f>
        <v>22.856402877697846</v>
      </c>
      <c r="AI10" s="37">
        <f>W_g!AI10/(rat_weight!AI10/1000)*0.1578</f>
        <v>18.152391799544418</v>
      </c>
      <c r="AJ10" s="37">
        <f>W_g!AJ10/(rat_weight!AJ10/1000)*0.1578</f>
        <v>20.201275626423694</v>
      </c>
      <c r="AK10" s="37">
        <f>W_g!AK10/(rat_weight!AK10/1000)*0.1578</f>
        <v>17.882801822323451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</row>
    <row r="11" spans="1:85">
      <c r="A11" s="30">
        <v>10</v>
      </c>
      <c r="B11" s="37">
        <f>W_g!B11/(rat_weight!B11/1000)*0.1578</f>
        <v>13.995613079019066</v>
      </c>
      <c r="C11" s="37">
        <f>W_g!C11/(rat_weight!C11/1000)*0.1578</f>
        <v>10.542382978723406</v>
      </c>
      <c r="D11" s="37">
        <f>W_g!D11/(rat_weight!D11/1000)*0.1578</f>
        <v>11.415319148936181</v>
      </c>
      <c r="E11" s="37">
        <f>W_g!E11/(rat_weight!E11/1000)*0.1578</f>
        <v>-6.6025104602516094E-2</v>
      </c>
      <c r="F11" s="37">
        <f>W_g!F11/(rat_weight!F11/1000)*0.1578</f>
        <v>12.101329113924049</v>
      </c>
      <c r="G11" s="37">
        <f>W_g!G11/(rat_weight!G11/1000)*0.1578</f>
        <v>10.57525210084034</v>
      </c>
      <c r="H11" s="37">
        <f>W_g!H11/(rat_weight!H11/1000)*0.1578</f>
        <v>10.585341614906815</v>
      </c>
      <c r="I11" s="37">
        <f>W_g!I11/(rat_weight!I11/1000)*0.1578</f>
        <v>8.7347878787878717</v>
      </c>
      <c r="J11" s="37">
        <f>W_g!J11/(rat_weight!J11/1000)*0.1578</f>
        <v>10.933285714285711</v>
      </c>
      <c r="K11" s="37">
        <f>W_g!K11/(rat_weight!K11/1000)*0.1578</f>
        <v>9.8743113772455153</v>
      </c>
      <c r="L11" s="37">
        <f>W_g!L11/(rat_weight!L11/1000)*0.1578</f>
        <v>9.9992079207920792</v>
      </c>
      <c r="M11" s="37">
        <f>W_g!M11/(rat_weight!M11/1000)*0.1578</f>
        <v>9.427618110236228</v>
      </c>
      <c r="N11" s="37">
        <f>W_g!N11/(rat_weight!N11/1000)*0.1578</f>
        <v>8.3985351562499915</v>
      </c>
      <c r="O11" s="37">
        <f>W_g!O11/(rat_weight!O11/1000)*0.1578</f>
        <v>9.3231445312499996</v>
      </c>
      <c r="P11" s="37">
        <f>W_g!P11/(rat_weight!P11/1000)*0.1578</f>
        <v>9.7546289062499927</v>
      </c>
      <c r="Q11" s="37">
        <f>W_g!Q11/(rat_weight!Q11/1000)*0.1578</f>
        <v>8.0242344045368537</v>
      </c>
      <c r="R11" s="37">
        <f>W_g!R11/(rat_weight!R11/1000)*0.1578</f>
        <v>7.0547637051039791</v>
      </c>
      <c r="S11" s="37">
        <f>W_g!S11/(rat_weight!S11/1000)*0.1578</f>
        <v>8.2330434782608855</v>
      </c>
      <c r="T11" s="37">
        <f>W_g!T11/(rat_weight!T11/1000)*0.1578</f>
        <v>7.1112849162011047</v>
      </c>
      <c r="U11" s="37">
        <f>W_g!U11/(rat_weight!U11/1000)*0.1578</f>
        <v>7.8165363128491512</v>
      </c>
      <c r="V11" s="37">
        <f>W_g!V11/(rat_weight!V11/1000)*0.1578</f>
        <v>8.8597206703910611</v>
      </c>
      <c r="W11" s="37">
        <f>W_g!W11/(rat_weight!W11/1000)*0.1578</f>
        <v>6.9274491682070236</v>
      </c>
      <c r="X11" s="37">
        <f>W_g!X11/(rat_weight!X11/1000)*0.1578</f>
        <v>7.4233086876155312</v>
      </c>
      <c r="Y11" s="37">
        <f>W_g!Y11/(rat_weight!Y11/1000)*0.1578</f>
        <v>7.1899630314232912</v>
      </c>
      <c r="Z11" s="37">
        <f>W_g!Z11/(rat_weight!Z11/1000)*0.1578</f>
        <v>5.7119561243144457</v>
      </c>
      <c r="AA11" s="37">
        <f>W_g!AA11/(rat_weight!AA11/1000)*0.1578</f>
        <v>7.2986106032906868</v>
      </c>
      <c r="AB11" s="37">
        <f>W_g!AB11/(rat_weight!AB11/1000)*0.1578</f>
        <v>7.3995795246800657</v>
      </c>
      <c r="AC11" s="37">
        <f>W_g!AC11/(rat_weight!AC11/1000)*0.1578</f>
        <v>6.1382490974729107</v>
      </c>
      <c r="AD11" s="37">
        <f>W_g!AD11/(rat_weight!AD11/1000)*0.1578</f>
        <v>6.4942960288808687</v>
      </c>
      <c r="AE11" s="37">
        <f>W_g!AE11/(rat_weight!AE11/1000)*0.1578</f>
        <v>7.3203249097472884</v>
      </c>
      <c r="AF11" s="37">
        <f>W_g!AF11/(rat_weight!AF11/1000)*0.1578</f>
        <v>7.123705035971212</v>
      </c>
      <c r="AG11" s="37">
        <f>W_g!AG11/(rat_weight!AG11/1000)*0.1578</f>
        <v>6.6837949640287802</v>
      </c>
      <c r="AH11" s="37">
        <f>W_g!AH11/(rat_weight!AH11/1000)*0.1578</f>
        <v>6.8398920863309325</v>
      </c>
      <c r="AI11" s="37">
        <f>W_g!AI11/(rat_weight!AI11/1000)*0.1578</f>
        <v>6.6209790209790214</v>
      </c>
      <c r="AJ11" s="37">
        <f>W_g!AJ11/(rat_weight!AJ11/1000)*0.1578</f>
        <v>7.117552447552459</v>
      </c>
      <c r="AK11" s="37">
        <f>W_g!AK11/(rat_weight!AK11/1000)*0.1578</f>
        <v>7.627919580419583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</row>
    <row r="12" spans="1:85">
      <c r="A12" s="30">
        <v>11</v>
      </c>
      <c r="B12" s="37">
        <f>W_g!B12/(rat_weight!B12/1000)*0.1578</f>
        <v>10.306312500000015</v>
      </c>
      <c r="C12" s="37">
        <f>W_g!C12/(rat_weight!C12/1000)*0.1578</f>
        <v>4.7729629629629677</v>
      </c>
      <c r="D12" s="37">
        <f>W_g!D12/(rat_weight!D12/1000)*0.1578</f>
        <v>6.2727950310559057</v>
      </c>
      <c r="E12" s="37">
        <f>W_g!E12/(rat_weight!E12/1000)*0.1578</f>
        <v>2.3909090909090636</v>
      </c>
      <c r="F12" s="37">
        <f>W_g!F12/(rat_weight!F12/1000)*0.1578</f>
        <v>14.936415094339605</v>
      </c>
      <c r="G12" s="37">
        <f>W_g!G12/(rat_weight!G12/1000)*0.1578</f>
        <v>12.304642857142905</v>
      </c>
      <c r="H12" s="37">
        <f>W_g!H12/(rat_weight!H12/1000)*0.1578</f>
        <v>13.819171597633119</v>
      </c>
      <c r="I12" s="37">
        <f>W_g!I12/(rat_weight!I12/1000)*0.1578</f>
        <v>4.6861818181817956</v>
      </c>
      <c r="J12" s="37">
        <f>W_g!J12/(rat_weight!J12/1000)*0.1578</f>
        <v>16.023518518518504</v>
      </c>
      <c r="K12" s="37">
        <f>W_g!K12/(rat_weight!K12/1000)*0.1578</f>
        <v>17.377361963190172</v>
      </c>
      <c r="L12" s="37">
        <f>W_g!L12/(rat_weight!L12/1000)*0.1578</f>
        <v>13.197818181818191</v>
      </c>
      <c r="M12" s="37">
        <f>W_g!M12/(rat_weight!M12/1000)*0.1578</f>
        <v>2.0561818181818508</v>
      </c>
      <c r="N12" s="37">
        <f>W_g!N12/(rat_weight!N12/1000)*0.1578</f>
        <v>4.9954437869822428</v>
      </c>
      <c r="O12" s="37">
        <f>W_g!O12/(rat_weight!O12/1000)*0.1578</f>
        <v>4.0617159763313824</v>
      </c>
      <c r="P12" s="37">
        <f>W_g!P12/(rat_weight!P12/1000)*0.1578</f>
        <v>3.2213609467455515</v>
      </c>
      <c r="Q12" s="37">
        <f>W_g!Q12/(rat_weight!Q12/1000)*0.1578</f>
        <v>1.6907142857142963</v>
      </c>
      <c r="R12" s="37">
        <f>W_g!R12/(rat_weight!R12/1000)*0.1578</f>
        <v>4.3676785714286028</v>
      </c>
      <c r="S12" s="37">
        <f>W_g!S12/(rat_weight!S12/1000)*0.1578</f>
        <v>12.398571428571444</v>
      </c>
      <c r="T12" s="37">
        <f>W_g!T12/(rat_weight!T12/1000)*0.1578</f>
        <v>3.4143859649122965</v>
      </c>
      <c r="U12" s="37">
        <f>W_g!U12/(rat_weight!U12/1000)*0.1578</f>
        <v>4.98315789473682</v>
      </c>
      <c r="V12" s="37">
        <f>W_g!V12/(rat_weight!V12/1000)*0.1578</f>
        <v>5.49070175438598</v>
      </c>
      <c r="W12" s="37">
        <f>W_g!W12/(rat_weight!W12/1000)*0.1578</f>
        <v>3.7373684210526417</v>
      </c>
      <c r="X12" s="37">
        <f>W_g!X12/(rat_weight!X12/1000)*0.1578</f>
        <v>5.3061403508772189</v>
      </c>
      <c r="Y12" s="37">
        <f>W_g!Y12/(rat_weight!Y12/1000)*0.1578</f>
        <v>1.8917543859648964</v>
      </c>
      <c r="Z12" s="37">
        <f>W_g!Z12/(rat_weight!Z12/1000)*0.1578</f>
        <v>3.1559999999999997</v>
      </c>
      <c r="AA12" s="37">
        <f>W_g!AA12/(rat_weight!AA12/1000)*0.1578</f>
        <v>2.2542857142857402</v>
      </c>
      <c r="AB12" s="37">
        <f>W_g!AB12/(rat_weight!AB12/1000)*0.1578</f>
        <v>2.6600571428571329</v>
      </c>
      <c r="AC12" s="37">
        <f>W_g!AC12/(rat_weight!AC12/1000)*0.1578</f>
        <v>8.81050000000001</v>
      </c>
      <c r="AD12" s="37">
        <f>W_g!AD12/(rat_weight!AD12/1000)*0.1578</f>
        <v>3.2436666666666567</v>
      </c>
      <c r="AE12" s="37">
        <f>W_g!AE12/(rat_weight!AE12/1000)*0.1578</f>
        <v>1.84100000000002</v>
      </c>
      <c r="AF12" s="37">
        <f>W_g!AF12/(rat_weight!AF12/1000)*0.1578</f>
        <v>2.4346285714285614</v>
      </c>
      <c r="AG12" s="37">
        <f>W_g!AG12/(rat_weight!AG12/1000)*0.1578</f>
        <v>2.2091999999999898</v>
      </c>
      <c r="AH12" s="37">
        <f>W_g!AH12/(rat_weight!AH12/1000)*0.1578</f>
        <v>3.4265142857142705</v>
      </c>
      <c r="AI12" s="37">
        <f>W_g!AI12/(rat_weight!AI12/1000)*0.1578</f>
        <v>2.3179661016948852</v>
      </c>
      <c r="AJ12" s="37">
        <f>W_g!AJ12/(rat_weight!AJ12/1000)*0.1578</f>
        <v>3.3877966101694765</v>
      </c>
      <c r="AK12" s="37">
        <f>W_g!AK12/(rat_weight!AK12/1000)*0.1578</f>
        <v>1.292711864406795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</row>
    <row r="13" spans="1:85">
      <c r="A13" s="30">
        <v>12</v>
      </c>
      <c r="B13" s="37">
        <f>W_g!B13/(rat_weight!B13/1000)*0.1578</f>
        <v>1.3758362989323938</v>
      </c>
      <c r="C13" s="37">
        <f>W_g!C13/(rat_weight!C13/1000)*0.1578</f>
        <v>1.1073684210526473</v>
      </c>
      <c r="D13" s="37">
        <f>W_g!D13/(rat_weight!D13/1000)*0.1578</f>
        <v>3.2215224913494844</v>
      </c>
      <c r="E13" s="37">
        <f>W_g!E13/(rat_weight!E13/1000)*0.1578</f>
        <v>2.0046254071661265</v>
      </c>
      <c r="F13" s="37">
        <f>W_g!F13/(rat_weight!F13/1000)*0.1578</f>
        <v>3.2549504950495196</v>
      </c>
      <c r="G13" s="37">
        <f>W_g!G13/(rat_weight!G13/1000)*0.1578</f>
        <v>4.538039215686295</v>
      </c>
      <c r="H13" s="37">
        <f>W_g!H13/(rat_weight!H13/1000)*0.1578</f>
        <v>2.423725490196087</v>
      </c>
      <c r="I13" s="37">
        <f>W_g!I13/(rat_weight!I13/1000)*0.1578</f>
        <v>6.4057425742574319</v>
      </c>
      <c r="J13" s="37">
        <f>W_g!J13/(rat_weight!J13/1000)*0.1578</f>
        <v>2.112915254237282</v>
      </c>
      <c r="K13" s="37">
        <f>W_g!K13/(rat_weight!K13/1000)*0.1578</f>
        <v>3.2566107382550218</v>
      </c>
      <c r="L13" s="37">
        <f>W_g!L13/(rat_weight!L13/1000)*0.1578</f>
        <v>2.5946979865771991</v>
      </c>
      <c r="M13" s="37">
        <f>W_g!M13/(rat_weight!M13/1000)*0.1578</f>
        <v>2.204949494949513</v>
      </c>
      <c r="N13" s="37">
        <f>W_g!N13/(rat_weight!N13/1000)*0.1578</f>
        <v>2.595049833887022</v>
      </c>
      <c r="O13" s="37">
        <f>W_g!O13/(rat_weight!O13/1000)*0.1578</f>
        <v>2.4377740863787256</v>
      </c>
      <c r="P13" s="37">
        <f>W_g!P13/(rat_weight!P13/1000)*0.1578</f>
        <v>4.1153820598006767</v>
      </c>
      <c r="Q13" s="37">
        <f>W_g!Q13/(rat_weight!Q13/1000)*0.1578</f>
        <v>2.655533980582518</v>
      </c>
      <c r="R13" s="37">
        <f>W_g!R13/(rat_weight!R13/1000)*0.1578</f>
        <v>4.6727184466019303</v>
      </c>
      <c r="S13" s="37">
        <f>W_g!S13/(rat_weight!S13/1000)*0.1578</f>
        <v>1.6852427184466514</v>
      </c>
      <c r="T13" s="37">
        <f>W_g!T13/(rat_weight!T13/1000)*0.1578</f>
        <v>4.8937974683544212</v>
      </c>
      <c r="U13" s="37">
        <f>W_g!U13/(rat_weight!U13/1000)*0.1578</f>
        <v>1.2484177215189873</v>
      </c>
      <c r="V13" s="37">
        <f>W_g!V13/(rat_weight!V13/1000)*0.1578</f>
        <v>4.818892405063294</v>
      </c>
      <c r="W13" s="37">
        <f>W_g!W13/(rat_weight!W13/1000)*0.1578</f>
        <v>2.9120820189274559</v>
      </c>
      <c r="X13" s="37">
        <f>W_g!X13/(rat_weight!X13/1000)*0.1578</f>
        <v>0.22400630914827346</v>
      </c>
      <c r="Y13" s="37">
        <f>W_g!Y13/(rat_weight!Y13/1000)*0.1578</f>
        <v>2.4889589905382585E-2</v>
      </c>
      <c r="Z13" s="37">
        <f>W_g!Z13/(rat_weight!Z13/1000)*0.1578</f>
        <v>2.3396214511041236</v>
      </c>
      <c r="AA13" s="37">
        <f>W_g!AA13/(rat_weight!AA13/1000)*0.1578</f>
        <v>0.94580441640378832</v>
      </c>
      <c r="AB13" s="37">
        <f>W_g!AB13/(rat_weight!AB13/1000)*0.1578</f>
        <v>3.7085488958990478</v>
      </c>
      <c r="AC13" s="37">
        <f>W_g!AC13/(rat_weight!AC13/1000)*0.1578</f>
        <v>1.548504672897185</v>
      </c>
      <c r="AD13" s="37">
        <f>W_g!AD13/(rat_weight!AD13/1000)*0.1578</f>
        <v>0.98317757009345785</v>
      </c>
      <c r="AE13" s="37">
        <f>W_g!AE13/(rat_weight!AE13/1000)*0.1578</f>
        <v>0.83570093457943362</v>
      </c>
      <c r="AF13" s="37">
        <f>W_g!AF13/(rat_weight!AF13/1000)*0.1578</f>
        <v>1.1834999999999887</v>
      </c>
      <c r="AG13" s="37">
        <f>W_g!AG13/(rat_weight!AG13/1000)*0.1578</f>
        <v>2.3423437499999999</v>
      </c>
      <c r="AH13" s="37">
        <f>W_g!AH13/(rat_weight!AH13/1000)*0.1578</f>
        <v>1.9231875000000027</v>
      </c>
      <c r="AI13" s="37">
        <f>W_g!AI13/(rat_weight!AI13/1000)*0.1578</f>
        <v>3.6984374999999998</v>
      </c>
      <c r="AJ13" s="37">
        <f>W_g!AJ13/(rat_weight!AJ13/1000)*0.1578</f>
        <v>3.4025625000000028</v>
      </c>
      <c r="AK13" s="37">
        <f>W_g!AK13/(rat_weight!AK13/1000)*0.1578</f>
        <v>1.9478437500000083</v>
      </c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</row>
    <row r="14" spans="1:85">
      <c r="A14" s="30">
        <v>13</v>
      </c>
      <c r="B14" s="37">
        <f>W_g!B14/(rat_weight!B14/1000)*0.1578</f>
        <v>-0.14139784946238165</v>
      </c>
      <c r="C14" s="37">
        <f>W_g!C14/(rat_weight!C14/1000)*0.1578</f>
        <v>4.2041605839415954</v>
      </c>
      <c r="D14" s="37">
        <f>W_g!D14/(rat_weight!D14/1000)*0.1578</f>
        <v>3.3437174721189686</v>
      </c>
      <c r="E14" s="37">
        <f>W_g!E14/(rat_weight!E14/1000)*0.1578</f>
        <v>2.7615000000000025</v>
      </c>
      <c r="F14" s="37">
        <f>W_g!F14/(rat_weight!F14/1000)*0.1578</f>
        <v>5.5575547445255165</v>
      </c>
      <c r="G14" s="37">
        <f>W_g!G14/(rat_weight!G14/1000)*0.1578</f>
        <v>4.3452173913043763</v>
      </c>
      <c r="H14" s="37">
        <f>W_g!H14/(rat_weight!H14/1000)*0.1578</f>
        <v>3.9019636363636585</v>
      </c>
      <c r="I14" s="37">
        <f>W_g!I14/(rat_weight!I14/1000)*0.1578</f>
        <v>4.7800729927007355</v>
      </c>
      <c r="J14" s="37">
        <f>W_g!J14/(rat_weight!J14/1000)*0.1578</f>
        <v>3.8604642857142664</v>
      </c>
      <c r="K14" s="37">
        <f>W_g!K14/(rat_weight!K14/1000)*0.1578</f>
        <v>3.4218279569892531</v>
      </c>
      <c r="L14" s="37">
        <f>W_g!L14/(rat_weight!L14/1000)*0.1578</f>
        <v>3.0324555160142217</v>
      </c>
      <c r="M14" s="37">
        <f>W_g!M14/(rat_weight!M14/1000)*0.1578</f>
        <v>8.1146263345195973</v>
      </c>
      <c r="N14" s="37">
        <f>W_g!N14/(rat_weight!N14/1000)*0.1578</f>
        <v>7.473274647887302</v>
      </c>
      <c r="O14" s="37">
        <f>W_g!O14/(rat_weight!O14/1000)*0.1578</f>
        <v>4.6395422535211397</v>
      </c>
      <c r="P14" s="37">
        <f>W_g!P14/(rat_weight!P14/1000)*0.1578</f>
        <v>5.5285563380281948</v>
      </c>
      <c r="Q14" s="37">
        <f>W_g!Q14/(rat_weight!Q14/1000)*0.1578</f>
        <v>5.5502068965517175</v>
      </c>
      <c r="R14" s="37">
        <f>W_g!R14/(rat_weight!R14/1000)*0.1578</f>
        <v>5.6318275862069092</v>
      </c>
      <c r="S14" s="37">
        <f>W_g!S14/(rat_weight!S14/1000)*0.1578</f>
        <v>4.4619310344827676</v>
      </c>
      <c r="T14" s="37">
        <f>W_g!T14/(rat_weight!T14/1000)*0.1578</f>
        <v>6.9475085324232113</v>
      </c>
      <c r="U14" s="37">
        <f>W_g!U14/(rat_weight!U14/1000)*0.1578</f>
        <v>3.6083959044368541</v>
      </c>
      <c r="V14" s="37">
        <f>W_g!V14/(rat_weight!V14/1000)*0.1578</f>
        <v>5.4664505119453963</v>
      </c>
      <c r="W14" s="37">
        <f>W_g!W14/(rat_weight!W14/1000)*0.1578</f>
        <v>2.6299999999999941</v>
      </c>
      <c r="X14" s="37">
        <f>W_g!X14/(rat_weight!X14/1000)*0.1578</f>
        <v>3.852020202020217</v>
      </c>
      <c r="Y14" s="37">
        <f>W_g!Y14/(rat_weight!Y14/1000)*0.1578</f>
        <v>2.4174747474747385</v>
      </c>
      <c r="Z14" s="37">
        <f>W_g!Z14/(rat_weight!Z14/1000)*0.1578</f>
        <v>3.6976237623762493</v>
      </c>
      <c r="AA14" s="37">
        <f>W_g!AA14/(rat_weight!AA14/1000)*0.1578</f>
        <v>2.0831683168316979</v>
      </c>
      <c r="AB14" s="37">
        <f>W_g!AB14/(rat_weight!AB14/1000)*0.1578</f>
        <v>5.5985148514851488</v>
      </c>
      <c r="AC14" s="37">
        <f>W_g!AC14/(rat_weight!AC14/1000)*0.1578</f>
        <v>5.1129276315789296</v>
      </c>
      <c r="AD14" s="37">
        <f>W_g!AD14/(rat_weight!AD14/1000)*0.1578</f>
        <v>5.1907894736842106</v>
      </c>
      <c r="AE14" s="37">
        <f>W_g!AE14/(rat_weight!AE14/1000)*0.1578</f>
        <v>3.1144736842105263</v>
      </c>
      <c r="AF14" s="37">
        <f>W_g!AF14/(rat_weight!AF14/1000)*0.1578</f>
        <v>5.6911475409836063</v>
      </c>
      <c r="AG14" s="37">
        <f>W_g!AG14/(rat_weight!AG14/1000)*0.1578</f>
        <v>2.5092786885246019</v>
      </c>
      <c r="AH14" s="37">
        <f>W_g!AH14/(rat_weight!AH14/1000)*0.1578</f>
        <v>1.914295081967222</v>
      </c>
      <c r="AI14" s="37">
        <f>W_g!AI14/(rat_weight!AI14/1000)*0.1578</f>
        <v>1.0280130293159608</v>
      </c>
      <c r="AJ14" s="37">
        <f>W_g!AJ14/(rat_weight!AJ14/1000)*0.1578</f>
        <v>3.4952442996742583</v>
      </c>
      <c r="AK14" s="37">
        <f>W_g!AK14/(rat_weight!AK14/1000)*0.1578</f>
        <v>3.109739413680773</v>
      </c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</row>
    <row r="15" spans="1:85">
      <c r="A15" s="30">
        <v>14</v>
      </c>
      <c r="B15" s="37">
        <f>W_g!B15/(rat_weight!B15/1000)*0.1578</f>
        <v>12.856058823529404</v>
      </c>
      <c r="C15" s="37">
        <f>W_g!C15/(rat_weight!C15/1000)*0.1578</f>
        <v>-0.27051428571427033</v>
      </c>
      <c r="D15" s="37">
        <f>W_g!D15/(rat_weight!D15/1000)*0.1578</f>
        <v>10.953176470588218</v>
      </c>
      <c r="E15" s="37">
        <f>W_g!E15/(rat_weight!E15/1000)*0.1578</f>
        <v>9.1596551724137889</v>
      </c>
      <c r="F15" s="37">
        <f>W_g!F15/(rat_weight!F15/1000)*0.1578</f>
        <v>6.8705056179775026</v>
      </c>
      <c r="G15" s="37">
        <f>W_g!G15/(rat_weight!G15/1000)*0.1578</f>
        <v>6.0827932960893909</v>
      </c>
      <c r="H15" s="37">
        <f>W_g!H15/(rat_weight!H15/1000)*0.1578</f>
        <v>8.8709189189189228</v>
      </c>
      <c r="I15" s="37">
        <f>W_g!I15/(rat_weight!I15/1000)*0.1578</f>
        <v>8.2368131868131371</v>
      </c>
      <c r="J15" s="37">
        <f>W_g!J15/(rat_weight!J15/1000)*0.1578</f>
        <v>7.332554347826048</v>
      </c>
      <c r="K15" s="37">
        <f>W_g!K15/(rat_weight!K15/1000)*0.1578</f>
        <v>5.5869729729729825</v>
      </c>
      <c r="L15" s="37">
        <f>W_g!L15/(rat_weight!L15/1000)*0.1578</f>
        <v>7.8478074866310248</v>
      </c>
      <c r="M15" s="37">
        <f>W_g!M15/(rat_weight!M15/1000)*0.1578</f>
        <v>7.4183152173912852</v>
      </c>
      <c r="N15" s="37">
        <f>W_g!N15/(rat_weight!N15/1000)*0.1578</f>
        <v>8.8451052631578992</v>
      </c>
      <c r="O15" s="37">
        <f>W_g!O15/(rat_weight!O15/1000)*0.1578</f>
        <v>6.3535263157894546</v>
      </c>
      <c r="P15" s="37">
        <f>W_g!P15/(rat_weight!P15/1000)*0.1578</f>
        <v>8.9281578947368416</v>
      </c>
      <c r="Q15" s="37">
        <f>W_g!Q15/(rat_weight!Q15/1000)*0.1578</f>
        <v>12.189841269841288</v>
      </c>
      <c r="R15" s="37">
        <f>W_g!R15/(rat_weight!R15/1000)*0.1578</f>
        <v>6.5541269841269552</v>
      </c>
      <c r="S15" s="37">
        <f>W_g!S15/(rat_weight!S15/1000)*0.1578</f>
        <v>8.9336507936508553</v>
      </c>
      <c r="T15" s="37">
        <f>W_g!T15/(rat_weight!T15/1000)*0.1578</f>
        <v>5.4296774193547952</v>
      </c>
      <c r="U15" s="37">
        <f>W_g!U15/(rat_weight!U15/1000)*0.1578</f>
        <v>7.9748387096774005</v>
      </c>
      <c r="V15" s="37">
        <f>W_g!V15/(rat_weight!V15/1000)*0.1578</f>
        <v>5.3024193548387339</v>
      </c>
      <c r="W15" s="37">
        <f>W_g!W15/(rat_weight!W15/1000)*0.1578</f>
        <v>19.392789473684228</v>
      </c>
      <c r="X15" s="37">
        <f>W_g!X15/(rat_weight!X15/1000)*0.1578</f>
        <v>10.09089473684211</v>
      </c>
      <c r="Y15" s="37">
        <f>W_g!Y15/(rat_weight!Y15/1000)*0.1578</f>
        <v>7.9315263157895064</v>
      </c>
      <c r="Z15" s="37">
        <f>W_g!Z15/(rat_weight!Z15/1000)*0.1578</f>
        <v>5.7233160621761661</v>
      </c>
      <c r="AA15" s="37">
        <f>W_g!AA15/(rat_weight!AA15/1000)*0.1578</f>
        <v>8.1761658031088782</v>
      </c>
      <c r="AB15" s="37">
        <f>W_g!AB15/(rat_weight!AB15/1000)*0.1578</f>
        <v>8.1352849740932083</v>
      </c>
      <c r="AC15" s="37">
        <f>W_g!AC15/(rat_weight!AC15/1000)*0.1578</f>
        <v>4.5614062499999619</v>
      </c>
      <c r="AD15" s="37">
        <f>W_g!AD15/(rat_weight!AD15/1000)*0.1578</f>
        <v>9.8624999999999989</v>
      </c>
      <c r="AE15" s="37">
        <f>W_g!AE15/(rat_weight!AE15/1000)*0.1578</f>
        <v>5.9174999999999907</v>
      </c>
      <c r="AF15" s="37">
        <f>W_g!AF15/(rat_weight!AF15/1000)*0.1578</f>
        <v>7.8495384615384518</v>
      </c>
      <c r="AG15" s="37">
        <f>W_g!AG15/(rat_weight!AG15/1000)*0.1578</f>
        <v>5.2195384615384981</v>
      </c>
      <c r="AH15" s="37">
        <f>W_g!AH15/(rat_weight!AH15/1000)*0.1578</f>
        <v>5.0172307692307827</v>
      </c>
      <c r="AI15" s="37">
        <f>W_g!AI15/(rat_weight!AI15/1000)*0.1578</f>
        <v>3.1081818181818455</v>
      </c>
      <c r="AJ15" s="37">
        <f>W_g!AJ15/(rat_weight!AJ15/1000)*0.1578</f>
        <v>7.0930303030303072</v>
      </c>
      <c r="AK15" s="37">
        <f>W_g!AK15/(rat_weight!AK15/1000)*0.1578</f>
        <v>4.0246969696969552</v>
      </c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</row>
    <row r="16" spans="1:85">
      <c r="A16" s="30">
        <v>15</v>
      </c>
      <c r="B16" s="37">
        <f>W_g!B16/(rat_weight!B16/1000)*0.1578</f>
        <v>9.5943575418994413</v>
      </c>
      <c r="C16" s="37">
        <f>W_g!C16/(rat_weight!C16/1000)*0.1578</f>
        <v>-0.11776119402985241</v>
      </c>
      <c r="D16" s="37">
        <f>W_g!D16/(rat_weight!D16/1000)*0.1578</f>
        <v>8.8207622504537149</v>
      </c>
      <c r="E16" s="37">
        <f>W_g!E16/(rat_weight!E16/1000)*0.1578</f>
        <v>8.5414678899082475</v>
      </c>
      <c r="F16" s="37">
        <f>W_g!F16/(rat_weight!F16/1000)*0.1578</f>
        <v>10.059022140221396</v>
      </c>
      <c r="G16" s="37">
        <f>W_g!G16/(rat_weight!G16/1000)*0.1578</f>
        <v>10.301229656419528</v>
      </c>
      <c r="H16" s="37">
        <f>W_g!H16/(rat_weight!H16/1000)*0.1578</f>
        <v>9.2121081081081098</v>
      </c>
      <c r="I16" s="37">
        <f>W_g!I16/(rat_weight!I16/1000)*0.1578</f>
        <v>9.5131663685152024</v>
      </c>
      <c r="J16" s="37">
        <f>W_g!J16/(rat_weight!J16/1000)*0.1578</f>
        <v>10.524696428571417</v>
      </c>
      <c r="K16" s="37">
        <f>W_g!K16/(rat_weight!K16/1000)*0.1578</f>
        <v>8.042263157894741</v>
      </c>
      <c r="L16" s="37">
        <f>W_g!L16/(rat_weight!L16/1000)*0.1578</f>
        <v>9.7107692307692286</v>
      </c>
      <c r="M16" s="37">
        <f>W_g!M16/(rat_weight!M16/1000)*0.1578</f>
        <v>10.014775583482949</v>
      </c>
      <c r="N16" s="37">
        <f>W_g!N16/(rat_weight!N16/1000)*0.1578</f>
        <v>8.9884380305602676</v>
      </c>
      <c r="O16" s="37">
        <f>W_g!O16/(rat_weight!O16/1000)*0.1578</f>
        <v>7.9703735144312393</v>
      </c>
      <c r="P16" s="37">
        <f>W_g!P16/(rat_weight!P16/1000)*0.1578</f>
        <v>9.8189643463497394</v>
      </c>
      <c r="Q16" s="37">
        <f>W_g!Q16/(rat_weight!Q16/1000)*0.1578</f>
        <v>8.6000999999999976</v>
      </c>
      <c r="R16" s="37">
        <f>W_g!R16/(rat_weight!R16/1000)*0.1578</f>
        <v>7.6927499999999851</v>
      </c>
      <c r="S16" s="37">
        <f>W_g!S16/(rat_weight!S16/1000)*0.1578</f>
        <v>7.4166000000000203</v>
      </c>
      <c r="T16" s="37">
        <f>W_g!T16/(rat_weight!T16/1000)*0.1578</f>
        <v>7.720462809917354</v>
      </c>
      <c r="U16" s="37">
        <f>W_g!U16/(rat_weight!U16/1000)*0.1578</f>
        <v>8.581190082644623</v>
      </c>
      <c r="V16" s="37">
        <f>W_g!V16/(rat_weight!V16/1000)*0.1578</f>
        <v>8.8811404958677649</v>
      </c>
      <c r="W16" s="37">
        <f>W_g!W16/(rat_weight!W16/1000)*0.1578</f>
        <v>8.1317903225806418</v>
      </c>
      <c r="X16" s="37">
        <f>W_g!X16/(rat_weight!X16/1000)*0.1578</f>
        <v>8.7171774193548455</v>
      </c>
      <c r="Y16" s="37">
        <f>W_g!Y16/(rat_weight!Y16/1000)*0.1578</f>
        <v>8.284499999999996</v>
      </c>
      <c r="Z16" s="37">
        <f>W_g!Z16/(rat_weight!Z16/1000)*0.1578</f>
        <v>7.4605287713841308</v>
      </c>
      <c r="AA16" s="37">
        <f>W_g!AA16/(rat_weight!AA16/1000)*0.1578</f>
        <v>6.8960808709175865</v>
      </c>
      <c r="AB16" s="37">
        <f>W_g!AB16/(rat_weight!AB16/1000)*0.1578</f>
        <v>8.4299066874027915</v>
      </c>
      <c r="AC16" s="37">
        <f>W_g!AC16/(rat_weight!AC16/1000)*0.1578</f>
        <v>7.5539905362775945</v>
      </c>
      <c r="AD16" s="37">
        <f>W_g!AD16/(rat_weight!AD16/1000)*0.1578</f>
        <v>8.4375709779179893</v>
      </c>
      <c r="AE16" s="37">
        <f>W_g!AE16/(rat_weight!AE16/1000)*0.1578</f>
        <v>7.4170977917980956</v>
      </c>
      <c r="AF16" s="37">
        <f>W_g!AF16/(rat_weight!AF16/1000)*0.1578</f>
        <v>8.6915238095238063</v>
      </c>
      <c r="AG16" s="37">
        <f>W_g!AG16/(rat_weight!AG16/1000)*0.1578</f>
        <v>6.2243333333333251</v>
      </c>
      <c r="AH16" s="37">
        <f>W_g!AH16/(rat_weight!AH16/1000)*0.1578</f>
        <v>8.9670476190476158</v>
      </c>
      <c r="AI16" s="37">
        <f>W_g!AI16/(rat_weight!AI16/1000)*0.1578</f>
        <v>6.3807153965785384</v>
      </c>
      <c r="AJ16" s="37">
        <f>W_g!AJ16/(rat_weight!AJ16/1000)*0.1578</f>
        <v>6.2089269051321878</v>
      </c>
      <c r="AK16" s="37">
        <f>W_g!AK16/(rat_weight!AK16/1000)*0.1578</f>
        <v>6.5893157076205275</v>
      </c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</row>
    <row r="17" spans="1:85">
      <c r="A17" s="30">
        <v>16</v>
      </c>
      <c r="B17" s="37">
        <f>W_g!B17/(rat_weight!B17/1000)*0.1578</f>
        <v>12.840974999999993</v>
      </c>
      <c r="C17" s="37">
        <f>W_g!C17/(rat_weight!C17/1000)*0.1578</f>
        <v>-8.1761658031095044E-2</v>
      </c>
      <c r="D17" s="37">
        <f>W_g!D17/(rat_weight!D17/1000)*0.1578</f>
        <v>9.4270129870129988</v>
      </c>
      <c r="E17" s="37">
        <f>W_g!E17/(rat_weight!E17/1000)*0.1578</f>
        <v>8.3996899224806167</v>
      </c>
      <c r="F17" s="37">
        <f>W_g!F17/(rat_weight!F17/1000)*0.1578</f>
        <v>8.489240506329125</v>
      </c>
      <c r="G17" s="37">
        <f>W_g!G17/(rat_weight!G17/1000)*0.1578</f>
        <v>12.08680851063829</v>
      </c>
      <c r="H17" s="37">
        <f>W_g!H17/(rat_weight!H17/1000)*0.1578</f>
        <v>8.789378238341957</v>
      </c>
      <c r="I17" s="37">
        <f>W_g!I17/(rat_weight!I17/1000)*0.1578</f>
        <v>-0.12076530612245354</v>
      </c>
      <c r="J17" s="37">
        <f>W_g!J17/(rat_weight!J17/1000)*0.1578</f>
        <v>13.222688442211041</v>
      </c>
      <c r="K17" s="37">
        <f>W_g!K17/(rat_weight!K17/1000)*0.1578</f>
        <v>11.268686131386849</v>
      </c>
      <c r="L17" s="37">
        <f>W_g!L17/(rat_weight!L17/1000)*0.1578</f>
        <v>12.952590799031469</v>
      </c>
      <c r="M17" s="37">
        <f>W_g!M17/(rat_weight!M17/1000)*0.1578</f>
        <v>14.221243902439021</v>
      </c>
      <c r="N17" s="37">
        <f>W_g!N17/(rat_weight!N17/1000)*0.1578</f>
        <v>8.8924941176470647</v>
      </c>
      <c r="O17" s="37">
        <f>W_g!O17/(rat_weight!O17/1000)*0.1578</f>
        <v>8.8553647058823621</v>
      </c>
      <c r="P17" s="37">
        <f>W_g!P17/(rat_weight!P17/1000)*0.1578</f>
        <v>9.635082352941172</v>
      </c>
      <c r="Q17" s="37">
        <f>W_g!Q17/(rat_weight!Q17/1000)*0.1578</f>
        <v>10.471853546910754</v>
      </c>
      <c r="R17" s="37">
        <f>W_g!R17/(rat_weight!R17/1000)*0.1578</f>
        <v>12.584279176201379</v>
      </c>
      <c r="S17" s="37">
        <f>W_g!S17/(rat_weight!S17/1000)*0.1578</f>
        <v>12.205125858123584</v>
      </c>
      <c r="T17" s="37">
        <f>W_g!T17/(rat_weight!T17/1000)*0.1578</f>
        <v>8.724185022026429</v>
      </c>
      <c r="U17" s="37">
        <f>W_g!U17/(rat_weight!U17/1000)*0.1578</f>
        <v>9.071762114537453</v>
      </c>
      <c r="V17" s="37">
        <f>W_g!V17/(rat_weight!V17/1000)*0.1578</f>
        <v>8.7068061674008757</v>
      </c>
      <c r="W17" s="37">
        <f>W_g!W17/(rat_weight!W17/1000)*0.1578</f>
        <v>11.313634361233484</v>
      </c>
      <c r="X17" s="37">
        <f>W_g!X17/(rat_weight!X17/1000)*0.1578</f>
        <v>7.3512555066079512</v>
      </c>
      <c r="Y17" s="37">
        <f>W_g!Y17/(rat_weight!Y17/1000)*0.1578</f>
        <v>11.278876651982385</v>
      </c>
      <c r="Z17" s="37">
        <f>W_g!Z17/(rat_weight!Z17/1000)*0.1578</f>
        <v>9.3001276595744642</v>
      </c>
      <c r="AA17" s="37">
        <f>W_g!AA17/(rat_weight!AA17/1000)*0.1578</f>
        <v>10.878127659574471</v>
      </c>
      <c r="AB17" s="37">
        <f>W_g!AB17/(rat_weight!AB17/1000)*0.1578</f>
        <v>8.24253191489362</v>
      </c>
      <c r="AC17" s="37">
        <f>W_g!AC17/(rat_weight!AC17/1000)*0.1578</f>
        <v>8.8055063291139017</v>
      </c>
      <c r="AD17" s="37">
        <f>W_g!AD17/(rat_weight!AD17/1000)*0.1578</f>
        <v>6.7581012658227699</v>
      </c>
      <c r="AE17" s="37">
        <f>W_g!AE17/(rat_weight!AE17/1000)*0.1578</f>
        <v>14.415063291139226</v>
      </c>
      <c r="AF17" s="37">
        <f>W_g!AF17/(rat_weight!AF17/1000)*0.1578</f>
        <v>7.9062012320328661</v>
      </c>
      <c r="AG17" s="37">
        <f>W_g!AG17/(rat_weight!AG17/1000)*0.1578</f>
        <v>12.005112936344974</v>
      </c>
      <c r="AH17" s="37">
        <f>W_g!AH17/(rat_weight!AH17/1000)*0.1578</f>
        <v>7.6469815195071851</v>
      </c>
      <c r="AI17" s="37">
        <f>W_g!AI17/(rat_weight!AI17/1000)*0.1578</f>
        <v>8.065333333333319</v>
      </c>
      <c r="AJ17" s="37">
        <f>W_g!AJ17/(rat_weight!AJ17/1000)*0.1578</f>
        <v>7.7465454545454495</v>
      </c>
      <c r="AK17" s="37">
        <f>W_g!AK17/(rat_weight!AK17/1000)*0.1578</f>
        <v>6.9336363636363538</v>
      </c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</row>
    <row r="18" spans="1:85">
      <c r="A18" s="30">
        <v>17</v>
      </c>
      <c r="B18" s="37">
        <f>W_g!B18/(rat_weight!B18/1000)*0.1578</f>
        <v>1.8534698275861932</v>
      </c>
      <c r="C18" s="37">
        <f>W_g!C18/(rat_weight!C18/1000)*0.1578</f>
        <v>2.6751502145922763</v>
      </c>
      <c r="D18" s="37">
        <f>W_g!D18/(rat_weight!D18/1000)*0.1578</f>
        <v>1.3574193548387001</v>
      </c>
      <c r="E18" s="37">
        <f>W_g!E18/(rat_weight!E18/1000)*0.1578</f>
        <v>3.0967014613778536</v>
      </c>
      <c r="F18" s="37">
        <f>W_g!F18/(rat_weight!F18/1000)*0.1578</f>
        <v>1.6532987551867351</v>
      </c>
      <c r="G18" s="37">
        <f>W_g!G18/(rat_weight!G18/1000)*0.1578</f>
        <v>3.1101659751037434</v>
      </c>
      <c r="H18" s="37">
        <f>W_g!H18/(rat_weight!H18/1000)*0.1578</f>
        <v>2.1809756097560919</v>
      </c>
      <c r="I18" s="37">
        <f>W_g!I18/(rat_weight!I18/1000)*0.1578</f>
        <v>3.2132661290322475</v>
      </c>
      <c r="J18" s="37">
        <f>W_g!J18/(rat_weight!J18/1000)*0.1578</f>
        <v>3.2422469635627458</v>
      </c>
      <c r="K18" s="37">
        <f>W_g!K18/(rat_weight!K18/1000)*0.1578</f>
        <v>1.3592673267326802</v>
      </c>
      <c r="L18" s="37">
        <f>W_g!L18/(rat_weight!L18/1000)*0.1578</f>
        <v>2.489940828402367</v>
      </c>
      <c r="M18" s="37">
        <f>W_g!M18/(rat_weight!M18/1000)*0.1578</f>
        <v>0.9492899408284059</v>
      </c>
      <c r="N18" s="37">
        <f>W_g!N18/(rat_weight!N18/1000)*0.1578</f>
        <v>1.2361508704061843</v>
      </c>
      <c r="O18" s="37">
        <f>W_g!O18/(rat_weight!O18/1000)*0.1578</f>
        <v>1.0224951644100475</v>
      </c>
      <c r="P18" s="37">
        <f>W_g!P18/(rat_weight!P18/1000)*0.1578</f>
        <v>2.1212959381044452</v>
      </c>
      <c r="Q18" s="37">
        <f>W_g!Q18/(rat_weight!Q18/1000)*0.1578</f>
        <v>0.8700000000000101</v>
      </c>
      <c r="R18" s="37">
        <f>W_g!R18/(rat_weight!R18/1000)*0.1578</f>
        <v>1.9349999999999965</v>
      </c>
      <c r="S18" s="37">
        <f>W_g!S18/(rat_weight!S18/1000)*0.1578</f>
        <v>0.72000000000003572</v>
      </c>
      <c r="T18" s="37">
        <f>W_g!T18/(rat_weight!T18/1000)*0.1578</f>
        <v>1.2754511278195437</v>
      </c>
      <c r="U18" s="37">
        <f>W_g!U18/(rat_weight!U18/1000)*0.1578</f>
        <v>0.53390977443609355</v>
      </c>
      <c r="V18" s="37">
        <f>W_g!V18/(rat_weight!V18/1000)*0.1578</f>
        <v>1.6165601503759277</v>
      </c>
      <c r="W18" s="37">
        <f>W_g!W18/(rat_weight!W18/1000)*0.1578</f>
        <v>1.5021626617375163</v>
      </c>
      <c r="X18" s="37">
        <f>W_g!X18/(rat_weight!X18/1000)*0.1578</f>
        <v>1.3271534195933405</v>
      </c>
      <c r="Y18" s="37">
        <f>W_g!Y18/(rat_weight!Y18/1000)*0.1578</f>
        <v>0.2770979667282859</v>
      </c>
      <c r="Z18" s="37">
        <f>W_g!Z18/(rat_weight!Z18/1000)*0.1578</f>
        <v>0.87343173431734311</v>
      </c>
      <c r="AA18" s="37">
        <f>W_g!AA18/(rat_weight!AA18/1000)*0.1578</f>
        <v>5.8228782287827838E-2</v>
      </c>
      <c r="AB18" s="37">
        <f>W_g!AB18/(rat_weight!AB18/1000)*0.1578</f>
        <v>0.45127306273061402</v>
      </c>
      <c r="AC18" s="37">
        <f>W_g!AC18/(rat_weight!AC18/1000)*0.1578</f>
        <v>1.0548901098901031</v>
      </c>
      <c r="AD18" s="37">
        <f>W_g!AD18/(rat_weight!AD18/1000)*0.1578</f>
        <v>0.11560439560440545</v>
      </c>
      <c r="AE18" s="37">
        <f>W_g!AE18/(rat_weight!AE18/1000)*0.1578</f>
        <v>0.66472527472527798</v>
      </c>
      <c r="AF18" s="37">
        <f>W_g!AF18/(rat_weight!AF18/1000)*0.1578</f>
        <v>0.89429616087752017</v>
      </c>
      <c r="AG18" s="37">
        <f>W_g!AG18/(rat_weight!AG18/1000)*0.1578</f>
        <v>7.2120658135283358E-2</v>
      </c>
      <c r="AH18" s="37">
        <f>W_g!AH18/(rat_weight!AH18/1000)*0.1578</f>
        <v>-0.1442413162705749</v>
      </c>
      <c r="AI18" s="37">
        <f>W_g!AI18/(rat_weight!AI18/1000)*0.1578</f>
        <v>0.75005484460693705</v>
      </c>
      <c r="AJ18" s="37">
        <f>W_g!AJ18/(rat_weight!AJ18/1000)*0.1578</f>
        <v>0.25963436928702172</v>
      </c>
      <c r="AK18" s="37">
        <f>W_g!AK18/(rat_weight!AK18/1000)*0.1578</f>
        <v>0.53369287020109524</v>
      </c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</row>
    <row r="19" spans="1:85">
      <c r="A19" s="30">
        <v>18</v>
      </c>
      <c r="B19" s="37">
        <f>W_g!B19/(rat_weight!B19/1000)*0.1578</f>
        <v>9.3385546875000038</v>
      </c>
      <c r="C19" s="37">
        <f>W_g!C19/(rat_weight!C19/1000)*0.1578</f>
        <v>10.658943396226418</v>
      </c>
      <c r="D19" s="37">
        <f>W_g!D19/(rat_weight!D19/1000)*0.1578</f>
        <v>10.740000000000004</v>
      </c>
      <c r="E19" s="37">
        <f>W_g!E19/(rat_weight!E19/1000)*0.1578</f>
        <v>9.7429545454545359</v>
      </c>
      <c r="F19" s="37">
        <f>W_g!F19/(rat_weight!F19/1000)*0.1578</f>
        <v>11.292379182156116</v>
      </c>
      <c r="G19" s="37">
        <f>W_g!G19/(rat_weight!G19/1000)*0.1578</f>
        <v>10.884744525547449</v>
      </c>
      <c r="H19" s="37">
        <f>W_g!H19/(rat_weight!H19/1000)*0.1578</f>
        <v>-0.17404411764708189</v>
      </c>
      <c r="I19" s="37">
        <f>W_g!I19/(rat_weight!I19/1000)*0.1578</f>
        <v>4.6444680851063893</v>
      </c>
      <c r="J19" s="37">
        <f>W_g!J19/(rat_weight!J19/1000)*0.1578</f>
        <v>5.4225818181818104</v>
      </c>
      <c r="K19" s="37">
        <f>W_g!K19/(rat_weight!K19/1000)*0.1578</f>
        <v>7.5481949458483752</v>
      </c>
      <c r="L19" s="37">
        <f>W_g!L19/(rat_weight!L19/1000)*0.1578</f>
        <v>6.5512635379061361</v>
      </c>
      <c r="M19" s="37">
        <f>W_g!M19/(rat_weight!M19/1000)*0.1578</f>
        <v>8.8265827338129554</v>
      </c>
      <c r="N19" s="37">
        <f>W_g!N19/(rat_weight!N19/1000)*0.1578</f>
        <v>5.2692932862190913</v>
      </c>
      <c r="O19" s="37">
        <f>W_g!O19/(rat_weight!O19/1000)*0.1578</f>
        <v>6.1056890459363897</v>
      </c>
      <c r="P19" s="37">
        <f>W_g!P19/(rat_weight!P19/1000)*0.1578</f>
        <v>5.0462544169611059</v>
      </c>
      <c r="Q19" s="37">
        <f>W_g!Q19/(rat_weight!Q19/1000)*0.1578</f>
        <v>7.308631578947363</v>
      </c>
      <c r="R19" s="37">
        <f>W_g!R19/(rat_weight!R19/1000)*0.1578</f>
        <v>6.8379999999999814</v>
      </c>
      <c r="S19" s="37">
        <f>W_g!S19/(rat_weight!S19/1000)*0.1578</f>
        <v>7.4747368421053109</v>
      </c>
      <c r="T19" s="37">
        <f>W_g!T19/(rat_weight!T19/1000)*0.1578</f>
        <v>7.5064583333333115</v>
      </c>
      <c r="U19" s="37">
        <f>W_g!U19/(rat_weight!U19/1000)*0.1578</f>
        <v>6.794166666666686</v>
      </c>
      <c r="V19" s="37">
        <f>W_g!V19/(rat_weight!V19/1000)*0.1578</f>
        <v>6.8763541666666885</v>
      </c>
      <c r="W19" s="37">
        <f>W_g!W19/(rat_weight!W19/1000)*0.1578</f>
        <v>8.1872260273972781</v>
      </c>
      <c r="X19" s="37">
        <f>W_g!X19/(rat_weight!X19/1000)*0.1578</f>
        <v>6.3498287671233031</v>
      </c>
      <c r="Y19" s="37">
        <f>W_g!Y19/(rat_weight!Y19/1000)*0.1578</f>
        <v>5.2149657534246607</v>
      </c>
      <c r="Z19" s="37">
        <f>W_g!Z19/(rat_weight!Z19/1000)*0.1578</f>
        <v>5.0282033898304963</v>
      </c>
      <c r="AA19" s="37">
        <f>W_g!AA19/(rat_weight!AA19/1000)*0.1578</f>
        <v>5.8305762711864739</v>
      </c>
      <c r="AB19" s="37">
        <f>W_g!AB19/(rat_weight!AB19/1000)*0.1578</f>
        <v>7.7295254237288074</v>
      </c>
      <c r="AC19" s="37">
        <f>W_g!AC19/(rat_weight!AC19/1000)*0.1578</f>
        <v>5.9372909698996361</v>
      </c>
      <c r="AD19" s="37">
        <f>W_g!AD19/(rat_weight!AD19/1000)*0.1578</f>
        <v>10.449632107023419</v>
      </c>
      <c r="AE19" s="37">
        <f>W_g!AE19/(rat_weight!AE19/1000)*0.1578</f>
        <v>6.4914381270903068</v>
      </c>
      <c r="AF19" s="37">
        <f>W_g!AF19/(rat_weight!AF19/1000)*0.1578</f>
        <v>4.4098989898989966</v>
      </c>
      <c r="AG19" s="37">
        <f>W_g!AG19/(rat_weight!AG19/1000)*0.1578</f>
        <v>7.8899999999999819</v>
      </c>
      <c r="AH19" s="37">
        <f>W_g!AH19/(rat_weight!AH19/1000)*0.1578</f>
        <v>6.2163636363636154</v>
      </c>
      <c r="AI19" s="37">
        <f>W_g!AI19/(rat_weight!AI19/1000)*0.1578</f>
        <v>4.5609966777408575</v>
      </c>
      <c r="AJ19" s="37">
        <f>W_g!AJ19/(rat_weight!AJ19/1000)*0.1578</f>
        <v>5.1900996677740894</v>
      </c>
      <c r="AK19" s="37">
        <f>W_g!AK19/(rat_weight!AK19/1000)*0.1578</f>
        <v>6.9463455149501812</v>
      </c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</row>
    <row r="20" spans="1:85">
      <c r="A20" s="30">
        <v>19</v>
      </c>
      <c r="B20" s="37">
        <f>W_g!B20/(rat_weight!B20/1000)*0.1578</f>
        <v>14.291766467065854</v>
      </c>
      <c r="C20" s="37">
        <f>W_g!C20/(rat_weight!C20/1000)*0.1578</f>
        <v>-0.14302114803624563</v>
      </c>
      <c r="D20" s="37">
        <f>W_g!D20/(rat_weight!D20/1000)*0.1578</f>
        <v>15.295950920245422</v>
      </c>
      <c r="E20" s="37">
        <f>W_g!E20/(rat_weight!E20/1000)*0.1578</f>
        <v>11.155649546827798</v>
      </c>
      <c r="F20" s="37">
        <f>W_g!F20/(rat_weight!F20/1000)*0.1578</f>
        <v>13.119149560117298</v>
      </c>
      <c r="G20" s="37">
        <f>W_g!G20/(rat_weight!G20/1000)*0.1578</f>
        <v>10.804324324324316</v>
      </c>
      <c r="H20" s="37">
        <f>W_g!H20/(rat_weight!H20/1000)*0.1578</f>
        <v>4.8026086956521876</v>
      </c>
      <c r="I20" s="37">
        <f>W_g!I20/(rat_weight!I20/1000)*0.1578</f>
        <v>11.383812316715526</v>
      </c>
      <c r="J20" s="37">
        <f>W_g!J20/(rat_weight!J20/1000)*0.1578</f>
        <v>9.3820916905444136</v>
      </c>
      <c r="K20" s="37">
        <f>W_g!K20/(rat_weight!K20/1000)*0.1578</f>
        <v>10.960823863636358</v>
      </c>
      <c r="L20" s="37">
        <f>W_g!L20/(rat_weight!L20/1000)*0.1578</f>
        <v>10.231988472622479</v>
      </c>
      <c r="M20" s="37">
        <f>W_g!M20/(rat_weight!M20/1000)*0.1578</f>
        <v>12.860254237288146</v>
      </c>
      <c r="N20" s="37">
        <f>W_g!N20/(rat_weight!N20/1000)*0.1578</f>
        <v>11.389237288135586</v>
      </c>
      <c r="O20" s="37">
        <f>W_g!O20/(rat_weight!O20/1000)*0.1578</f>
        <v>10.185677966101705</v>
      </c>
      <c r="P20" s="37">
        <f>W_g!P20/(rat_weight!P20/1000)*0.1578</f>
        <v>12.548220338983066</v>
      </c>
      <c r="Q20" s="37">
        <f>W_g!Q20/(rat_weight!Q20/1000)*0.1578</f>
        <v>10.749318801089919</v>
      </c>
      <c r="R20" s="37">
        <f>W_g!R20/(rat_weight!R20/1000)*0.1578</f>
        <v>9.6528882833787666</v>
      </c>
      <c r="S20" s="37">
        <f>W_g!S20/(rat_weight!S20/1000)*0.1578</f>
        <v>13.071171662125369</v>
      </c>
      <c r="T20" s="37">
        <f>W_g!T20/(rat_weight!T20/1000)*0.1578</f>
        <v>10.407184986595171</v>
      </c>
      <c r="U20" s="37">
        <f>W_g!U20/(rat_weight!U20/1000)*0.1578</f>
        <v>12.691689008042896</v>
      </c>
      <c r="V20" s="37">
        <f>W_g!V20/(rat_weight!V20/1000)*0.1578</f>
        <v>10.428337801608583</v>
      </c>
      <c r="W20" s="37">
        <f>W_g!W20/(rat_weight!W20/1000)*0.1578</f>
        <v>14.390162601626031</v>
      </c>
      <c r="X20" s="37">
        <f>W_g!X20/(rat_weight!X20/1000)*0.1578</f>
        <v>10.71243902439026</v>
      </c>
      <c r="Y20" s="37">
        <f>W_g!Y20/(rat_weight!Y20/1000)*0.1578</f>
        <v>12.850650406504057</v>
      </c>
      <c r="Z20" s="37">
        <f>W_g!Z20/(rat_weight!Z20/1000)*0.1578</f>
        <v>12.383779527559044</v>
      </c>
      <c r="AA20" s="37">
        <f>W_g!AA20/(rat_weight!AA20/1000)*0.1578</f>
        <v>10.685669291338598</v>
      </c>
      <c r="AB20" s="37">
        <f>W_g!AB20/(rat_weight!AB20/1000)*0.1578</f>
        <v>12.363070866141742</v>
      </c>
      <c r="AC20" s="37">
        <f>W_g!AC20/(rat_weight!AC20/1000)*0.1578</f>
        <v>13.30670984455959</v>
      </c>
      <c r="AD20" s="37">
        <f>W_g!AD20/(rat_weight!AD20/1000)*0.1578</f>
        <v>10.220207253886011</v>
      </c>
      <c r="AE20" s="37">
        <f>W_g!AE20/(rat_weight!AE20/1000)*0.1578</f>
        <v>11.528393782383416</v>
      </c>
      <c r="AF20" s="37">
        <f>W_g!AF20/(rat_weight!AF20/1000)*0.1578</f>
        <v>7.7654210526315737</v>
      </c>
      <c r="AG20" s="37">
        <f>W_g!AG20/(rat_weight!AG20/1000)*0.1578</f>
        <v>13.392236842105262</v>
      </c>
      <c r="AH20" s="37">
        <f>W_g!AH20/(rat_weight!AH20/1000)*0.1578</f>
        <v>11.336684210526307</v>
      </c>
      <c r="AI20" s="37">
        <f>W_g!AI20/(rat_weight!AI20/1000)*0.1578</f>
        <v>14.194264705882349</v>
      </c>
      <c r="AJ20" s="37">
        <f>W_g!AJ20/(rat_weight!AJ20/1000)*0.1578</f>
        <v>10.597352941176473</v>
      </c>
      <c r="AK20" s="37">
        <f>W_g!AK20/(rat_weight!AK20/1000)*0.1578</f>
        <v>12.898602941176469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</row>
    <row r="21" spans="1:85">
      <c r="A21" s="30">
        <v>20</v>
      </c>
      <c r="B21" s="37">
        <f>W_g!B21/(rat_weight!B21/1000)*0.1578</f>
        <v>8.9384459459459276</v>
      </c>
      <c r="C21" s="37">
        <f>W_g!C21/(rat_weight!C21/1000)*0.1578</f>
        <v>-0.10473451327433032</v>
      </c>
      <c r="D21" s="37">
        <f>W_g!D21/(rat_weight!D21/1000)*0.1578</f>
        <v>9.2720620842572163</v>
      </c>
      <c r="E21" s="37">
        <f>W_g!E21/(rat_weight!E21/1000)*0.1578</f>
        <v>8.8632158590308272</v>
      </c>
      <c r="F21" s="37">
        <f>W_g!F21/(rat_weight!F21/1000)*0.1578</f>
        <v>8.5994078947368404</v>
      </c>
      <c r="G21" s="37">
        <f>W_g!G21/(rat_weight!G21/1000)*0.1578</f>
        <v>9.3337021276595689</v>
      </c>
      <c r="H21" s="37">
        <f>W_g!H21/(rat_weight!H21/1000)*0.1578</f>
        <v>9.207780126849892</v>
      </c>
      <c r="I21" s="37">
        <f>W_g!I21/(rat_weight!I21/1000)*0.1578</f>
        <v>-9.9663157894740617E-2</v>
      </c>
      <c r="J21" s="37">
        <f>W_g!J21/(rat_weight!J21/1000)*0.1578</f>
        <v>10.569622641509412</v>
      </c>
      <c r="K21" s="37">
        <f>W_g!K21/(rat_weight!K21/1000)*0.1578</f>
        <v>9.9155900621117894</v>
      </c>
      <c r="L21" s="37">
        <f>W_g!L21/(rat_weight!L21/1000)*0.1578</f>
        <v>8.8316049382716013</v>
      </c>
      <c r="M21" s="37">
        <f>W_g!M21/(rat_weight!M21/1000)*0.1578</f>
        <v>10.891104294478529</v>
      </c>
      <c r="N21" s="37">
        <f>W_g!N21/(rat_weight!N21/1000)*0.1578</f>
        <v>10.29472111553784</v>
      </c>
      <c r="O21" s="37">
        <f>W_g!O21/(rat_weight!O21/1000)*0.1578</f>
        <v>8.5344023904382578</v>
      </c>
      <c r="P21" s="37">
        <f>W_g!P21/(rat_weight!P21/1000)*0.1578</f>
        <v>10.263286852589633</v>
      </c>
      <c r="Q21" s="37">
        <f>W_g!Q21/(rat_weight!Q21/1000)*0.1578</f>
        <v>9.8969708737864117</v>
      </c>
      <c r="R21" s="37">
        <f>W_g!R21/(rat_weight!R21/1000)*0.1578</f>
        <v>9.5446019417475654</v>
      </c>
      <c r="S21" s="37">
        <f>W_g!S21/(rat_weight!S21/1000)*0.1578</f>
        <v>9.253514563106819</v>
      </c>
      <c r="T21" s="37">
        <f>W_g!T21/(rat_weight!T21/1000)*0.1578</f>
        <v>9.7015559772296029</v>
      </c>
      <c r="U21" s="37">
        <f>W_g!U21/(rat_weight!U21/1000)*0.1578</f>
        <v>8.6834914611005676</v>
      </c>
      <c r="V21" s="37">
        <f>W_g!V21/(rat_weight!V21/1000)*0.1578</f>
        <v>12.171859582542695</v>
      </c>
      <c r="W21" s="37">
        <f>W_g!W21/(rat_weight!W21/1000)*0.1578</f>
        <v>9.4055932203389911</v>
      </c>
      <c r="X21" s="37">
        <f>W_g!X21/(rat_weight!X21/1000)*0.1578</f>
        <v>9.9107909604519744</v>
      </c>
      <c r="Y21" s="37">
        <f>W_g!Y21/(rat_weight!Y21/1000)*0.1578</f>
        <v>9.8810734463276901</v>
      </c>
      <c r="Z21" s="37">
        <f>W_g!Z21/(rat_weight!Z21/1000)*0.1578</f>
        <v>9.9602201834862463</v>
      </c>
      <c r="AA21" s="37">
        <f>W_g!AA21/(rat_weight!AA21/1000)*0.1578</f>
        <v>9.2074128440367087</v>
      </c>
      <c r="AB21" s="37">
        <f>W_g!AB21/(rat_weight!AB21/1000)*0.1578</f>
        <v>8.411174311926592</v>
      </c>
      <c r="AC21" s="37">
        <f>W_g!AC21/(rat_weight!AC21/1000)*0.1578</f>
        <v>7.6600546448087368</v>
      </c>
      <c r="AD21" s="37">
        <f>W_g!AD21/(rat_weight!AD21/1000)*0.1578</f>
        <v>5.4324590163934356</v>
      </c>
      <c r="AE21" s="37">
        <f>W_g!AE21/(rat_weight!AE21/1000)*0.1578</f>
        <v>7.0133333333333265</v>
      </c>
      <c r="AF21" s="37">
        <f>W_g!AF21/(rat_weight!AF21/1000)*0.1578</f>
        <v>9.6101621621621636</v>
      </c>
      <c r="AG21" s="37">
        <f>W_g!AG21/(rat_weight!AG21/1000)*0.1578</f>
        <v>6.9517297297297418</v>
      </c>
      <c r="AH21" s="37">
        <f>W_g!AH21/(rat_weight!AH21/1000)*0.1578</f>
        <v>7.0796756756756762</v>
      </c>
      <c r="AI21" s="37">
        <f>W_g!AI21/(rat_weight!AI21/1000)*0.1578</f>
        <v>7.5967433628318553</v>
      </c>
      <c r="AJ21" s="37">
        <f>W_g!AJ21/(rat_weight!AJ21/1000)*0.1578</f>
        <v>8.6021946902654829</v>
      </c>
      <c r="AK21" s="37">
        <f>W_g!AK21/(rat_weight!AK21/1000)*0.1578</f>
        <v>7.8620707964601797</v>
      </c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</row>
    <row r="22" spans="1:85">
      <c r="A22" s="30">
        <v>21</v>
      </c>
      <c r="B22" s="37">
        <f>W_g!B22/(rat_weight!B22/1000)*0.1578</f>
        <v>14.971987951807256</v>
      </c>
      <c r="C22" s="37">
        <f>W_g!C22/(rat_weight!C22/1000)*0.1578</f>
        <v>-0.28518072289155005</v>
      </c>
      <c r="D22" s="37">
        <f>W_g!D22/(rat_weight!D22/1000)*0.1578</f>
        <v>-0.1924390243902056</v>
      </c>
      <c r="E22" s="37">
        <f>W_g!E22/(rat_weight!E22/1000)*0.1578</f>
        <v>-0.28178571428569826</v>
      </c>
      <c r="F22" s="37">
        <f>W_g!F22/(rat_weight!F22/1000)*0.1578</f>
        <v>14.598862275449118</v>
      </c>
      <c r="G22" s="37">
        <f>W_g!G22/(rat_weight!G22/1000)*0.1578</f>
        <v>2.539310344827622</v>
      </c>
      <c r="H22" s="37">
        <f>W_g!H22/(rat_weight!H22/1000)*0.1578</f>
        <v>14.594219653179218</v>
      </c>
      <c r="I22" s="37">
        <f>W_g!I22/(rat_weight!I22/1000)*0.1578</f>
        <v>4.4829545454545459</v>
      </c>
      <c r="J22" s="37">
        <f>W_g!J22/(rat_weight!J22/1000)*0.1578</f>
        <v>6.8981142857142652</v>
      </c>
      <c r="K22" s="37">
        <f>W_g!K22/(rat_weight!K22/1000)*0.1578</f>
        <v>3.2357865168539122</v>
      </c>
      <c r="L22" s="37">
        <f>W_g!L22/(rat_weight!L22/1000)*0.1578</f>
        <v>4.8142372881355726</v>
      </c>
      <c r="M22" s="37">
        <f>W_g!M22/(rat_weight!M22/1000)*0.1578</f>
        <v>1.4793749999999797</v>
      </c>
      <c r="N22" s="37">
        <f>W_g!N22/(rat_weight!N22/1000)*0.1578</f>
        <v>2.3759659090909144</v>
      </c>
      <c r="O22" s="37">
        <f>W_g!O22/(rat_weight!O22/1000)*0.1578</f>
        <v>2.5552840909090602</v>
      </c>
      <c r="P22" s="37">
        <f>W_g!P22/(rat_weight!P22/1000)*0.1578</f>
        <v>2.1069886363636567</v>
      </c>
      <c r="Q22" s="37">
        <f>W_g!Q22/(rat_weight!Q22/1000)*0.1578</f>
        <v>8.7666666666636764E-2</v>
      </c>
      <c r="R22" s="37">
        <f>W_g!R22/(rat_weight!R22/1000)*0.1578</f>
        <v>1.0081666666666469</v>
      </c>
      <c r="S22" s="37">
        <f>W_g!S22/(rat_weight!S22/1000)*0.1578</f>
        <v>0.43833333333335828</v>
      </c>
      <c r="T22" s="37">
        <f>W_g!T22/(rat_weight!T22/1000)*0.1578</f>
        <v>1.6473626373626424</v>
      </c>
      <c r="U22" s="37">
        <f>W_g!U22/(rat_weight!U22/1000)*0.1578</f>
        <v>1.3005494505494506</v>
      </c>
      <c r="V22" s="37">
        <f>W_g!V22/(rat_weight!V22/1000)*0.1578</f>
        <v>3.1646703296703347</v>
      </c>
      <c r="W22" s="37">
        <f>W_g!W22/(rat_weight!W22/1000)*0.1578</f>
        <v>0.39893258426965283</v>
      </c>
      <c r="X22" s="37">
        <f>W_g!X22/(rat_weight!X22/1000)*0.1578</f>
        <v>2.6152247191011386</v>
      </c>
      <c r="Y22" s="37">
        <f>W_g!Y22/(rat_weight!Y22/1000)*0.1578</f>
        <v>4.4325842696664487E-2</v>
      </c>
      <c r="Z22" s="37">
        <f>W_g!Z22/(rat_weight!Z22/1000)*0.1578</f>
        <v>0.60360655737703939</v>
      </c>
      <c r="AA22" s="37">
        <f>W_g!AA22/(rat_weight!AA22/1000)*0.1578</f>
        <v>0.43114754098363106</v>
      </c>
      <c r="AB22" s="37">
        <f>W_g!AB22/(rat_weight!AB22/1000)*0.1578</f>
        <v>4.3114754098321439E-2</v>
      </c>
      <c r="AC22" s="37">
        <f>W_g!AC22/(rat_weight!AC22/1000)*0.1578</f>
        <v>1.0662162162161677</v>
      </c>
      <c r="AD22" s="37">
        <f>W_g!AD22/(rat_weight!AD22/1000)*0.1578</f>
        <v>0.93827027027028964</v>
      </c>
      <c r="AE22" s="37">
        <f>W_g!AE22/(rat_weight!AE22/1000)*0.1578</f>
        <v>2.558918918918919</v>
      </c>
      <c r="AF22" s="37">
        <f>W_g!AF22/(rat_weight!AF22/1000)*0.1578</f>
        <v>0.84838709677419344</v>
      </c>
      <c r="AG22" s="37">
        <f>W_g!AG22/(rat_weight!AG22/1000)*0.1578</f>
        <v>1.0604838709677902</v>
      </c>
      <c r="AH22" s="37">
        <f>W_g!AH22/(rat_weight!AH22/1000)*0.1578</f>
        <v>0.6787096774193403</v>
      </c>
      <c r="AI22" s="37">
        <f>W_g!AI22/(rat_weight!AI22/1000)*0.1578</f>
        <v>0.948524590163905</v>
      </c>
      <c r="AJ22" s="37">
        <f>W_g!AJ22/(rat_weight!AJ22/1000)*0.1578</f>
        <v>0.17245901639345732</v>
      </c>
      <c r="AK22" s="37">
        <f>W_g!AK22/(rat_weight!AK22/1000)*0.1578</f>
        <v>1.767704918032772</v>
      </c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</row>
    <row r="23" spans="1:85">
      <c r="A23" s="30">
        <v>22</v>
      </c>
      <c r="B23" s="37">
        <f>W_g!B23/(rat_weight!B23/1000)*0.1578</f>
        <v>7.8036131386861207</v>
      </c>
      <c r="C23" s="37">
        <f>W_g!C23/(rat_weight!C23/1000)*0.1578</f>
        <v>-0.17404411764704891</v>
      </c>
      <c r="D23" s="37">
        <f>W_g!D23/(rat_weight!D23/1000)*0.1578</f>
        <v>-5.7173913043475001E-2</v>
      </c>
      <c r="E23" s="37">
        <f>W_g!E23/(rat_weight!E23/1000)*0.1578</f>
        <v>-0.1131182795699021</v>
      </c>
      <c r="F23" s="37">
        <f>W_g!F23/(rat_weight!F23/1000)*0.1578</f>
        <v>0.42571942446044769</v>
      </c>
      <c r="G23" s="37">
        <f>W_g!G23/(rat_weight!G23/1000)*0.1578</f>
        <v>0.11231316725979605</v>
      </c>
      <c r="H23" s="37">
        <f>W_g!H23/(rat_weight!H23/1000)*0.1578</f>
        <v>5.222957746478877</v>
      </c>
      <c r="I23" s="37">
        <f>W_g!I23/(rat_weight!I23/1000)*0.1578</f>
        <v>3.1225441696113205</v>
      </c>
      <c r="J23" s="37">
        <f>W_g!J23/(rat_weight!J23/1000)*0.1578</f>
        <v>5.7407526881720292</v>
      </c>
      <c r="K23" s="37">
        <f>W_g!K23/(rat_weight!K23/1000)*0.1578</f>
        <v>7.4996819787985807</v>
      </c>
      <c r="L23" s="37">
        <f>W_g!L23/(rat_weight!L23/1000)*0.1578</f>
        <v>2.6114788732394305</v>
      </c>
      <c r="M23" s="37">
        <f>W_g!M23/(rat_weight!M23/1000)*0.1578</f>
        <v>2.861514084507061</v>
      </c>
      <c r="N23" s="37">
        <f>W_g!N23/(rat_weight!N23/1000)*0.1578</f>
        <v>1.793181818181834</v>
      </c>
      <c r="O23" s="37">
        <f>W_g!O23/(rat_weight!O23/1000)*0.1578</f>
        <v>2.841503496503484</v>
      </c>
      <c r="P23" s="37">
        <f>W_g!P23/(rat_weight!P23/1000)*0.1578</f>
        <v>3.3380769230769296</v>
      </c>
      <c r="Q23" s="37">
        <f>W_g!Q23/(rat_weight!Q23/1000)*0.1578</f>
        <v>4.7503806228373637</v>
      </c>
      <c r="R23" s="37">
        <f>W_g!R23/(rat_weight!R23/1000)*0.1578</f>
        <v>4.4500692041522374</v>
      </c>
      <c r="S23" s="37">
        <f>W_g!S23/(rat_weight!S23/1000)*0.1578</f>
        <v>1.6926643598616198</v>
      </c>
      <c r="T23" s="37">
        <f>W_g!T23/(rat_weight!T23/1000)*0.1578</f>
        <v>3.6622525597269839</v>
      </c>
      <c r="U23" s="37">
        <f>W_g!U23/(rat_weight!U23/1000)*0.1578</f>
        <v>0.75399317406142119</v>
      </c>
      <c r="V23" s="37">
        <f>W_g!V23/(rat_weight!V23/1000)*0.1578</f>
        <v>3.1506143344709869</v>
      </c>
      <c r="W23" s="37">
        <f>W_g!W23/(rat_weight!W23/1000)*0.1578</f>
        <v>1.0360606060606303</v>
      </c>
      <c r="X23" s="37">
        <f>W_g!X23/(rat_weight!X23/1000)*0.1578</f>
        <v>1.1423232323232353</v>
      </c>
      <c r="Y23" s="37">
        <f>W_g!Y23/(rat_weight!Y23/1000)*0.1578</f>
        <v>2.151818181818173</v>
      </c>
      <c r="Z23" s="37">
        <f>W_g!Z23/(rat_weight!Z23/1000)*0.1578</f>
        <v>3.576799999999976</v>
      </c>
      <c r="AA23" s="37">
        <f>W_g!AA23/(rat_weight!AA23/1000)*0.1578</f>
        <v>1.4949819160392509E-14</v>
      </c>
      <c r="AB23" s="37">
        <f>W_g!AB23/(rat_weight!AB23/1000)*0.1578</f>
        <v>3.4978999999999885</v>
      </c>
      <c r="AC23" s="37">
        <f>W_g!AC23/(rat_weight!AC23/1000)*0.1578</f>
        <v>3.5504999999999702</v>
      </c>
      <c r="AD23" s="37">
        <f>W_g!AD23/(rat_weight!AD23/1000)*0.1578</f>
        <v>1.3676000000000119</v>
      </c>
      <c r="AE23" s="37">
        <f>W_g!AE23/(rat_weight!AE23/1000)*0.1578</f>
        <v>2.1566000000000121</v>
      </c>
      <c r="AF23" s="37">
        <f>W_g!AF23/(rat_weight!AF23/1000)*0.1578</f>
        <v>2.612582781456954</v>
      </c>
      <c r="AG23" s="37">
        <f>W_g!AG23/(rat_weight!AG23/1000)*0.1578</f>
        <v>1.7504304635761412</v>
      </c>
      <c r="AH23" s="37">
        <f>W_g!AH23/(rat_weight!AH23/1000)*0.1578</f>
        <v>2.9783443708609063</v>
      </c>
      <c r="AI23" s="37">
        <f>W_g!AI23/(rat_weight!AI23/1000)*0.1578</f>
        <v>3.8036482084690437</v>
      </c>
      <c r="AJ23" s="37">
        <f>W_g!AJ23/(rat_weight!AJ23/1000)*0.1578</f>
        <v>4.1634527687296385</v>
      </c>
      <c r="AK23" s="37">
        <f>W_g!AK23/(rat_weight!AK23/1000)*0.1578</f>
        <v>1.1051140065146607</v>
      </c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</row>
    <row r="24" spans="1:85">
      <c r="A24" s="30">
        <v>23</v>
      </c>
      <c r="B24" s="37">
        <f>W_g!B24/(rat_weight!B24/1000)*0.1578</f>
        <v>9.1998023715414838</v>
      </c>
      <c r="C24" s="37">
        <f>W_g!C24/(rat_weight!C24/1000)*0.1578</f>
        <v>11.973151750972781</v>
      </c>
      <c r="D24" s="37">
        <f>W_g!D24/(rat_weight!D24/1000)*0.1578</f>
        <v>9.1038461538461366</v>
      </c>
      <c r="E24" s="37">
        <f>W_g!E24/(rat_weight!E24/1000)*0.1578</f>
        <v>9.9154022988505766</v>
      </c>
      <c r="F24" s="37">
        <f>W_g!F24/(rat_weight!F24/1000)*0.1578</f>
        <v>15.506884615384605</v>
      </c>
      <c r="G24" s="37">
        <f>W_g!G24/(rat_weight!G24/1000)*0.1578</f>
        <v>11.131627906976753</v>
      </c>
      <c r="H24" s="37">
        <f>W_g!H24/(rat_weight!H24/1000)*0.1578</f>
        <v>5.5170676691729224</v>
      </c>
      <c r="I24" s="37">
        <f>W_g!I24/(rat_weight!I24/1000)*0.1578</f>
        <v>12.494944237918189</v>
      </c>
      <c r="J24" s="37">
        <f>W_g!J24/(rat_weight!J24/1000)*0.1578</f>
        <v>7.4793680297397769</v>
      </c>
      <c r="K24" s="37">
        <f>W_g!K24/(rat_weight!K24/1000)*0.1578</f>
        <v>6.6334444444444243</v>
      </c>
      <c r="L24" s="37">
        <f>W_g!L24/(rat_weight!L24/1000)*0.1578</f>
        <v>11.481716417910446</v>
      </c>
      <c r="M24" s="37">
        <f>W_g!M24/(rat_weight!M24/1000)*0.1578</f>
        <v>9.3457195571955776</v>
      </c>
      <c r="N24" s="37">
        <f>W_g!N24/(rat_weight!N24/1000)*0.1578</f>
        <v>6.9215523465704001</v>
      </c>
      <c r="O24" s="37">
        <f>W_g!O24/(rat_weight!O24/1000)*0.1578</f>
        <v>5.8961371841155357</v>
      </c>
      <c r="P24" s="37">
        <f>W_g!P24/(rat_weight!P24/1000)*0.1578</f>
        <v>8.3457400722021848</v>
      </c>
      <c r="Q24" s="37">
        <f>W_g!Q24/(rat_weight!Q24/1000)*0.1578</f>
        <v>6.2198540145985133</v>
      </c>
      <c r="R24" s="37">
        <f>W_g!R24/(rat_weight!R24/1000)*0.1578</f>
        <v>9.3009854014598403</v>
      </c>
      <c r="S24" s="37">
        <f>W_g!S24/(rat_weight!S24/1000)*0.1578</f>
        <v>6.7957664233576871</v>
      </c>
      <c r="T24" s="37">
        <f>W_g!T24/(rat_weight!T24/1000)*0.1578</f>
        <v>5.5694117647058778</v>
      </c>
      <c r="U24" s="37">
        <f>W_g!U24/(rat_weight!U24/1000)*0.1578</f>
        <v>8.1800735294117448</v>
      </c>
      <c r="V24" s="37">
        <f>W_g!V24/(rat_weight!V24/1000)*0.1578</f>
        <v>7.106801470588251</v>
      </c>
      <c r="W24" s="37">
        <f>W_g!W24/(rat_weight!W24/1000)*0.1578</f>
        <v>4.9455434782608885</v>
      </c>
      <c r="X24" s="37">
        <f>W_g!X24/(rat_weight!X24/1000)*0.1578</f>
        <v>10.205543478260896</v>
      </c>
      <c r="Y24" s="37">
        <f>W_g!Y24/(rat_weight!Y24/1000)*0.1578</f>
        <v>7.4611956521739025</v>
      </c>
      <c r="Z24" s="37">
        <f>W_g!Z24/(rat_weight!Z24/1000)*0.1578</f>
        <v>3.706334519572966</v>
      </c>
      <c r="AA24" s="37">
        <f>W_g!AA24/(rat_weight!AA24/1000)*0.1578</f>
        <v>8.9850533807829329</v>
      </c>
      <c r="AB24" s="37">
        <f>W_g!AB24/(rat_weight!AB24/1000)*0.1578</f>
        <v>5.419110320284684</v>
      </c>
      <c r="AC24" s="37">
        <f>W_g!AC24/(rat_weight!AC24/1000)*0.1578</f>
        <v>6.6869148936170157</v>
      </c>
      <c r="AD24" s="37">
        <f>W_g!AD24/(rat_weight!AD24/1000)*0.1578</f>
        <v>8.7293617021276724</v>
      </c>
      <c r="AE24" s="37">
        <f>W_g!AE24/(rat_weight!AE24/1000)*0.1578</f>
        <v>6.7148936170212776</v>
      </c>
      <c r="AF24" s="37">
        <f>W_g!AF24/(rat_weight!AF24/1000)*0.1578</f>
        <v>7.8625087108014</v>
      </c>
      <c r="AG24" s="37">
        <f>W_g!AG24/(rat_weight!AG24/1000)*0.1578</f>
        <v>9.7594076655052273</v>
      </c>
      <c r="AH24" s="37">
        <f>W_g!AH24/(rat_weight!AH24/1000)*0.1578</f>
        <v>5.1683623693379515</v>
      </c>
      <c r="AI24" s="37">
        <f>W_g!AI24/(rat_weight!AI24/1000)*0.1578</f>
        <v>4.9177397260273787</v>
      </c>
      <c r="AJ24" s="37">
        <f>W_g!AJ24/(rat_weight!AJ24/1000)*0.1578</f>
        <v>0</v>
      </c>
      <c r="AK24" s="37">
        <f>W_g!AK24/(rat_weight!AK24/1000)*0.1578</f>
        <v>6.8361986301369591</v>
      </c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</row>
    <row r="25" spans="1:85">
      <c r="A25" s="30">
        <v>24</v>
      </c>
      <c r="B25" s="37">
        <f>W_g!B25/(rat_weight!B25/1000)*0.1578</f>
        <v>1.8497302904564332</v>
      </c>
      <c r="C25" s="37">
        <f>W_g!C25/(rat_weight!C25/1000)*0.1578</f>
        <v>-9.6415478615065803E-2</v>
      </c>
      <c r="D25" s="37">
        <f>W_g!D25/(rat_weight!D25/1000)*0.1578</f>
        <v>0.7143209876543265</v>
      </c>
      <c r="E25" s="37">
        <f>W_g!E25/(rat_weight!E25/1000)*0.1578</f>
        <v>1.944147843942496</v>
      </c>
      <c r="F25" s="37">
        <f>W_g!F25/(rat_weight!F25/1000)*0.1578</f>
        <v>3.8061490683229833</v>
      </c>
      <c r="G25" s="37">
        <f>W_g!G25/(rat_weight!G25/1000)*0.1578</f>
        <v>2.5068024439918477</v>
      </c>
      <c r="H25" s="37">
        <f>W_g!H25/(rat_weight!H25/1000)*0.1578</f>
        <v>-9.0604964608439442E-15</v>
      </c>
      <c r="I25" s="37">
        <f>W_g!I25/(rat_weight!I25/1000)*0.1578</f>
        <v>0.31750503018106846</v>
      </c>
      <c r="J25" s="37">
        <f>W_g!J25/(rat_weight!J25/1000)*0.1578</f>
        <v>0.8015737051792865</v>
      </c>
      <c r="K25" s="37">
        <f>W_g!K25/(rat_weight!K25/1000)*0.1578</f>
        <v>1.5623762376241176E-2</v>
      </c>
      <c r="L25" s="37">
        <f>W_g!L25/(rat_weight!L25/1000)*0.1578</f>
        <v>0.59019685039371139</v>
      </c>
      <c r="M25" s="37">
        <f>W_g!M25/(rat_weight!M25/1000)*0.1578</f>
        <v>-1.5440313111549498E-2</v>
      </c>
      <c r="N25" s="37">
        <f>W_g!N25/(rat_weight!N25/1000)*0.1578</f>
        <v>1.5143953934735716E-2</v>
      </c>
      <c r="O25" s="37">
        <f>W_g!O25/(rat_weight!O25/1000)*0.1578</f>
        <v>0.22715930902109599</v>
      </c>
      <c r="P25" s="37">
        <f>W_g!P25/(rat_weight!P25/1000)*0.1578</f>
        <v>4.5431861804232976E-2</v>
      </c>
      <c r="Q25" s="37">
        <f>W_g!Q25/(rat_weight!Q25/1000)*0.1578</f>
        <v>0.76831460674156282</v>
      </c>
      <c r="R25" s="37">
        <f>W_g!R25/(rat_weight!R25/1000)*0.1578</f>
        <v>4.4325842696622486E-2</v>
      </c>
      <c r="S25" s="37">
        <f>W_g!S25/(rat_weight!S25/1000)*0.1578</f>
        <v>8.3987748092092732E-15</v>
      </c>
      <c r="T25" s="37">
        <f>W_g!T25/(rat_weight!T25/1000)*0.1578</f>
        <v>-8.3054550891069471E-15</v>
      </c>
      <c r="U25" s="37">
        <f>W_g!U25/(rat_weight!U25/1000)*0.1578</f>
        <v>2.9222222222228863E-2</v>
      </c>
      <c r="V25" s="37">
        <f>W_g!V25/(rat_weight!V25/1000)*0.1578</f>
        <v>4.3833333333334987E-2</v>
      </c>
      <c r="W25" s="37">
        <f>W_g!W25/(rat_weight!W25/1000)*0.1578</f>
        <v>0.27506422018349935</v>
      </c>
      <c r="X25" s="37">
        <f>W_g!X25/(rat_weight!X25/1000)*0.1578</f>
        <v>0.2461100917431176</v>
      </c>
      <c r="Y25" s="37">
        <f>W_g!Y25/(rat_weight!Y25/1000)*0.1578</f>
        <v>-0.10133944954128274</v>
      </c>
      <c r="Z25" s="37">
        <f>W_g!Z25/(rat_weight!Z25/1000)*0.1578</f>
        <v>2.8848263254119901E-2</v>
      </c>
      <c r="AA25" s="37">
        <f>W_g!AA25/(rat_weight!AA25/1000)*0.1578</f>
        <v>0.25963436928703815</v>
      </c>
      <c r="AB25" s="37">
        <f>W_g!AB25/(rat_weight!AB25/1000)*0.1578</f>
        <v>0.27405850091407347</v>
      </c>
      <c r="AC25" s="37">
        <f>W_g!AC25/(rat_weight!AC25/1000)*0.1578</f>
        <v>0.81472826086957162</v>
      </c>
      <c r="AD25" s="37">
        <f>W_g!AD25/(rat_weight!AD25/1000)*0.1578</f>
        <v>8.5760869565204387E-2</v>
      </c>
      <c r="AE25" s="37">
        <f>W_g!AE25/(rat_weight!AE25/1000)*0.1578</f>
        <v>5.7173913043491259E-2</v>
      </c>
      <c r="AF25" s="37">
        <f>W_g!AF25/(rat_weight!AF25/1000)*0.1578</f>
        <v>-2.8586956521729375E-2</v>
      </c>
      <c r="AG25" s="37">
        <f>W_g!AG25/(rat_weight!AG25/1000)*0.1578</f>
        <v>1.4293478260872815E-2</v>
      </c>
      <c r="AH25" s="37">
        <f>W_g!AH25/(rat_weight!AH25/1000)*0.1578</f>
        <v>-0.22869565217390814</v>
      </c>
      <c r="AI25" s="37">
        <f>W_g!AI25/(rat_weight!AI25/1000)*0.1578</f>
        <v>0</v>
      </c>
      <c r="AJ25" s="37">
        <f>W_g!AJ25/(rat_weight!AJ25/1000)*0.1578</f>
        <v>0.64580071174378328</v>
      </c>
      <c r="AK25" s="37">
        <f>W_g!AK25/(rat_weight!AK25/1000)*0.1578</f>
        <v>4.2117437722421519E-2</v>
      </c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</row>
    <row r="26" spans="1:85">
      <c r="A26" s="30">
        <v>25</v>
      </c>
      <c r="B26" s="37">
        <f>W_g!B26/(rat_weight!B26/1000)*0.1578</f>
        <v>3.4619387755101951</v>
      </c>
      <c r="C26" s="37">
        <f>W_g!C26/(rat_weight!C26/1000)*0.1578</f>
        <v>-9.5443548387091348E-2</v>
      </c>
      <c r="D26" s="37">
        <f>W_g!D26/(rat_weight!D26/1000)*0.1578</f>
        <v>1.4546693386773528</v>
      </c>
      <c r="E26" s="37">
        <f>W_g!E26/(rat_weight!E26/1000)*0.1578</f>
        <v>1.7816129032258046</v>
      </c>
      <c r="F26" s="37">
        <f>W_g!F26/(rat_weight!F26/1000)*0.1578</f>
        <v>0.11023952095808205</v>
      </c>
      <c r="G26" s="37">
        <f>W_g!G26/(rat_weight!G26/1000)*0.1578</f>
        <v>0.2494861660078998</v>
      </c>
      <c r="H26" s="37">
        <f>W_g!H26/(rat_weight!H26/1000)*0.1578</f>
        <v>3.0760233918126906E-2</v>
      </c>
      <c r="I26" s="37">
        <f>W_g!I26/(rat_weight!I26/1000)*0.1578</f>
        <v>1.1620930232558173</v>
      </c>
      <c r="J26" s="37">
        <f>W_g!J26/(rat_weight!J26/1000)*0.1578</f>
        <v>0.37643129770992362</v>
      </c>
      <c r="K26" s="37">
        <f>W_g!K26/(rat_weight!K26/1000)*0.1578</f>
        <v>0.62209615384614003</v>
      </c>
      <c r="L26" s="37">
        <f>W_g!L26/(rat_weight!L26/1000)*0.1578</f>
        <v>3.000000000000682E-2</v>
      </c>
      <c r="M26" s="37">
        <f>W_g!M26/(rat_weight!M26/1000)*0.1578</f>
        <v>0.82343453510436426</v>
      </c>
      <c r="N26" s="37">
        <f>W_g!N26/(rat_weight!N26/1000)*0.1578</f>
        <v>1.4747663551396837E-2</v>
      </c>
      <c r="O26" s="37">
        <f>W_g!O26/(rat_weight!O26/1000)*0.1578</f>
        <v>0.22121495327101123</v>
      </c>
      <c r="P26" s="37">
        <f>W_g!P26/(rat_weight!P26/1000)*0.1578</f>
        <v>1.4747663551405221E-2</v>
      </c>
      <c r="Q26" s="37">
        <f>W_g!Q26/(rat_weight!Q26/1000)*0.1578</f>
        <v>5.8014705882349644E-2</v>
      </c>
      <c r="R26" s="37">
        <f>W_g!R26/(rat_weight!R26/1000)*0.1578</f>
        <v>0.24656250000000657</v>
      </c>
      <c r="S26" s="37">
        <f>W_g!S26/(rat_weight!S26/1000)*0.1578</f>
        <v>2.4733156699178782E-14</v>
      </c>
      <c r="T26" s="37">
        <f>W_g!T26/(rat_weight!T26/1000)*0.1578</f>
        <v>8.6386861313863694E-2</v>
      </c>
      <c r="U26" s="37">
        <f>W_g!U26/(rat_weight!U26/1000)*0.1578</f>
        <v>2.8795620437962747E-2</v>
      </c>
      <c r="V26" s="37">
        <f>W_g!V26/(rat_weight!V26/1000)*0.1578</f>
        <v>0.18717153284671695</v>
      </c>
      <c r="W26" s="37">
        <f>W_g!W26/(rat_weight!W26/1000)*0.1578</f>
        <v>1.4216216216219447E-2</v>
      </c>
      <c r="X26" s="37">
        <f>W_g!X26/(rat_weight!X26/1000)*0.1578</f>
        <v>7.1081081081089154E-2</v>
      </c>
      <c r="Y26" s="37">
        <f>W_g!Y26/(rat_weight!Y26/1000)*0.1578</f>
        <v>0.1279459459459508</v>
      </c>
      <c r="Z26" s="37">
        <f>W_g!Z26/(rat_weight!Z26/1000)*0.1578</f>
        <v>8.408525754883274E-2</v>
      </c>
      <c r="AA26" s="37">
        <f>W_g!AA26/(rat_weight!AA26/1000)*0.1578</f>
        <v>8.4085257548856623E-2</v>
      </c>
      <c r="AB26" s="37">
        <f>W_g!AB26/(rat_weight!AB26/1000)*0.1578</f>
        <v>7.0071047957355304E-2</v>
      </c>
      <c r="AC26" s="37">
        <f>W_g!AC26/(rat_weight!AC26/1000)*0.1578</f>
        <v>9.8099467140310162E-2</v>
      </c>
      <c r="AD26" s="37">
        <f>W_g!AD26/(rat_weight!AD26/1000)*0.1578</f>
        <v>0.16817051509768141</v>
      </c>
      <c r="AE26" s="37">
        <f>W_g!AE26/(rat_weight!AE26/1000)*0.1578</f>
        <v>0.1121136767317876</v>
      </c>
      <c r="AF26" s="37">
        <f>W_g!AF26/(rat_weight!AF26/1000)*0.1578</f>
        <v>0</v>
      </c>
      <c r="AG26" s="37">
        <f>W_g!AG26/(rat_weight!AG26/1000)*0.1578</f>
        <v>1.3915343915347081E-2</v>
      </c>
      <c r="AH26" s="37">
        <f>W_g!AH26/(rat_weight!AH26/1000)*0.1578</f>
        <v>1.4750264550264502</v>
      </c>
      <c r="AI26" s="37">
        <f>W_g!AI26/(rat_weight!AI26/1000)*0.1578</f>
        <v>-1.5764308429236388E-14</v>
      </c>
      <c r="AJ26" s="37">
        <f>W_g!AJ26/(rat_weight!AJ26/1000)*0.1578</f>
        <v>5.5465729349725344E-2</v>
      </c>
      <c r="AK26" s="37">
        <f>W_g!AK26/(rat_weight!AK26/1000)*0.1578</f>
        <v>-1.3866432337445131E-2</v>
      </c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</row>
    <row r="27" spans="1:85">
      <c r="A27" s="30">
        <v>26</v>
      </c>
      <c r="B27" s="37">
        <f>W_g!B27/(rat_weight!B27/1000)*0.1578</f>
        <v>8.3831249999999766</v>
      </c>
      <c r="C27" s="37">
        <f>W_g!C27/(rat_weight!C27/1000)*0.1578</f>
        <v>4.0177859778597815</v>
      </c>
      <c r="D27" s="37">
        <f>W_g!D27/(rat_weight!D27/1000)*0.1578</f>
        <v>7.5142857142856974</v>
      </c>
      <c r="E27" s="37">
        <f>W_g!E27/(rat_weight!E27/1000)*0.1578</f>
        <v>5.2408029197080257</v>
      </c>
      <c r="F27" s="37">
        <f>W_g!F27/(rat_weight!F27/1000)*0.1578</f>
        <v>14.278544776119384</v>
      </c>
      <c r="G27" s="37">
        <f>W_g!G27/(rat_weight!G27/1000)*0.1578</f>
        <v>9.0502941176470877</v>
      </c>
      <c r="H27" s="37">
        <f>W_g!H27/(rat_weight!H27/1000)*0.1578</f>
        <v>5.6068131868131958</v>
      </c>
      <c r="I27" s="37">
        <f>W_g!I27/(rat_weight!I27/1000)*0.1578</f>
        <v>5.924620938628145</v>
      </c>
      <c r="J27" s="37">
        <f>W_g!J27/(rat_weight!J27/1000)*0.1578</f>
        <v>7.2939928057554084</v>
      </c>
      <c r="K27" s="37">
        <f>W_g!K27/(rat_weight!K27/1000)*0.1578</f>
        <v>4.7452313167259721</v>
      </c>
      <c r="L27" s="37">
        <f>W_g!L27/(rat_weight!L27/1000)*0.1578</f>
        <v>4.9979359430604848</v>
      </c>
      <c r="M27" s="37">
        <f>W_g!M27/(rat_weight!M27/1000)*0.1578</f>
        <v>4.6559363957597304</v>
      </c>
      <c r="N27" s="37">
        <f>W_g!N27/(rat_weight!N27/1000)*0.1578</f>
        <v>3.7927368421052603</v>
      </c>
      <c r="O27" s="37">
        <f>W_g!O27/(rat_weight!O27/1000)*0.1578</f>
        <v>6.007473684210507</v>
      </c>
      <c r="P27" s="37">
        <f>W_g!P27/(rat_weight!P27/1000)*0.1578</f>
        <v>4.3464210526315608</v>
      </c>
      <c r="Q27" s="37">
        <f>W_g!Q27/(rat_weight!Q27/1000)*0.1578</f>
        <v>2.485890410958886</v>
      </c>
      <c r="R27" s="37">
        <f>W_g!R27/(rat_weight!R27/1000)*0.1578</f>
        <v>5.0528424657534368</v>
      </c>
      <c r="S27" s="37">
        <f>W_g!S27/(rat_weight!S27/1000)*0.1578</f>
        <v>3.7828767123288132</v>
      </c>
      <c r="T27" s="37">
        <f>W_g!T27/(rat_weight!T27/1000)*0.1578</f>
        <v>3.5247422680412215</v>
      </c>
      <c r="U27" s="37">
        <f>W_g!U27/(rat_weight!U27/1000)*0.1578</f>
        <v>4.1754639175257982</v>
      </c>
      <c r="V27" s="37">
        <f>W_g!V27/(rat_weight!V27/1000)*0.1578</f>
        <v>2.5757731958763039</v>
      </c>
      <c r="W27" s="37">
        <f>W_g!W27/(rat_weight!W27/1000)*0.1578</f>
        <v>3.1827457627118885</v>
      </c>
      <c r="X27" s="37">
        <f>W_g!X27/(rat_weight!X27/1000)*0.1578</f>
        <v>4.8409830508474485</v>
      </c>
      <c r="Y27" s="37">
        <f>W_g!Y27/(rat_weight!Y27/1000)*0.1578</f>
        <v>0.82911864406781788</v>
      </c>
      <c r="Z27" s="37">
        <f>W_g!Z27/(rat_weight!Z27/1000)*0.1578</f>
        <v>2.6476510067114094</v>
      </c>
      <c r="AA27" s="37">
        <f>W_g!AA27/(rat_weight!AA27/1000)*0.1578</f>
        <v>1.3767785234899601</v>
      </c>
      <c r="AB27" s="37">
        <f>W_g!AB27/(rat_weight!AB27/1000)*0.1578</f>
        <v>2.0386912751677673</v>
      </c>
      <c r="AC27" s="37">
        <f>W_g!AC27/(rat_weight!AC27/1000)*0.1578</f>
        <v>1.199493243243213</v>
      </c>
      <c r="AD27" s="37">
        <f>W_g!AD27/(rat_weight!AD27/1000)*0.1578</f>
        <v>3.7317567567567567</v>
      </c>
      <c r="AE27" s="37">
        <f>W_g!AE27/(rat_weight!AE27/1000)*0.1578</f>
        <v>3.4118918918919103</v>
      </c>
      <c r="AF27" s="37">
        <f>W_g!AF27/(rat_weight!AF27/1000)*0.1578</f>
        <v>2.5080794701986817</v>
      </c>
      <c r="AG27" s="37">
        <f>W_g!AG27/(rat_weight!AG27/1000)*0.1578</f>
        <v>1.3324172185430523</v>
      </c>
      <c r="AH27" s="37">
        <f>W_g!AH27/(rat_weight!AH27/1000)*0.1578</f>
        <v>3.5008609271522975</v>
      </c>
      <c r="AI27" s="37">
        <f>W_g!AI27/(rat_weight!AI27/1000)*0.1578</f>
        <v>2.8784364820846733</v>
      </c>
      <c r="AJ27" s="37">
        <f>W_g!AJ27/(rat_weight!AJ27/1000)*0.1578</f>
        <v>2.2102280130293073</v>
      </c>
      <c r="AK27" s="37">
        <f>W_g!AK27/(rat_weight!AK27/1000)*0.1578</f>
        <v>2.1331270358305923</v>
      </c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</row>
    <row r="28" spans="1:85">
      <c r="A28" s="30">
        <v>27</v>
      </c>
      <c r="B28" s="37">
        <f>W_g!B28/(rat_weight!B28/1000)*0.1578</f>
        <v>10.824526315789464</v>
      </c>
      <c r="C28" s="37">
        <f>W_g!C28/(rat_weight!C28/1000)*0.1578</f>
        <v>7.2074740484429167</v>
      </c>
      <c r="D28" s="37">
        <f>W_g!D28/(rat_weight!D28/1000)*0.1578</f>
        <v>5.5339583333333309</v>
      </c>
      <c r="E28" s="37">
        <f>W_g!E28/(rat_weight!E28/1000)*0.1578</f>
        <v>4.5467796610169344</v>
      </c>
      <c r="F28" s="37">
        <f>W_g!F28/(rat_weight!F28/1000)*0.1578</f>
        <v>11.97010273972603</v>
      </c>
      <c r="G28" s="37">
        <f>W_g!G28/(rat_weight!G28/1000)*0.1578</f>
        <v>3.1775426621160441</v>
      </c>
      <c r="H28" s="37">
        <f>W_g!H28/(rat_weight!H28/1000)*0.1578</f>
        <v>5.2599999999999794</v>
      </c>
      <c r="I28" s="37">
        <f>W_g!I28/(rat_weight!I28/1000)*0.1578</f>
        <v>3.6207534246575284</v>
      </c>
      <c r="J28" s="37">
        <f>W_g!J28/(rat_weight!J28/1000)*0.1578</f>
        <v>3.1719932432432376</v>
      </c>
      <c r="K28" s="37">
        <f>W_g!K28/(rat_weight!K28/1000)*0.1578</f>
        <v>5.1099664429530076</v>
      </c>
      <c r="L28" s="37">
        <f>W_g!L28/(rat_weight!L28/1000)*0.1578</f>
        <v>4.448053691275156</v>
      </c>
      <c r="M28" s="37">
        <f>W_g!M28/(rat_weight!M28/1000)*0.1578</f>
        <v>4.0901337792642138</v>
      </c>
      <c r="N28" s="37">
        <f>W_g!N28/(rat_weight!N28/1000)*0.1578</f>
        <v>5.2171661237785045</v>
      </c>
      <c r="O28" s="37">
        <f>W_g!O28/(rat_weight!O28/1000)*0.1578</f>
        <v>1.2593159609120461</v>
      </c>
      <c r="P28" s="37">
        <f>W_g!P28/(rat_weight!P28/1000)*0.1578</f>
        <v>3.7779478827361679</v>
      </c>
      <c r="Q28" s="37">
        <f>W_g!Q28/(rat_weight!Q28/1000)*0.1578</f>
        <v>3.9576848874597839</v>
      </c>
      <c r="R28" s="37">
        <f>W_g!R28/(rat_weight!R28/1000)*0.1578</f>
        <v>2.8160450160771471</v>
      </c>
      <c r="S28" s="37">
        <f>W_g!S28/(rat_weight!S28/1000)*0.1578</f>
        <v>2.7906752411575706</v>
      </c>
      <c r="T28" s="37">
        <f>W_g!T28/(rat_weight!T28/1000)*0.1578</f>
        <v>1.6091447368421021</v>
      </c>
      <c r="U28" s="37">
        <f>W_g!U28/(rat_weight!U28/1000)*0.1578</f>
        <v>2.699210526315813</v>
      </c>
      <c r="V28" s="37">
        <f>W_g!V28/(rat_weight!V28/1000)*0.1578</f>
        <v>3.6595065789473598</v>
      </c>
      <c r="W28" s="37">
        <f>W_g!W28/(rat_weight!W28/1000)*0.1578</f>
        <v>0.85088235294116477</v>
      </c>
      <c r="X28" s="37">
        <f>W_g!X28/(rat_weight!X28/1000)*0.1578</f>
        <v>1.3150000000000206</v>
      </c>
      <c r="Y28" s="37">
        <f>W_g!Y28/(rat_weight!Y28/1000)*0.1578</f>
        <v>-7.7352941176473511E-2</v>
      </c>
      <c r="Z28" s="37">
        <f>W_g!Z28/(rat_weight!Z28/1000)*0.1578</f>
        <v>1.0951419558359847</v>
      </c>
      <c r="AA28" s="37">
        <f>W_g!AA28/(rat_weight!AA28/1000)*0.1578</f>
        <v>1.2444794952681812</v>
      </c>
      <c r="AB28" s="37">
        <f>W_g!AB28/(rat_weight!AB28/1000)*0.1578</f>
        <v>2.9120820189274275</v>
      </c>
      <c r="AC28" s="37">
        <f>W_g!AC28/(rat_weight!AC28/1000)*0.1578</f>
        <v>1.2614106583072155</v>
      </c>
      <c r="AD28" s="37">
        <f>W_g!AD28/(rat_weight!AD28/1000)*0.1578</f>
        <v>1.6324137931034539</v>
      </c>
      <c r="AE28" s="37">
        <f>W_g!AE28/(rat_weight!AE28/1000)*0.1578</f>
        <v>0.89040752351097741</v>
      </c>
      <c r="AF28" s="37">
        <f>W_g!AF28/(rat_weight!AF28/1000)*0.1578</f>
        <v>1.2289719626168223</v>
      </c>
      <c r="AG28" s="37">
        <f>W_g!AG28/(rat_weight!AG28/1000)*0.1578</f>
        <v>0.22121495327105037</v>
      </c>
      <c r="AH28" s="37">
        <f>W_g!AH28/(rat_weight!AH28/1000)*0.1578</f>
        <v>1.0323364485981281</v>
      </c>
      <c r="AI28" s="37">
        <f>W_g!AI28/(rat_weight!AI28/1000)*0.1578</f>
        <v>1.0050955414012452</v>
      </c>
      <c r="AJ28" s="37">
        <f>W_g!AJ28/(rat_weight!AJ28/1000)*0.1578</f>
        <v>1.7086624203821399</v>
      </c>
      <c r="AK28" s="37">
        <f>W_g!AK28/(rat_weight!AK28/1000)*0.1578</f>
        <v>1.3820063694267659</v>
      </c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</row>
    <row r="29" spans="1:85">
      <c r="A29" s="30">
        <v>28</v>
      </c>
      <c r="B29" s="37">
        <f>W_g!B29/(rat_weight!B29/1000)*0.1578</f>
        <v>10.799437500000016</v>
      </c>
      <c r="C29" s="37">
        <f>W_g!C29/(rat_weight!C29/1000)*0.1578</f>
        <v>11.835000000000026</v>
      </c>
      <c r="D29" s="37">
        <f>W_g!D29/(rat_weight!D29/1000)*0.1578</f>
        <v>9.4873619631902208</v>
      </c>
      <c r="E29" s="37">
        <f>W_g!E29/(rat_weight!E29/1000)*0.1578</f>
        <v>5.5694117647058556</v>
      </c>
      <c r="F29" s="37">
        <f>W_g!F29/(rat_weight!F29/1000)*0.1578</f>
        <v>-0.14432926829268838</v>
      </c>
      <c r="G29" s="37">
        <f>W_g!G29/(rat_weight!G29/1000)*0.1578</f>
        <v>-0.3734911242603603</v>
      </c>
      <c r="H29" s="37">
        <f>W_g!H29/(rat_weight!H29/1000)*0.1578</f>
        <v>-0.3734911242603603</v>
      </c>
      <c r="I29" s="37">
        <f>W_g!I29/(rat_weight!I29/1000)*0.1578</f>
        <v>4.4294736842105369</v>
      </c>
      <c r="J29" s="37">
        <f>W_g!J29/(rat_weight!J29/1000)*0.1578</f>
        <v>18.96540372670804</v>
      </c>
      <c r="K29" s="37">
        <f>W_g!K29/(rat_weight!K29/1000)*0.1578</f>
        <v>7.1101744186046512</v>
      </c>
      <c r="L29" s="37">
        <f>W_g!L29/(rat_weight!L29/1000)*0.1578</f>
        <v>7.6998795180723105</v>
      </c>
      <c r="M29" s="37">
        <f>W_g!M29/(rat_weight!M29/1000)*0.1578</f>
        <v>12.104534161490704</v>
      </c>
      <c r="N29" s="37">
        <f>W_g!N29/(rat_weight!N29/1000)*0.1578</f>
        <v>7.100999999999952</v>
      </c>
      <c r="O29" s="37">
        <f>W_g!O29/(rat_weight!O29/1000)*0.1578</f>
        <v>5.8014705882352944</v>
      </c>
      <c r="P29" s="37">
        <f>W_g!P29/(rat_weight!P29/1000)*0.1578</f>
        <v>5.7086470588235603</v>
      </c>
      <c r="Q29" s="37">
        <f>W_g!Q29/(rat_weight!Q29/1000)*0.1578</f>
        <v>8.1180346820809053</v>
      </c>
      <c r="R29" s="37">
        <f>W_g!R29/(rat_weight!R29/1000)*0.1578</f>
        <v>6.6130057803468212</v>
      </c>
      <c r="S29" s="37">
        <f>W_g!S29/(rat_weight!S29/1000)*0.1578</f>
        <v>6.2025433526012446</v>
      </c>
      <c r="T29" s="37">
        <f>W_g!T29/(rat_weight!T29/1000)*0.1578</f>
        <v>6.4220930232558402</v>
      </c>
      <c r="U29" s="37">
        <f>W_g!U29/(rat_weight!U29/1000)*0.1578</f>
        <v>4.3119767441860368</v>
      </c>
      <c r="V29" s="37">
        <f>W_g!V29/(rat_weight!V29/1000)*0.1578</f>
        <v>2.981686046511602</v>
      </c>
      <c r="W29" s="37">
        <f>W_g!W29/(rat_weight!W29/1000)*0.1578</f>
        <v>2.8083050847457929</v>
      </c>
      <c r="X29" s="37">
        <f>W_g!X29/(rat_weight!X29/1000)*0.1578</f>
        <v>2.8083050847457676</v>
      </c>
      <c r="Y29" s="37">
        <f>W_g!Y29/(rat_weight!Y29/1000)*0.1578</f>
        <v>5.3045762711864555</v>
      </c>
      <c r="Z29" s="37">
        <f>W_g!Z29/(rat_weight!Z29/1000)*0.1578</f>
        <v>1.9266279069767651</v>
      </c>
      <c r="AA29" s="37">
        <f>W_g!AA29/(rat_weight!AA29/1000)*0.1578</f>
        <v>1.6513953488372459</v>
      </c>
      <c r="AB29" s="37">
        <f>W_g!AB29/(rat_weight!AB29/1000)*0.1578</f>
        <v>2.3394767441860052</v>
      </c>
      <c r="AC29" s="37">
        <f>W_g!AC29/(rat_weight!AC29/1000)*0.1578</f>
        <v>5.30457627118638</v>
      </c>
      <c r="AD29" s="37">
        <f>W_g!AD29/(rat_weight!AD29/1000)*0.1578</f>
        <v>3.3877966101695018</v>
      </c>
      <c r="AE29" s="37">
        <f>W_g!AE29/(rat_weight!AE29/1000)*0.1578</f>
        <v>4.1901694915254648</v>
      </c>
      <c r="AF29" s="37">
        <f>W_g!AF29/(rat_weight!AF29/1000)*0.1578</f>
        <v>6.0155801104972175</v>
      </c>
      <c r="AG29" s="37">
        <f>W_g!AG29/(rat_weight!AG29/1000)*0.1578</f>
        <v>1.7872375690607833</v>
      </c>
      <c r="AH29" s="37">
        <f>W_g!AH29/(rat_weight!AH29/1000)*0.1578</f>
        <v>1.3949171270718181</v>
      </c>
      <c r="AI29" s="37">
        <f>W_g!AI29/(rat_weight!AI29/1000)*0.1578</f>
        <v>2.1396610169491321</v>
      </c>
      <c r="AJ29" s="37">
        <f>W_g!AJ29/(rat_weight!AJ29/1000)*0.1578</f>
        <v>0</v>
      </c>
      <c r="AK29" s="37">
        <f>W_g!AK29/(rat_weight!AK29/1000)*0.1578</f>
        <v>-4.457627118642548E-2</v>
      </c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</row>
    <row r="30" spans="1:85">
      <c r="A30" s="30">
        <v>29</v>
      </c>
      <c r="B30" s="37">
        <f>W_g!B30/(rat_weight!B30/1000)*0.1578</f>
        <v>12.303872950819667</v>
      </c>
      <c r="C30" s="37">
        <f>W_g!C30/(rat_weight!C30/1000)*0.1578</f>
        <v>9.3835802469136009</v>
      </c>
      <c r="D30" s="37">
        <f>W_g!D30/(rat_weight!D30/1000)*0.1578</f>
        <v>10.455061728395068</v>
      </c>
      <c r="E30" s="37">
        <f>W_g!E30/(rat_weight!E30/1000)*0.1578</f>
        <v>11.05238866396761</v>
      </c>
      <c r="F30" s="37">
        <f>W_g!F30/(rat_weight!F30/1000)*0.1578</f>
        <v>11.835000000000008</v>
      </c>
      <c r="G30" s="37">
        <f>W_g!G30/(rat_weight!G30/1000)*0.1578</f>
        <v>10.373306772908375</v>
      </c>
      <c r="H30" s="37">
        <f>W_g!H30/(rat_weight!H30/1000)*0.1578</f>
        <v>10.396235294117647</v>
      </c>
      <c r="I30" s="37">
        <f>W_g!I30/(rat_weight!I30/1000)*0.1578</f>
        <v>10.203378640776704</v>
      </c>
      <c r="J30" s="37">
        <f>W_g!J30/(rat_weight!J30/1000)*0.1578</f>
        <v>9.8319186046511557</v>
      </c>
      <c r="K30" s="37">
        <f>W_g!K30/(rat_weight!K30/1000)*0.1578</f>
        <v>9.9383653846153841</v>
      </c>
      <c r="L30" s="37">
        <f>W_g!L30/(rat_weight!L30/1000)*0.1578</f>
        <v>9.1026944971536921</v>
      </c>
      <c r="M30" s="37">
        <f>W_g!M30/(rat_weight!M30/1000)*0.1578</f>
        <v>9.0446341463414655</v>
      </c>
      <c r="N30" s="37">
        <f>W_g!N30/(rat_weight!N30/1000)*0.1578</f>
        <v>7.8015140186915932</v>
      </c>
      <c r="O30" s="37">
        <f>W_g!O30/(rat_weight!O30/1000)*0.1578</f>
        <v>9.5122429906542045</v>
      </c>
      <c r="P30" s="37">
        <f>W_g!P30/(rat_weight!P30/1000)*0.1578</f>
        <v>9.1877943925233581</v>
      </c>
      <c r="Q30" s="37">
        <f>W_g!Q30/(rat_weight!Q30/1000)*0.1578</f>
        <v>8.0056043956043919</v>
      </c>
      <c r="R30" s="37">
        <f>W_g!R30/(rat_weight!R30/1000)*0.1578</f>
        <v>9.1471978021977947</v>
      </c>
      <c r="S30" s="37">
        <f>W_g!S30/(rat_weight!S30/1000)*0.1578</f>
        <v>9.0171428571428773</v>
      </c>
      <c r="T30" s="37">
        <f>W_g!T30/(rat_weight!T30/1000)*0.1578</f>
        <v>7.3809677419354811</v>
      </c>
      <c r="U30" s="37">
        <f>W_g!U30/(rat_weight!U30/1000)*0.1578</f>
        <v>8.172795698924725</v>
      </c>
      <c r="V30" s="37">
        <f>W_g!V30/(rat_weight!V30/1000)*0.1578</f>
        <v>6.8295161290322595</v>
      </c>
      <c r="W30" s="37">
        <f>W_g!W30/(rat_weight!W30/1000)*0.1578</f>
        <v>7.9868947368421122</v>
      </c>
      <c r="X30" s="37">
        <f>W_g!X30/(rat_weight!X30/1000)*0.1578</f>
        <v>7.6823684210526402</v>
      </c>
      <c r="Y30" s="37">
        <f>W_g!Y30/(rat_weight!Y30/1000)*0.1578</f>
        <v>7.7654210526315754</v>
      </c>
      <c r="Z30" s="37">
        <f>W_g!Z30/(rat_weight!Z30/1000)*0.1578</f>
        <v>7.1801730103806261</v>
      </c>
      <c r="AA30" s="37">
        <f>W_g!AA30/(rat_weight!AA30/1000)*0.1578</f>
        <v>6.9071626297577966</v>
      </c>
      <c r="AB30" s="37">
        <f>W_g!AB30/(rat_weight!AB30/1000)*0.1578</f>
        <v>6.8935121107266442</v>
      </c>
      <c r="AC30" s="37">
        <f>W_g!AC30/(rat_weight!AC30/1000)*0.1578</f>
        <v>7.5640791738382012</v>
      </c>
      <c r="AD30" s="37">
        <f>W_g!AD30/(rat_weight!AD30/1000)*0.1578</f>
        <v>6.7356970740103144</v>
      </c>
      <c r="AE30" s="37">
        <f>W_g!AE30/(rat_weight!AE30/1000)*0.1578</f>
        <v>7.1430981067125678</v>
      </c>
      <c r="AF30" s="37">
        <f>W_g!AF30/(rat_weight!AF30/1000)*0.1578</f>
        <v>6.4038698630136954</v>
      </c>
      <c r="AG30" s="37">
        <f>W_g!AG30/(rat_weight!AG30/1000)*0.1578</f>
        <v>6.1471746575342463</v>
      </c>
      <c r="AH30" s="37">
        <f>W_g!AH30/(rat_weight!AH30/1000)*0.1578</f>
        <v>6.1066438356164374</v>
      </c>
      <c r="AI30" s="37">
        <f>W_g!AI30/(rat_weight!AI30/1000)*0.1578</f>
        <v>7.6968881118881214</v>
      </c>
      <c r="AJ30" s="37">
        <f>W_g!AJ30/(rat_weight!AJ30/1000)*0.1578</f>
        <v>0</v>
      </c>
      <c r="AK30" s="37">
        <f>W_g!AK30/(rat_weight!AK30/1000)*0.1578</f>
        <v>7.9037937062936923</v>
      </c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</row>
    <row r="31" spans="1:85">
      <c r="A31" s="30">
        <v>30</v>
      </c>
      <c r="B31" s="37">
        <f>W_g!B31/(rat_weight!B31/1000)*0.1578</f>
        <v>16.67080645161289</v>
      </c>
      <c r="C31" s="37">
        <f>W_g!C31/(rat_weight!C31/1000)*0.1578</f>
        <v>-0.10450331125828705</v>
      </c>
      <c r="D31" s="37">
        <f>W_g!D31/(rat_weight!D31/1000)*0.1578</f>
        <v>12.278971061093255</v>
      </c>
      <c r="E31" s="37">
        <f>W_g!E31/(rat_weight!E31/1000)*0.1578</f>
        <v>14.828190476190473</v>
      </c>
      <c r="F31" s="37">
        <f>W_g!F31/(rat_weight!F31/1000)*0.1578</f>
        <v>12.012019230769216</v>
      </c>
      <c r="G31" s="37">
        <f>W_g!G31/(rat_weight!G31/1000)*0.1578</f>
        <v>14.728000000000003</v>
      </c>
      <c r="H31" s="37">
        <f>W_g!H31/(rat_weight!H31/1000)*0.1578</f>
        <v>14.906188925081446</v>
      </c>
      <c r="I31" s="37">
        <f>W_g!I31/(rat_weight!I31/1000)*0.1578</f>
        <v>13.223738317756997</v>
      </c>
      <c r="J31" s="37">
        <f>W_g!J31/(rat_weight!J31/1000)*0.1578</f>
        <v>15.299519230769201</v>
      </c>
      <c r="K31" s="37">
        <f>W_g!K31/(rat_weight!K31/1000)*0.1578</f>
        <v>10.997446153846143</v>
      </c>
      <c r="L31" s="37">
        <f>W_g!L31/(rat_weight!L31/1000)*0.1578</f>
        <v>12.604150943396242</v>
      </c>
      <c r="M31" s="37">
        <f>W_g!M31/(rat_weight!M31/1000)*0.1578</f>
        <v>11.703897280966773</v>
      </c>
      <c r="N31" s="37">
        <f>W_g!N31/(rat_weight!N31/1000)*0.1578</f>
        <v>10.127807017543841</v>
      </c>
      <c r="O31" s="37">
        <f>W_g!O31/(rat_weight!O31/1000)*0.1578</f>
        <v>10.635350877192959</v>
      </c>
      <c r="P31" s="37">
        <f>W_g!P31/(rat_weight!P31/1000)*0.1578</f>
        <v>9.8509649122806859</v>
      </c>
      <c r="Q31" s="37">
        <f>W_g!Q31/(rat_weight!Q31/1000)*0.1578</f>
        <v>8.9110588235294053</v>
      </c>
      <c r="R31" s="37">
        <f>W_g!R31/(rat_weight!R31/1000)*0.1578</f>
        <v>10.605088235294128</v>
      </c>
      <c r="S31" s="37">
        <f>W_g!S31/(rat_weight!S31/1000)*0.1578</f>
        <v>10.349823529411783</v>
      </c>
      <c r="T31" s="37">
        <f>W_g!T31/(rat_weight!T31/1000)*0.1578</f>
        <v>11.954545454545443</v>
      </c>
      <c r="U31" s="37">
        <f>W_g!U31/(rat_weight!U31/1000)*0.1578</f>
        <v>10.867768595041321</v>
      </c>
      <c r="V31" s="37">
        <f>W_g!V31/(rat_weight!V31/1000)*0.1578</f>
        <v>14.367190082644621</v>
      </c>
      <c r="W31" s="37">
        <f>W_g!W31/(rat_weight!W31/1000)*0.1578</f>
        <v>11.635119999999992</v>
      </c>
      <c r="X31" s="37">
        <f>W_g!X31/(rat_weight!X31/1000)*0.1578</f>
        <v>12.140080000000021</v>
      </c>
      <c r="Y31" s="37">
        <f>W_g!Y31/(rat_weight!Y31/1000)*0.1578</f>
        <v>16.305999999999987</v>
      </c>
      <c r="Z31" s="37">
        <f>W_g!Z31/(rat_weight!Z31/1000)*0.1578</f>
        <v>9.7870491803278643</v>
      </c>
      <c r="AA31" s="37">
        <f>W_g!AA31/(rat_weight!AA31/1000)*0.1578</f>
        <v>9.7870491803278998</v>
      </c>
      <c r="AB31" s="37">
        <f>W_g!AB31/(rat_weight!AB31/1000)*0.1578</f>
        <v>11.964344262295082</v>
      </c>
      <c r="AC31" s="37">
        <f>W_g!AC31/(rat_weight!AC31/1000)*0.1578</f>
        <v>6.8599166666666562</v>
      </c>
      <c r="AD31" s="37">
        <f>W_g!AD31/(rat_weight!AD31/1000)*0.1578</f>
        <v>11.615833333333333</v>
      </c>
      <c r="AE31" s="37">
        <f>W_g!AE31/(rat_weight!AE31/1000)*0.1578</f>
        <v>10.213166666666647</v>
      </c>
      <c r="AF31" s="37">
        <f>W_g!AF31/(rat_weight!AF31/1000)*0.1578</f>
        <v>10.370991501416425</v>
      </c>
      <c r="AG31" s="37">
        <f>W_g!AG31/(rat_weight!AG31/1000)*0.1578</f>
        <v>11.108583569405084</v>
      </c>
      <c r="AH31" s="37">
        <f>W_g!AH31/(rat_weight!AH31/1000)*0.1578</f>
        <v>10.236883852691196</v>
      </c>
      <c r="AI31" s="37">
        <f>W_g!AI31/(rat_weight!AI31/1000)*0.1578</f>
        <v>11.444835164835155</v>
      </c>
      <c r="AJ31" s="37">
        <f>W_g!AJ31/(rat_weight!AJ31/1000)*0.1578</f>
        <v>9.6674175824175759</v>
      </c>
      <c r="AK31" s="37">
        <f>W_g!AK31/(rat_weight!AK31/1000)*0.1578</f>
        <v>10.772884615384614</v>
      </c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</row>
    <row r="32" spans="1:85">
      <c r="A32" s="30">
        <v>31</v>
      </c>
      <c r="B32" s="37">
        <f>W_g!B32/(rat_weight!B32/1000)*0.1578</f>
        <v>9.8061428571428451</v>
      </c>
      <c r="C32" s="37">
        <f>W_g!C32/(rat_weight!C32/1000)*0.1578</f>
        <v>-0.13564469914039345</v>
      </c>
      <c r="D32" s="37">
        <f>W_g!D32/(rat_weight!D32/1000)*0.1578</f>
        <v>5.0167630057803603</v>
      </c>
      <c r="E32" s="37">
        <f>W_g!E32/(rat_weight!E32/1000)*0.1578</f>
        <v>6.1808902077151142</v>
      </c>
      <c r="F32" s="37">
        <f>W_g!F32/(rat_weight!F32/1000)*0.1578</f>
        <v>3.6956034482758651</v>
      </c>
      <c r="G32" s="37">
        <f>W_g!G32/(rat_weight!G32/1000)*0.1578</f>
        <v>9.1020869565217417</v>
      </c>
      <c r="H32" s="37">
        <f>W_g!H32/(rat_weight!H32/1000)*0.1578</f>
        <v>6.2932142857142876</v>
      </c>
      <c r="I32" s="37">
        <f>W_g!I32/(rat_weight!I32/1000)*0.1578</f>
        <v>6.062372881355917</v>
      </c>
      <c r="J32" s="37">
        <f>W_g!J32/(rat_weight!J32/1000)*0.1578</f>
        <v>7.1418103448275865</v>
      </c>
      <c r="K32" s="37">
        <f>W_g!K32/(rat_weight!K32/1000)*0.1578</f>
        <v>6.1048324022346216</v>
      </c>
      <c r="L32" s="37">
        <f>W_g!L32/(rat_weight!L32/1000)*0.1578</f>
        <v>6.4976470588235502</v>
      </c>
      <c r="M32" s="37">
        <f>W_g!M32/(rat_weight!M32/1000)*0.1578</f>
        <v>6.4119834710744046</v>
      </c>
      <c r="N32" s="37">
        <f>W_g!N32/(rat_weight!N32/1000)*0.1578</f>
        <v>8.194297520661129</v>
      </c>
      <c r="O32" s="37">
        <f>W_g!O32/(rat_weight!O32/1000)*0.1578</f>
        <v>5.3686776859503986</v>
      </c>
      <c r="P32" s="37">
        <f>W_g!P32/(rat_weight!P32/1000)*0.1578</f>
        <v>12.628347107438023</v>
      </c>
      <c r="Q32" s="37">
        <f>W_g!Q32/(rat_weight!Q32/1000)*0.1578</f>
        <v>7.4516666666666662</v>
      </c>
      <c r="R32" s="37">
        <f>W_g!R32/(rat_weight!R32/1000)*0.1578</f>
        <v>9.7967500000000101</v>
      </c>
      <c r="S32" s="37">
        <f>W_g!S32/(rat_weight!S32/1000)*0.1578</f>
        <v>7.1448333333333514</v>
      </c>
      <c r="T32" s="37">
        <f>W_g!T32/(rat_weight!T32/1000)*0.1578</f>
        <v>10.060257069408733</v>
      </c>
      <c r="U32" s="37">
        <f>W_g!U32/(rat_weight!U32/1000)*0.1578</f>
        <v>8.7215938303341893</v>
      </c>
      <c r="V32" s="37">
        <f>W_g!V32/(rat_weight!V32/1000)*0.1578</f>
        <v>13.041825192802058</v>
      </c>
      <c r="W32" s="37">
        <f>W_g!W32/(rat_weight!W32/1000)*0.1578</f>
        <v>6.6324678663239167</v>
      </c>
      <c r="X32" s="37">
        <f>W_g!X32/(rat_weight!X32/1000)*0.1578</f>
        <v>9.5531876606683959</v>
      </c>
      <c r="Y32" s="37">
        <f>W_g!Y32/(rat_weight!Y32/1000)*0.1578</f>
        <v>7.1598200514138837</v>
      </c>
      <c r="Z32" s="37">
        <f>W_g!Z32/(rat_weight!Z32/1000)*0.1578</f>
        <v>9.8972795969773202</v>
      </c>
      <c r="AA32" s="37">
        <f>W_g!AA32/(rat_weight!AA32/1000)*0.1578</f>
        <v>5.0480100755667801</v>
      </c>
      <c r="AB32" s="37">
        <f>W_g!AB32/(rat_weight!AB32/1000)*0.1578</f>
        <v>11.546826196473555</v>
      </c>
      <c r="AC32" s="37">
        <f>W_g!AC32/(rat_weight!AC32/1000)*0.1578</f>
        <v>7.3363157894736881</v>
      </c>
      <c r="AD32" s="37">
        <f>W_g!AD32/(rat_weight!AD32/1000)*0.1578</f>
        <v>10.638646616541365</v>
      </c>
      <c r="AE32" s="37">
        <f>W_g!AE32/(rat_weight!AE32/1000)*0.1578</f>
        <v>4.5481203007518793</v>
      </c>
      <c r="AF32" s="37">
        <f>W_g!AF32/(rat_weight!AF32/1000)*0.1578</f>
        <v>9.7284466019417604</v>
      </c>
      <c r="AG32" s="37">
        <f>W_g!AG32/(rat_weight!AG32/1000)*0.1578</f>
        <v>6.1473058252427233</v>
      </c>
      <c r="AH32" s="37">
        <f>W_g!AH32/(rat_weight!AH32/1000)*0.1578</f>
        <v>7.2005825242718382</v>
      </c>
      <c r="AI32" s="37">
        <f>W_g!AI32/(rat_weight!AI32/1000)*0.1578</f>
        <v>3.8532558139534885</v>
      </c>
      <c r="AJ32" s="37">
        <f>W_g!AJ32/(rat_weight!AJ32/1000)*0.1578</f>
        <v>11.779953488372092</v>
      </c>
      <c r="AK32" s="37">
        <f>W_g!AK32/(rat_weight!AK32/1000)*0.1578</f>
        <v>4.6055581395348772</v>
      </c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</row>
    <row r="33" spans="1:85">
      <c r="A33" s="30">
        <v>32</v>
      </c>
      <c r="B33" s="37">
        <f>W_g!B33/(rat_weight!B33/1000)*0.1578</f>
        <v>9.5378230088495446</v>
      </c>
      <c r="C33" s="37">
        <f>W_g!C33/(rat_weight!C33/1000)*0.1578</f>
        <v>-0.1088275862068981</v>
      </c>
      <c r="D33" s="37">
        <f>W_g!D33/(rat_weight!D33/1000)*0.1578</f>
        <v>9.3591724137931056</v>
      </c>
      <c r="E33" s="37">
        <f>W_g!E33/(rat_weight!E33/1000)*0.1578</f>
        <v>10.232764505119446</v>
      </c>
      <c r="F33" s="37">
        <f>W_g!F33/(rat_weight!F33/1000)*0.1578</f>
        <v>10.231720067453629</v>
      </c>
      <c r="G33" s="37">
        <f>W_g!G33/(rat_weight!G33/1000)*0.1578</f>
        <v>11.278993288590616</v>
      </c>
      <c r="H33" s="37">
        <f>W_g!H33/(rat_weight!H33/1000)*0.1578</f>
        <v>10.114026845637587</v>
      </c>
      <c r="I33" s="37">
        <f>W_g!I33/(rat_weight!I33/1000)*0.1578</f>
        <v>10.225855263157888</v>
      </c>
      <c r="J33" s="37">
        <f>W_g!J33/(rat_weight!J33/1000)*0.1578</f>
        <v>9.2710696920583313</v>
      </c>
      <c r="K33" s="37">
        <f>W_g!K33/(rat_weight!K33/1000)*0.1578</f>
        <v>9.0480483870967774</v>
      </c>
      <c r="L33" s="37">
        <f>W_g!L33/(rat_weight!L33/1000)*0.1578</f>
        <v>7.6638535031847139</v>
      </c>
      <c r="M33" s="37">
        <f>W_g!M33/(rat_weight!M33/1000)*0.1578</f>
        <v>9.5832339791356169</v>
      </c>
      <c r="N33" s="37">
        <f>W_g!N33/(rat_weight!N33/1000)*0.1578</f>
        <v>6.4565683229813651</v>
      </c>
      <c r="O33" s="37">
        <f>W_g!O33/(rat_weight!O33/1000)*0.1578</f>
        <v>8.1227795031055852</v>
      </c>
      <c r="P33" s="37">
        <f>W_g!P33/(rat_weight!P33/1000)*0.1578</f>
        <v>6.701599378881979</v>
      </c>
      <c r="Q33" s="37">
        <f>W_g!Q33/(rat_weight!Q33/1000)*0.1578</f>
        <v>7.7348260211800239</v>
      </c>
      <c r="R33" s="37">
        <f>W_g!R33/(rat_weight!R33/1000)*0.1578</f>
        <v>5.4310892586989548</v>
      </c>
      <c r="S33" s="37">
        <f>W_g!S33/(rat_weight!S33/1000)*0.1578</f>
        <v>8.1167927382753469</v>
      </c>
      <c r="T33" s="37">
        <f>W_g!T33/(rat_weight!T33/1000)*0.1578</f>
        <v>5.6106666666666722</v>
      </c>
      <c r="U33" s="37">
        <f>W_g!U33/(rat_weight!U33/1000)*0.1578</f>
        <v>6.9665777777777791</v>
      </c>
      <c r="V33" s="37">
        <f>W_g!V33/(rat_weight!V33/1000)*0.1578</f>
        <v>6.0899111111111202</v>
      </c>
      <c r="W33" s="37">
        <f>W_g!W33/(rat_weight!W33/1000)*0.1578</f>
        <v>5.8972246696035215</v>
      </c>
      <c r="X33" s="37">
        <f>W_g!X33/(rat_weight!X33/1000)*0.1578</f>
        <v>7.0558149779735713</v>
      </c>
      <c r="Y33" s="37">
        <f>W_g!Y33/(rat_weight!Y33/1000)*0.1578</f>
        <v>6.2911453744493402</v>
      </c>
      <c r="Z33" s="37">
        <f>W_g!Z33/(rat_weight!Z33/1000)*0.1578</f>
        <v>5.7731707317073173</v>
      </c>
      <c r="AA33" s="37">
        <f>W_g!AA33/(rat_weight!AA33/1000)*0.1578</f>
        <v>5.6373314203730285</v>
      </c>
      <c r="AB33" s="37">
        <f>W_g!AB33/(rat_weight!AB33/1000)*0.1578</f>
        <v>6.8032855093256721</v>
      </c>
      <c r="AC33" s="37">
        <f>W_g!AC33/(rat_weight!AC33/1000)*0.1578</f>
        <v>6.8283144475920698</v>
      </c>
      <c r="AD33" s="37">
        <f>W_g!AD33/(rat_weight!AD33/1000)*0.1578</f>
        <v>5.0737393767705363</v>
      </c>
      <c r="AE33" s="37">
        <f>W_g!AE33/(rat_weight!AE33/1000)*0.1578</f>
        <v>7.5547308781869722</v>
      </c>
      <c r="AF33" s="37">
        <f>W_g!AF33/(rat_weight!AF33/1000)*0.1578</f>
        <v>7.8240668523676931</v>
      </c>
      <c r="AG33" s="37">
        <f>W_g!AG33/(rat_weight!AG33/1000)*0.1578</f>
        <v>6.0768384401114162</v>
      </c>
      <c r="AH33" s="37">
        <f>W_g!AH33/(rat_weight!AH33/1000)*0.1578</f>
        <v>4.5713649025069598</v>
      </c>
      <c r="AI33" s="37">
        <f>W_g!AI33/(rat_weight!AI33/1000)*0.1578</f>
        <v>6.0424793388429778</v>
      </c>
      <c r="AJ33" s="37">
        <f>W_g!AJ33/(rat_weight!AJ33/1000)*0.1578</f>
        <v>5.2165289256198282</v>
      </c>
      <c r="AK33" s="37">
        <f>W_g!AK33/(rat_weight!AK33/1000)*0.1578</f>
        <v>6.379380165289243</v>
      </c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</row>
    <row r="34" spans="1:85">
      <c r="A34" s="30">
        <v>33</v>
      </c>
      <c r="B34" s="37">
        <f>W_g!B34/(rat_weight!B34/1000)*0.1578</f>
        <v>8.0561052631578853</v>
      </c>
      <c r="C34" s="37">
        <f>W_g!C34/(rat_weight!C34/1000)*0.1578</f>
        <v>11.436376306620231</v>
      </c>
      <c r="D34" s="37">
        <f>W_g!D34/(rat_weight!D34/1000)*0.1578</f>
        <v>8.6072727272727256</v>
      </c>
      <c r="E34" s="37">
        <f>W_g!E34/(rat_weight!E34/1000)*0.1578</f>
        <v>5.9037062937063034</v>
      </c>
      <c r="F34" s="37">
        <f>W_g!F34/(rat_weight!F34/1000)*0.1578</f>
        <v>3.6729310344827741</v>
      </c>
      <c r="G34" s="37">
        <f>W_g!G34/(rat_weight!G34/1000)*0.1578</f>
        <v>6.301228668941989</v>
      </c>
      <c r="H34" s="37">
        <f>W_g!H34/(rat_weight!H34/1000)*0.1578</f>
        <v>6.5564788732394277</v>
      </c>
      <c r="I34" s="37">
        <f>W_g!I34/(rat_weight!I34/1000)*0.1578</f>
        <v>4.1188474576271128</v>
      </c>
      <c r="J34" s="37">
        <f>W_g!J34/(rat_weight!J34/1000)*0.1578</f>
        <v>4.3893174061433324</v>
      </c>
      <c r="K34" s="37">
        <f>W_g!K34/(rat_weight!K34/1000)*0.1578</f>
        <v>2.1346232876712268</v>
      </c>
      <c r="L34" s="37">
        <f>W_g!L34/(rat_weight!L34/1000)*0.1578</f>
        <v>3.9318936877076411</v>
      </c>
      <c r="M34" s="37">
        <f>W_g!M34/(rat_weight!M34/1000)*0.1578</f>
        <v>2.4093624161073888</v>
      </c>
      <c r="N34" s="37">
        <f>W_g!N34/(rat_weight!N34/1000)*0.1578</f>
        <v>1.0291304347826178</v>
      </c>
      <c r="O34" s="37">
        <f>W_g!O34/(rat_weight!O34/1000)*0.1578</f>
        <v>3.9318060200668841</v>
      </c>
      <c r="P34" s="37">
        <f>W_g!P34/(rat_weight!P34/1000)*0.1578</f>
        <v>2.929063545150508</v>
      </c>
      <c r="Q34" s="37">
        <f>W_g!Q34/(rat_weight!Q34/1000)*0.1578</f>
        <v>2.3749163879598663</v>
      </c>
      <c r="R34" s="37">
        <f>W_g!R34/(rat_weight!R34/1000)*0.1578</f>
        <v>1.1346822742475098</v>
      </c>
      <c r="S34" s="37">
        <f>W_g!S34/(rat_weight!S34/1000)*0.1578</f>
        <v>2.0054849498327969</v>
      </c>
      <c r="T34" s="37">
        <f>W_g!T34/(rat_weight!T34/1000)*0.1578</f>
        <v>1.7186138613861297</v>
      </c>
      <c r="U34" s="37">
        <f>W_g!U34/(rat_weight!U34/1000)*0.1578</f>
        <v>5.8849504950495115</v>
      </c>
      <c r="V34" s="37">
        <f>W_g!V34/(rat_weight!V34/1000)*0.1578</f>
        <v>2.1612871287128743</v>
      </c>
      <c r="W34" s="37">
        <f>W_g!W34/(rat_weight!W34/1000)*0.1578</f>
        <v>0.82077181208054295</v>
      </c>
      <c r="X34" s="37">
        <f>W_g!X34/(rat_weight!X34/1000)*0.1578</f>
        <v>2.6741275167785448</v>
      </c>
      <c r="Y34" s="37">
        <f>W_g!Y34/(rat_weight!Y34/1000)*0.1578</f>
        <v>1.2973489932885995</v>
      </c>
      <c r="Z34" s="37">
        <f>W_g!Z34/(rat_weight!Z34/1000)*0.1578</f>
        <v>1.3193979933110369</v>
      </c>
      <c r="AA34" s="37">
        <f>W_g!AA34/(rat_weight!AA34/1000)*0.1578</f>
        <v>2.1110367892976738</v>
      </c>
      <c r="AB34" s="37">
        <f>W_g!AB34/(rat_weight!AB34/1000)*0.1578</f>
        <v>2.1902006688963089</v>
      </c>
      <c r="AC34" s="37">
        <f>W_g!AC34/(rat_weight!AC34/1000)*0.1578</f>
        <v>0.17990228013027562</v>
      </c>
      <c r="AD34" s="37">
        <f>W_g!AD34/(rat_weight!AD34/1000)*0.1578</f>
        <v>0.87381107491856103</v>
      </c>
      <c r="AE34" s="37">
        <f>W_g!AE34/(rat_weight!AE34/1000)*0.1578</f>
        <v>0.61680781758957071</v>
      </c>
      <c r="AF34" s="37">
        <f>W_g!AF34/(rat_weight!AF34/1000)*0.1578</f>
        <v>0.77861842105263157</v>
      </c>
      <c r="AG34" s="37">
        <f>W_g!AG34/(rat_weight!AG34/1000)*0.1578</f>
        <v>1.5312828947368657</v>
      </c>
      <c r="AH34" s="37">
        <f>W_g!AH34/(rat_weight!AH34/1000)*0.1578</f>
        <v>1.9724999999999913</v>
      </c>
      <c r="AI34" s="37">
        <f>W_g!AI34/(rat_weight!AI34/1000)*0.1578</f>
        <v>1.2457894736841986</v>
      </c>
      <c r="AJ34" s="37">
        <f>W_g!AJ34/(rat_weight!AJ34/1000)*0.1578</f>
        <v>2.076315789473699</v>
      </c>
      <c r="AK34" s="37">
        <f>W_g!AK34/(rat_weight!AK34/1000)*0.1578</f>
        <v>1.9984539473684182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</row>
    <row r="35" spans="1:85">
      <c r="A35" s="30">
        <v>34</v>
      </c>
      <c r="B35" s="37">
        <f>W_g!B35/(rat_weight!B35/1000)*0.1578</f>
        <v>1.0119782608695516</v>
      </c>
      <c r="C35" s="37">
        <f>W_g!C35/(rat_weight!C35/1000)*0.1578</f>
        <v>2.5506465517241477</v>
      </c>
      <c r="D35" s="37">
        <f>W_g!D35/(rat_weight!D35/1000)*0.1578</f>
        <v>2.558021052631585</v>
      </c>
      <c r="E35" s="37">
        <f>W_g!E35/(rat_weight!E35/1000)*0.1578</f>
        <v>1.9477405857740604</v>
      </c>
      <c r="F35" s="37">
        <f>W_g!F35/(rat_weight!F35/1000)*0.1578</f>
        <v>1.6860373443983421</v>
      </c>
      <c r="G35" s="37">
        <f>W_g!G35/(rat_weight!G35/1000)*0.1578</f>
        <v>1.9847010309278519</v>
      </c>
      <c r="H35" s="37">
        <f>W_g!H35/(rat_weight!H35/1000)*0.1578</f>
        <v>1.4169795918367183</v>
      </c>
      <c r="I35" s="37">
        <f>W_g!I35/(rat_weight!I35/1000)*0.1578</f>
        <v>1.9644489795918441</v>
      </c>
      <c r="J35" s="37">
        <f>W_g!J35/(rat_weight!J35/1000)*0.1578</f>
        <v>0.52178356713426133</v>
      </c>
      <c r="K35" s="37">
        <f>W_g!K35/(rat_weight!K35/1000)*0.1578</f>
        <v>1.1811377245508983</v>
      </c>
      <c r="L35" s="37">
        <f>W_g!L35/(rat_weight!L35/1000)*0.1578</f>
        <v>1.8436039603960501</v>
      </c>
      <c r="M35" s="37">
        <f>W_g!M35/(rat_weight!M35/1000)*0.1578</f>
        <v>1.0759090909090872</v>
      </c>
      <c r="N35" s="37">
        <f>W_g!N35/(rat_weight!N35/1000)*0.1578</f>
        <v>1.5167184466019294</v>
      </c>
      <c r="O35" s="37">
        <f>W_g!O35/(rat_weight!O35/1000)*0.1578</f>
        <v>1.1796699029126108</v>
      </c>
      <c r="P35" s="37">
        <f>W_g!P35/(rat_weight!P35/1000)*0.1578</f>
        <v>1.5473592233009743</v>
      </c>
      <c r="Q35" s="37">
        <f>W_g!Q35/(rat_weight!Q35/1000)*0.1578</f>
        <v>1.0820571428571497</v>
      </c>
      <c r="R35" s="37">
        <f>W_g!R35/(rat_weight!R35/1000)*0.1578</f>
        <v>2.1190285714285748</v>
      </c>
      <c r="S35" s="37">
        <f>W_g!S35/(rat_weight!S35/1000)*0.1578</f>
        <v>2.7051428571428828</v>
      </c>
      <c r="T35" s="37">
        <f>W_g!T35/(rat_weight!T35/1000)*0.1578</f>
        <v>2.67046153846155</v>
      </c>
      <c r="U35" s="37">
        <f>W_g!U35/(rat_weight!U35/1000)*0.1578</f>
        <v>1.0924615384615453</v>
      </c>
      <c r="V35" s="37">
        <f>W_g!V35/(rat_weight!V35/1000)*0.1578</f>
        <v>2.2000961538461623</v>
      </c>
      <c r="W35" s="37">
        <f>W_g!W35/(rat_weight!W35/1000)*0.1578</f>
        <v>1.4839664804469306</v>
      </c>
      <c r="X35" s="37">
        <f>W_g!X35/(rat_weight!X35/1000)*0.1578</f>
        <v>6.6558100558659401</v>
      </c>
      <c r="Y35" s="37">
        <f>W_g!Y35/(rat_weight!Y35/1000)*0.1578</f>
        <v>0.89625698324021841</v>
      </c>
      <c r="Z35" s="37">
        <f>W_g!Z35/(rat_weight!Z35/1000)*0.1578</f>
        <v>2.1039999999999965</v>
      </c>
      <c r="AA35" s="37">
        <f>W_g!AA35/(rat_weight!AA35/1000)*0.1578</f>
        <v>1.1688888888888971</v>
      </c>
      <c r="AB35" s="37">
        <f>W_g!AB35/(rat_weight!AB35/1000)*0.1578</f>
        <v>1.9140555555555421</v>
      </c>
      <c r="AC35" s="37">
        <f>W_g!AC35/(rat_weight!AC35/1000)*0.1578</f>
        <v>0.81918032786884265</v>
      </c>
      <c r="AD35" s="37">
        <f>W_g!AD35/(rat_weight!AD35/1000)*0.1578</f>
        <v>0.34491803278688199</v>
      </c>
      <c r="AE35" s="37">
        <f>W_g!AE35/(rat_weight!AE35/1000)*0.1578</f>
        <v>2.1557377049180326</v>
      </c>
      <c r="AF35" s="37">
        <f>W_g!AF35/(rat_weight!AF35/1000)*0.1578</f>
        <v>2.1192740471869422</v>
      </c>
      <c r="AG35" s="37">
        <f>W_g!AG35/(rat_weight!AG35/1000)*0.1578</f>
        <v>1.1598729582577165</v>
      </c>
      <c r="AH35" s="37">
        <f>W_g!AH35/(rat_weight!AH35/1000)*0.1578</f>
        <v>1.3173865698729565</v>
      </c>
      <c r="AI35" s="37">
        <f>W_g!AI35/(rat_weight!AI35/1000)*0.1578</f>
        <v>1.2794594594594593</v>
      </c>
      <c r="AJ35" s="37">
        <f>W_g!AJ35/(rat_weight!AJ35/1000)*0.1578</f>
        <v>0.9667027027027042</v>
      </c>
      <c r="AK35" s="37">
        <f>W_g!AK35/(rat_weight!AK35/1000)*0.1578</f>
        <v>0.81032432432432266</v>
      </c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</row>
    <row r="36" spans="1:85">
      <c r="A36" s="30">
        <v>35</v>
      </c>
      <c r="B36" s="37">
        <f>W_g!B36/(rat_weight!B36/1000)*0.1578</f>
        <v>14.021385542168646</v>
      </c>
      <c r="C36" s="37">
        <f>W_g!C36/(rat_weight!C36/1000)*0.1578</f>
        <v>6.6832941176470744</v>
      </c>
      <c r="D36" s="37">
        <f>W_g!D36/(rat_weight!D36/1000)*0.1578</f>
        <v>7.9817441860465275</v>
      </c>
      <c r="E36" s="37">
        <f>W_g!E36/(rat_weight!E36/1000)*0.1578</f>
        <v>6.6055813953488531</v>
      </c>
      <c r="F36" s="37">
        <f>W_g!F36/(rat_weight!F36/1000)*0.1578</f>
        <v>8.4569461077844466</v>
      </c>
      <c r="G36" s="37">
        <f>W_g!G36/(rat_weight!G36/1000)*0.1578</f>
        <v>6.4596491228069901</v>
      </c>
      <c r="H36" s="37">
        <f>W_g!H36/(rat_weight!H36/1000)*0.1578</f>
        <v>10.391707317073154</v>
      </c>
      <c r="I36" s="37">
        <f>W_g!I36/(rat_weight!I36/1000)*0.1578</f>
        <v>7.8899999999999695</v>
      </c>
      <c r="J36" s="37">
        <f>W_g!J36/(rat_weight!J36/1000)*0.1578</f>
        <v>4.9425862068964896</v>
      </c>
      <c r="K36" s="37">
        <f>W_g!K36/(rat_weight!K36/1000)*0.1578</f>
        <v>8.2111046511628327</v>
      </c>
      <c r="L36" s="37">
        <f>W_g!L36/(rat_weight!L36/1000)*0.1578</f>
        <v>4.7706976744185949</v>
      </c>
      <c r="M36" s="37">
        <f>W_g!M36/(rat_weight!M36/1000)*0.1578</f>
        <v>7.6579411764705876</v>
      </c>
      <c r="N36" s="37">
        <f>W_g!N36/(rat_weight!N36/1000)*0.1578</f>
        <v>3.85217647058824</v>
      </c>
      <c r="O36" s="37">
        <f>W_g!O36/(rat_weight!O36/1000)*0.1578</f>
        <v>6.1727647058823312</v>
      </c>
      <c r="P36" s="37">
        <f>W_g!P36/(rat_weight!P36/1000)*0.1578</f>
        <v>4.3162941176470371</v>
      </c>
      <c r="Q36" s="37">
        <f>W_g!Q36/(rat_weight!Q36/1000)*0.1578</f>
        <v>6.442721893491103</v>
      </c>
      <c r="R36" s="37">
        <f>W_g!R36/(rat_weight!R36/1000)*0.1578</f>
        <v>3.2213609467456039</v>
      </c>
      <c r="S36" s="37">
        <f>W_g!S36/(rat_weight!S36/1000)*0.1578</f>
        <v>3.5481656804734629</v>
      </c>
      <c r="T36" s="37">
        <f>W_g!T36/(rat_weight!T36/1000)*0.1578</f>
        <v>3.5066666666666508</v>
      </c>
      <c r="U36" s="37">
        <f>W_g!U36/(rat_weight!U36/1000)*0.1578</f>
        <v>5.0754385964912272</v>
      </c>
      <c r="V36" s="37">
        <f>W_g!V36/(rat_weight!V36/1000)*0.1578</f>
        <v>6.6903508771930076</v>
      </c>
      <c r="W36" s="37">
        <f>W_g!W36/(rat_weight!W36/1000)*0.1578</f>
        <v>2.6300000000000403</v>
      </c>
      <c r="X36" s="37">
        <f>W_g!X36/(rat_weight!X36/1000)*0.1578</f>
        <v>5.3045762711864555</v>
      </c>
      <c r="Y36" s="37">
        <f>W_g!Y36/(rat_weight!Y36/1000)*0.1578</f>
        <v>3.1649152542373238</v>
      </c>
      <c r="Z36" s="37">
        <f>W_g!Z36/(rat_weight!Z36/1000)*0.1578</f>
        <v>7.6240449438201949</v>
      </c>
      <c r="AA36" s="37">
        <f>W_g!AA36/(rat_weight!AA36/1000)*0.1578</f>
        <v>5.2304494382022524</v>
      </c>
      <c r="AB36" s="37">
        <f>W_g!AB36/(rat_weight!AB36/1000)*0.1578</f>
        <v>4.0336516853932682</v>
      </c>
      <c r="AC36" s="37">
        <f>W_g!AC36/(rat_weight!AC36/1000)*0.1578</f>
        <v>6.6418644067796517</v>
      </c>
      <c r="AD36" s="37">
        <f>W_g!AD36/(rat_weight!AD36/1000)*0.1578</f>
        <v>4.3684745762712165</v>
      </c>
      <c r="AE36" s="37">
        <f>W_g!AE36/(rat_weight!AE36/1000)*0.1578</f>
        <v>3.9227118644067596</v>
      </c>
      <c r="AF36" s="37">
        <f>W_g!AF36/(rat_weight!AF36/1000)*0.1578</f>
        <v>5.2309392265193368</v>
      </c>
      <c r="AG36" s="37">
        <f>W_g!AG36/(rat_weight!AG36/1000)*0.1578</f>
        <v>1.2641436464088793</v>
      </c>
      <c r="AH36" s="37">
        <f>W_g!AH36/(rat_weight!AH36/1000)*0.1578</f>
        <v>4.5334806629833908</v>
      </c>
      <c r="AI36" s="37">
        <f>W_g!AI36/(rat_weight!AI36/1000)*0.1578</f>
        <v>4.7078453038673835</v>
      </c>
      <c r="AJ36" s="37">
        <f>W_g!AJ36/(rat_weight!AJ36/1000)*0.1578</f>
        <v>5.8412154696132745</v>
      </c>
      <c r="AK36" s="37">
        <f>W_g!AK36/(rat_weight!AK36/1000)*0.1578</f>
        <v>5.971988950276188</v>
      </c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</row>
    <row r="37" spans="1:85">
      <c r="A37" s="30">
        <v>36</v>
      </c>
      <c r="B37" s="37">
        <f>W_g!B37/(rat_weight!B37/1000)*0.1578</f>
        <v>6.3180459770115034</v>
      </c>
      <c r="C37" s="37">
        <f>W_g!C37/(rat_weight!C37/1000)*0.1578</f>
        <v>-0.1786415094339521</v>
      </c>
      <c r="D37" s="37">
        <f>W_g!D37/(rat_weight!D37/1000)*0.1578</f>
        <v>3.6187218045113085</v>
      </c>
      <c r="E37" s="37">
        <f>W_g!E37/(rat_weight!E37/1000)*0.1578</f>
        <v>7.4778358208954989</v>
      </c>
      <c r="F37" s="37">
        <f>W_g!F37/(rat_weight!F37/1000)*0.1578</f>
        <v>5.0950184501844848</v>
      </c>
      <c r="G37" s="37">
        <f>W_g!G37/(rat_weight!G37/1000)*0.1578</f>
        <v>7.2252747252747405</v>
      </c>
      <c r="H37" s="37">
        <f>W_g!H37/(rat_weight!H37/1000)*0.1578</f>
        <v>5.4152767527675172</v>
      </c>
      <c r="I37" s="37">
        <f>W_g!I37/(rat_weight!I37/1000)*0.1578</f>
        <v>1.8034285714285647</v>
      </c>
      <c r="J37" s="37">
        <f>W_g!J37/(rat_weight!J37/1000)*0.1578</f>
        <v>3.1387226277372196</v>
      </c>
      <c r="K37" s="37">
        <f>W_g!K37/(rat_weight!K37/1000)*0.1578</f>
        <v>3.0043772241993008</v>
      </c>
      <c r="L37" s="37">
        <f>W_g!L37/(rat_weight!L37/1000)*0.1578</f>
        <v>4.3036363636363628</v>
      </c>
      <c r="M37" s="37">
        <f>W_g!M37/(rat_weight!M37/1000)*0.1578</f>
        <v>4.3113214285714472</v>
      </c>
      <c r="N37" s="37">
        <f>W_g!N37/(rat_weight!N37/1000)*0.1578</f>
        <v>12.180547445255478</v>
      </c>
      <c r="O37" s="37">
        <f>W_g!O37/(rat_weight!O37/1000)*0.1578</f>
        <v>2.7355839416058063</v>
      </c>
      <c r="P37" s="37">
        <f>W_g!P37/(rat_weight!P37/1000)*0.1578</f>
        <v>3.1387226277372196</v>
      </c>
      <c r="Q37" s="37">
        <f>W_g!Q37/(rat_weight!Q37/1000)*0.1578</f>
        <v>5.3519580419580359</v>
      </c>
      <c r="R37" s="37">
        <f>W_g!R37/(rat_weight!R37/1000)*0.1578</f>
        <v>2.1794055944056199</v>
      </c>
      <c r="S37" s="37">
        <f>W_g!S37/(rat_weight!S37/1000)*0.1578</f>
        <v>1.5448951048951585</v>
      </c>
      <c r="T37" s="37">
        <f>W_g!T37/(rat_weight!T37/1000)*0.1578</f>
        <v>1.8500689655172446</v>
      </c>
      <c r="U37" s="37">
        <f>W_g!U37/(rat_weight!U37/1000)*0.1578</f>
        <v>0.65296551724137319</v>
      </c>
      <c r="V37" s="37">
        <f>W_g!V37/(rat_weight!V37/1000)*0.1578</f>
        <v>2.7206896551745789E-2</v>
      </c>
      <c r="W37" s="37">
        <f>W_g!W37/(rat_weight!W37/1000)*0.1578</f>
        <v>0.81802675585284879</v>
      </c>
      <c r="X37" s="37">
        <f>W_g!X37/(rat_weight!X37/1000)*0.1578</f>
        <v>0.13193979933111868</v>
      </c>
      <c r="Y37" s="37">
        <f>W_g!Y37/(rat_weight!Y37/1000)*0.1578</f>
        <v>2.6387959866211733E-2</v>
      </c>
      <c r="Z37" s="37">
        <f>W_g!Z37/(rat_weight!Z37/1000)*0.1578</f>
        <v>0</v>
      </c>
      <c r="AA37" s="37">
        <f>W_g!AA37/(rat_weight!AA37/1000)*0.1578</f>
        <v>5.2251655629136105E-2</v>
      </c>
      <c r="AB37" s="37">
        <f>W_g!AB37/(rat_weight!AB37/1000)*0.1578</f>
        <v>1.6981788079470197</v>
      </c>
      <c r="AC37" s="37">
        <f>W_g!AC37/(rat_weight!AC37/1000)*0.1578</f>
        <v>0.2320588235293766</v>
      </c>
      <c r="AD37" s="37">
        <f>W_g!AD37/(rat_weight!AD37/1000)*0.1578</f>
        <v>0.10313725490195491</v>
      </c>
      <c r="AE37" s="37">
        <f>W_g!AE37/(rat_weight!AE37/1000)*0.1578</f>
        <v>0.10313725490195491</v>
      </c>
      <c r="AF37" s="37">
        <f>W_g!AF37/(rat_weight!AF37/1000)*0.1578</f>
        <v>3.0227922077921963</v>
      </c>
      <c r="AG37" s="37">
        <f>W_g!AG37/(rat_weight!AG37/1000)*0.1578</f>
        <v>0.12808441558441558</v>
      </c>
      <c r="AH37" s="37">
        <f>W_g!AH37/(rat_weight!AH37/1000)*0.1578</f>
        <v>-0.20493506493506783</v>
      </c>
      <c r="AI37" s="37">
        <f>W_g!AI37/(rat_weight!AI37/1000)*0.1578</f>
        <v>0</v>
      </c>
      <c r="AJ37" s="37">
        <f>W_g!AJ37/(rat_weight!AJ37/1000)*0.1578</f>
        <v>0.10180645161291191</v>
      </c>
      <c r="AK37" s="37">
        <f>W_g!AK37/(rat_weight!AK37/1000)*0.1578</f>
        <v>2.5451612903217125E-2</v>
      </c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</row>
    <row r="38" spans="1:85">
      <c r="A38" s="30">
        <v>37</v>
      </c>
      <c r="B38" s="37">
        <f>W_g!B38/(rat_weight!B38/1000)*0.1578</f>
        <v>1.9643827160493772</v>
      </c>
      <c r="C38" s="37">
        <f>W_g!C38/(rat_weight!C38/1000)*0.1578</f>
        <v>2.1576734693877606</v>
      </c>
      <c r="D38" s="37">
        <f>W_g!D38/(rat_weight!D38/1000)*0.1578</f>
        <v>0.66011952191234868</v>
      </c>
      <c r="E38" s="37">
        <f>W_g!E38/(rat_weight!E38/1000)*0.1578</f>
        <v>2.0513999999999908</v>
      </c>
      <c r="F38" s="37">
        <f>W_g!F38/(rat_weight!F38/1000)*0.1578</f>
        <v>1.1405346534653305</v>
      </c>
      <c r="G38" s="37">
        <f>W_g!G38/(rat_weight!G38/1000)*0.1578</f>
        <v>0.18492187500001575</v>
      </c>
      <c r="H38" s="37">
        <f>W_g!H38/(rat_weight!H38/1000)*0.1578</f>
        <v>0.78118811881188999</v>
      </c>
      <c r="I38" s="37">
        <f>W_g!I38/(rat_weight!I38/1000)*0.1578</f>
        <v>1.2735826771653436</v>
      </c>
      <c r="J38" s="37">
        <f>W_g!J38/(rat_weight!J38/1000)*0.1578</f>
        <v>0.41688845401173114</v>
      </c>
      <c r="K38" s="37">
        <f>W_g!K38/(rat_weight!K38/1000)*0.1578</f>
        <v>0.10703488372093718</v>
      </c>
      <c r="L38" s="37">
        <f>W_g!L38/(rat_weight!L38/1000)*0.1578</f>
        <v>1.2794594594594733</v>
      </c>
      <c r="M38" s="37">
        <f>W_g!M38/(rat_weight!M38/1000)*0.1578</f>
        <v>0.31680688336520418</v>
      </c>
      <c r="N38" s="37">
        <f>W_g!N38/(rat_weight!N38/1000)*0.1578</f>
        <v>0.99366541353383286</v>
      </c>
      <c r="O38" s="37">
        <f>W_g!O38/(rat_weight!O38/1000)*0.1578</f>
        <v>0.16313909774436425</v>
      </c>
      <c r="P38" s="37">
        <f>W_g!P38/(rat_weight!P38/1000)*0.1578</f>
        <v>1.4830827067672544E-2</v>
      </c>
      <c r="Q38" s="37">
        <f>W_g!Q38/(rat_weight!Q38/1000)*0.1578</f>
        <v>0.11754189944133409</v>
      </c>
      <c r="R38" s="37">
        <f>W_g!R38/(rat_weight!R38/1000)*0.1578</f>
        <v>0.63178770949719998</v>
      </c>
      <c r="S38" s="37">
        <f>W_g!S38/(rat_weight!S38/1000)*0.1578</f>
        <v>8.3518542795488862E-15</v>
      </c>
      <c r="T38" s="37">
        <f>W_g!T38/(rat_weight!T38/1000)*0.1578</f>
        <v>0.17533333333333165</v>
      </c>
      <c r="U38" s="37">
        <f>W_g!U38/(rat_weight!U38/1000)*0.1578</f>
        <v>0.9058888888888954</v>
      </c>
      <c r="V38" s="37">
        <f>W_g!V38/(rat_weight!V38/1000)*0.1578</f>
        <v>1.095833333333325</v>
      </c>
      <c r="W38" s="37">
        <f>W_g!W38/(rat_weight!W38/1000)*0.1578</f>
        <v>7.238532110091743E-2</v>
      </c>
      <c r="X38" s="37">
        <f>W_g!X38/(rat_weight!X38/1000)*0.1578</f>
        <v>0.56460550458716086</v>
      </c>
      <c r="Y38" s="37">
        <f>W_g!Y38/(rat_weight!Y38/1000)*0.1578</f>
        <v>0.50669724770643021</v>
      </c>
      <c r="Z38" s="37">
        <f>W_g!Z38/(rat_weight!Z38/1000)*0.1578</f>
        <v>0.14371584699453552</v>
      </c>
      <c r="AA38" s="37">
        <f>W_g!AA38/(rat_weight!AA38/1000)*0.1578</f>
        <v>0.14371584699454368</v>
      </c>
      <c r="AB38" s="37">
        <f>W_g!AB38/(rat_weight!AB38/1000)*0.1578</f>
        <v>1.2790710382513628</v>
      </c>
      <c r="AC38" s="37">
        <f>W_g!AC38/(rat_weight!AC38/1000)*0.1578</f>
        <v>0.15694394213380256</v>
      </c>
      <c r="AD38" s="37">
        <f>W_g!AD38/(rat_weight!AD38/1000)*0.1578</f>
        <v>5.7070524412293315E-2</v>
      </c>
      <c r="AE38" s="37">
        <f>W_g!AE38/(rat_weight!AE38/1000)*0.1578</f>
        <v>2.8535262206138546E-2</v>
      </c>
      <c r="AF38" s="37">
        <f>W_g!AF38/(rat_weight!AF38/1000)*0.1578</f>
        <v>8.5605786618448088E-2</v>
      </c>
      <c r="AG38" s="37">
        <f>W_g!AG38/(rat_weight!AG38/1000)*0.1578</f>
        <v>0.41376130198914679</v>
      </c>
      <c r="AH38" s="37">
        <f>W_g!AH38/(rat_weight!AH38/1000)*0.1578</f>
        <v>-0.14267631103074951</v>
      </c>
      <c r="AI38" s="37">
        <f>W_g!AI38/(rat_weight!AI38/1000)*0.1578</f>
        <v>0.14216216216216215</v>
      </c>
      <c r="AJ38" s="37">
        <f>W_g!AJ38/(rat_weight!AJ38/1000)*0.1578</f>
        <v>8.5297297297292449E-2</v>
      </c>
      <c r="AK38" s="37">
        <f>W_g!AK38/(rat_weight!AK38/1000)*0.1578</f>
        <v>1.4216216216211367E-2</v>
      </c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</row>
    <row r="39" spans="1:85">
      <c r="A39" s="30">
        <v>38</v>
      </c>
      <c r="B39" s="37">
        <f>W_g!B39/(rat_weight!B39/1000)*0.1578</f>
        <v>9.7481521739130326</v>
      </c>
      <c r="C39" s="37">
        <f>W_g!C39/(rat_weight!C39/1000)*0.1578</f>
        <v>-0.16846975088967012</v>
      </c>
      <c r="D39" s="37">
        <f>W_g!D39/(rat_weight!D39/1000)*0.1578</f>
        <v>7.4326086956521893</v>
      </c>
      <c r="E39" s="37">
        <f>W_g!E39/(rat_weight!E39/1000)*0.1578</f>
        <v>5.9797894736842006</v>
      </c>
      <c r="F39" s="37">
        <f>W_g!F39/(rat_weight!F39/1000)*0.1578</f>
        <v>6.9785198555956516</v>
      </c>
      <c r="G39" s="37">
        <f>W_g!G39/(rat_weight!G39/1000)*0.1578</f>
        <v>4.5006338028169299</v>
      </c>
      <c r="H39" s="37">
        <f>W_g!H39/(rat_weight!H39/1000)*0.1578</f>
        <v>5.2046315789473718</v>
      </c>
      <c r="I39" s="37">
        <f>W_g!I39/(rat_weight!I39/1000)*0.1578</f>
        <v>4.2986896551724012</v>
      </c>
      <c r="J39" s="37">
        <f>W_g!J39/(rat_weight!J39/1000)*0.1578</f>
        <v>3.863938356164371</v>
      </c>
      <c r="K39" s="37">
        <f>W_g!K39/(rat_weight!K39/1000)*0.1578</f>
        <v>5.2879787234042492</v>
      </c>
      <c r="L39" s="37">
        <f>W_g!L39/(rat_weight!L39/1000)*0.1578</f>
        <v>3.8238225255972513</v>
      </c>
      <c r="M39" s="37">
        <f>W_g!M39/(rat_weight!M39/1000)*0.1578</f>
        <v>5.8634589041096019</v>
      </c>
      <c r="N39" s="37">
        <f>W_g!N39/(rat_weight!N39/1000)*0.1578</f>
        <v>3.0757627118643915</v>
      </c>
      <c r="O39" s="37">
        <f>W_g!O39/(rat_weight!O39/1000)*0.1578</f>
        <v>3.7176610169491466</v>
      </c>
      <c r="P39" s="37">
        <f>W_g!P39/(rat_weight!P39/1000)*0.1578</f>
        <v>3.5036949152542434</v>
      </c>
      <c r="Q39" s="37">
        <f>W_g!Q39/(rat_weight!Q39/1000)*0.1578</f>
        <v>4.1973737373737254</v>
      </c>
      <c r="R39" s="37">
        <f>W_g!R39/(rat_weight!R39/1000)*0.1578</f>
        <v>4.0645454545454429</v>
      </c>
      <c r="S39" s="37">
        <f>W_g!S39/(rat_weight!S39/1000)*0.1578</f>
        <v>-0.15939393939390012</v>
      </c>
      <c r="T39" s="37">
        <f>W_g!T39/(rat_weight!T39/1000)*0.1578</f>
        <v>3.4600664451827212</v>
      </c>
      <c r="U39" s="37">
        <f>W_g!U39/(rat_weight!U39/1000)*0.1578</f>
        <v>3.4600664451827066</v>
      </c>
      <c r="V39" s="37">
        <f>W_g!V39/(rat_weight!V39/1000)*0.1578</f>
        <v>3.5387043189368623</v>
      </c>
      <c r="W39" s="37">
        <f>W_g!W39/(rat_weight!W39/1000)*0.1578</f>
        <v>3.3852364864864986</v>
      </c>
      <c r="X39" s="37">
        <f>W_g!X39/(rat_weight!X39/1000)*0.1578</f>
        <v>2.8521283783784055</v>
      </c>
      <c r="Y39" s="37">
        <f>W_g!Y39/(rat_weight!Y39/1000)*0.1578</f>
        <v>2.6388851351351446</v>
      </c>
      <c r="Z39" s="37">
        <f>W_g!Z39/(rat_weight!Z39/1000)*0.1578</f>
        <v>2.9882392026578017</v>
      </c>
      <c r="AA39" s="37">
        <f>W_g!AA39/(rat_weight!AA39/1000)*0.1578</f>
        <v>2.7785382059800874</v>
      </c>
      <c r="AB39" s="37">
        <f>W_g!AB39/(rat_weight!AB39/1000)*0.1578</f>
        <v>1.9135215946843736</v>
      </c>
      <c r="AC39" s="37">
        <f>W_g!AC39/(rat_weight!AC39/1000)*0.1578</f>
        <v>2.3540655737704683</v>
      </c>
      <c r="AD39" s="37">
        <f>W_g!AD39/(rat_weight!AD39/1000)*0.1578</f>
        <v>2.5868852459016392</v>
      </c>
      <c r="AE39" s="37">
        <f>W_g!AE39/(rat_weight!AE39/1000)*0.1578</f>
        <v>3.5181639344262354</v>
      </c>
      <c r="AF39" s="37">
        <f>W_g!AF39/(rat_weight!AF39/1000)*0.1578</f>
        <v>1.090065789473696</v>
      </c>
      <c r="AG39" s="37">
        <f>W_g!AG39/(rat_weight!AG39/1000)*0.1578</f>
        <v>2.2060855263157895</v>
      </c>
      <c r="AH39" s="37">
        <f>W_g!AH39/(rat_weight!AH39/1000)*0.1578</f>
        <v>1.2457894736842134</v>
      </c>
      <c r="AI39" s="37">
        <f>W_g!AI39/(rat_weight!AI39/1000)*0.1578</f>
        <v>1.2017880794702045</v>
      </c>
      <c r="AJ39" s="37">
        <f>W_g!AJ39/(rat_weight!AJ39/1000)*0.1578</f>
        <v>2.1423178807946992</v>
      </c>
      <c r="AK39" s="37">
        <f>W_g!AK39/(rat_weight!AK39/1000)*0.1578</f>
        <v>2.3251986754966678</v>
      </c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</row>
    <row r="40" spans="1:85">
      <c r="A40" s="30">
        <v>39</v>
      </c>
      <c r="B40" s="37">
        <f>W_g!B40/(rat_weight!B40/1000)*0.1578</f>
        <v>11.384142857142836</v>
      </c>
      <c r="C40" s="37">
        <f>W_g!C40/(rat_weight!C40/1000)*0.1578</f>
        <v>10.725215605749504</v>
      </c>
      <c r="D40" s="37">
        <f>W_g!D40/(rat_weight!D40/1000)*0.1578</f>
        <v>9.3274493927125555</v>
      </c>
      <c r="E40" s="37">
        <f>W_g!E40/(rat_weight!E40/1000)*0.1578</f>
        <v>10.613928571428573</v>
      </c>
      <c r="F40" s="37">
        <f>W_g!F40/(rat_weight!F40/1000)*0.1578</f>
        <v>9.929165009940359</v>
      </c>
      <c r="G40" s="37">
        <f>W_g!G40/(rat_weight!G40/1000)*0.1578</f>
        <v>11.146190476190473</v>
      </c>
      <c r="H40" s="37">
        <f>W_g!H40/(rat_weight!H40/1000)*0.1578</f>
        <v>9.7177992277992278</v>
      </c>
      <c r="I40" s="37">
        <f>W_g!I40/(rat_weight!I40/1000)*0.1578</f>
        <v>9.3900000000000023</v>
      </c>
      <c r="J40" s="37">
        <f>W_g!J40/(rat_weight!J40/1000)*0.1578</f>
        <v>9.6367542213883546</v>
      </c>
      <c r="K40" s="37">
        <f>W_g!K40/(rat_weight!K40/1000)*0.1578</f>
        <v>9.1802819548872137</v>
      </c>
      <c r="L40" s="37">
        <f>W_g!L40/(rat_weight!L40/1000)*0.1578</f>
        <v>8.078895027624311</v>
      </c>
      <c r="M40" s="37">
        <f>W_g!M40/(rat_weight!M40/1000)*0.1578</f>
        <v>9.8266363636363625</v>
      </c>
      <c r="N40" s="37">
        <f>W_g!N40/(rat_weight!N40/1000)*0.1578</f>
        <v>8.1586559139784924</v>
      </c>
      <c r="O40" s="37">
        <f>W_g!O40/(rat_weight!O40/1000)*0.1578</f>
        <v>7.3951075268817137</v>
      </c>
      <c r="P40" s="37">
        <f>W_g!P40/(rat_weight!P40/1000)*0.1578</f>
        <v>7.7910215053763467</v>
      </c>
      <c r="Q40" s="37">
        <f>W_g!Q40/(rat_weight!Q40/1000)*0.1578</f>
        <v>7.8484007029876857</v>
      </c>
      <c r="R40" s="37">
        <f>W_g!R40/(rat_weight!R40/1000)*0.1578</f>
        <v>6.0041652021089575</v>
      </c>
      <c r="S40" s="37">
        <f>W_g!S40/(rat_weight!S40/1000)*0.1578</f>
        <v>3.9657996485061466</v>
      </c>
      <c r="T40" s="37">
        <f>W_g!T40/(rat_weight!T40/1000)*0.1578</f>
        <v>3.1020512820512742</v>
      </c>
      <c r="U40" s="37">
        <f>W_g!U40/(rat_weight!U40/1000)*0.1578</f>
        <v>1.8882051282051282</v>
      </c>
      <c r="V40" s="37">
        <f>W_g!V40/(rat_weight!V40/1000)*0.1578</f>
        <v>2.2793333333333226</v>
      </c>
      <c r="W40" s="37">
        <f>W_g!W40/(rat_weight!W40/1000)*0.1578</f>
        <v>1.9658135593220247</v>
      </c>
      <c r="X40" s="37">
        <f>W_g!X40/(rat_weight!X40/1000)*0.1578</f>
        <v>2.9821525423728827</v>
      </c>
      <c r="Y40" s="37">
        <f>W_g!Y40/(rat_weight!Y40/1000)*0.1578</f>
        <v>2.2332711864406765</v>
      </c>
      <c r="Z40" s="37">
        <f>W_g!Z40/(rat_weight!Z40/1000)*0.1578</f>
        <v>1.956198347107438</v>
      </c>
      <c r="AA40" s="37">
        <f>W_g!AA40/(rat_weight!AA40/1000)*0.1578</f>
        <v>2.1909421487603469</v>
      </c>
      <c r="AB40" s="37">
        <f>W_g!AB40/(rat_weight!AB40/1000)*0.1578</f>
        <v>5.6990578512396599</v>
      </c>
      <c r="AC40" s="37">
        <f>W_g!AC40/(rat_weight!AC40/1000)*0.1578</f>
        <v>1.9278155339805854</v>
      </c>
      <c r="AD40" s="37">
        <f>W_g!AD40/(rat_weight!AD40/1000)*0.1578</f>
        <v>2.9874757281553368</v>
      </c>
      <c r="AE40" s="37">
        <f>W_g!AE40/(rat_weight!AE40/1000)*0.1578</f>
        <v>1.1234951456310622</v>
      </c>
      <c r="AF40" s="37">
        <f>W_g!AF40/(rat_weight!AF40/1000)*0.1578</f>
        <v>1.8389291338582618</v>
      </c>
      <c r="AG40" s="37">
        <f>W_g!AG40/(rat_weight!AG40/1000)*0.1578</f>
        <v>1.4785984251968474</v>
      </c>
      <c r="AH40" s="37">
        <f>W_g!AH40/(rat_weight!AH40/1000)*0.1578</f>
        <v>0.27335433070866</v>
      </c>
      <c r="AI40" s="37">
        <f>W_g!AI40/(rat_weight!AI40/1000)*0.1578</f>
        <v>9.8934169278991235E-2</v>
      </c>
      <c r="AJ40" s="37">
        <f>W_g!AJ40/(rat_weight!AJ40/1000)*0.1578</f>
        <v>1.4840125391849599</v>
      </c>
      <c r="AK40" s="37">
        <f>W_g!AK40/(rat_weight!AK40/1000)*0.1578</f>
        <v>0.90277429467084769</v>
      </c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</row>
    <row r="41" spans="1:85">
      <c r="A41" s="30">
        <v>40</v>
      </c>
      <c r="B41" s="37">
        <f>W_g!B41/(rat_weight!B41/1000)*0.1578</f>
        <v>21.906072507552878</v>
      </c>
      <c r="C41" s="37">
        <f>W_g!C41/(rat_weight!C41/1000)*0.1578</f>
        <v>22.461621621621624</v>
      </c>
      <c r="D41" s="37">
        <f>W_g!D41/(rat_weight!D41/1000)*0.1578</f>
        <v>22.386686746987944</v>
      </c>
      <c r="E41" s="37">
        <f>W_g!E41/(rat_weight!E41/1000)*0.1578</f>
        <v>23.016390532544367</v>
      </c>
      <c r="F41" s="37">
        <f>W_g!F41/(rat_weight!F41/1000)*0.1578</f>
        <v>26.959486404833825</v>
      </c>
      <c r="G41" s="37">
        <f>W_g!G41/(rat_weight!G41/1000)*0.1578</f>
        <v>31.189794721407623</v>
      </c>
      <c r="H41" s="37">
        <f>W_g!H41/(rat_weight!H41/1000)*0.1578</f>
        <v>23.416967930029152</v>
      </c>
      <c r="I41" s="37">
        <f>W_g!I41/(rat_weight!I41/1000)*0.1578</f>
        <v>-0.13410764872521755</v>
      </c>
      <c r="J41" s="37">
        <f>W_g!J41/(rat_weight!J41/1000)*0.1578</f>
        <v>13.71086455331411</v>
      </c>
      <c r="K41" s="37">
        <f>W_g!K41/(rat_weight!K41/1000)*0.1578</f>
        <v>31.674347826086958</v>
      </c>
      <c r="L41" s="37">
        <f>W_g!L41/(rat_weight!L41/1000)*0.1578</f>
        <v>28.981859154929573</v>
      </c>
      <c r="M41" s="37">
        <f>W_g!M41/(rat_weight!M41/1000)*0.1578</f>
        <v>35.164913793103459</v>
      </c>
      <c r="N41" s="37">
        <f>W_g!N41/(rat_weight!N41/1000)*0.1578</f>
        <v>27.294537815126038</v>
      </c>
      <c r="O41" s="37">
        <f>W_g!O41/(rat_weight!O41/1000)*0.1578</f>
        <v>29.283613445378151</v>
      </c>
      <c r="P41" s="37">
        <f>W_g!P41/(rat_weight!P41/1000)*0.1578</f>
        <v>30.16764705882353</v>
      </c>
      <c r="Q41" s="37">
        <f>W_g!Q41/(rat_weight!Q41/1000)*0.1578</f>
        <v>30.448732394366196</v>
      </c>
      <c r="R41" s="37">
        <f>W_g!R41/(rat_weight!R41/1000)*0.1578</f>
        <v>24.025605633802822</v>
      </c>
      <c r="S41" s="37">
        <f>W_g!S41/(rat_weight!S41/1000)*0.1578</f>
        <v>30.67098591549297</v>
      </c>
      <c r="T41" s="37">
        <f>W_g!T41/(rat_weight!T41/1000)*0.1578</f>
        <v>28.617243243243237</v>
      </c>
      <c r="U41" s="37">
        <f>W_g!U41/(rat_weight!U41/1000)*0.1578</f>
        <v>29.81140540540542</v>
      </c>
      <c r="V41" s="37">
        <f>W_g!V41/(rat_weight!V41/1000)*0.1578</f>
        <v>30.173918918918908</v>
      </c>
      <c r="W41" s="37">
        <f>W_g!W41/(rat_weight!W41/1000)*0.1578</f>
        <v>37.16273936170213</v>
      </c>
      <c r="X41" s="37">
        <f>W_g!X41/(rat_weight!X41/1000)*0.1578</f>
        <v>29.27273936170214</v>
      </c>
      <c r="Y41" s="37">
        <f>W_g!Y41/(rat_weight!Y41/1000)*0.1578</f>
        <v>31.83279255319151</v>
      </c>
      <c r="Z41" s="37">
        <f>W_g!Z41/(rat_weight!Z41/1000)*0.1578</f>
        <v>29.587499999999999</v>
      </c>
      <c r="AA41" s="37">
        <f>W_g!AA41/(rat_weight!AA41/1000)*0.1578</f>
        <v>28.999946808510657</v>
      </c>
      <c r="AB41" s="37">
        <f>W_g!AB41/(rat_weight!AB41/1000)*0.1578</f>
        <v>30.321941489361702</v>
      </c>
      <c r="AC41" s="37">
        <f>W_g!AC41/(rat_weight!AC41/1000)*0.1578</f>
        <v>27.167414248021082</v>
      </c>
      <c r="AD41" s="37">
        <f>W_g!AD41/(rat_weight!AD41/1000)*0.1578</f>
        <v>39.054459102902356</v>
      </c>
      <c r="AE41" s="37">
        <f>W_g!AE41/(rat_weight!AE41/1000)*0.1578</f>
        <v>36.847757255936671</v>
      </c>
      <c r="AF41" s="37">
        <f>W_g!AF41/(rat_weight!AF41/1000)*0.1578</f>
        <v>29.643565891472864</v>
      </c>
      <c r="AG41" s="37">
        <f>W_g!AG41/(rat_weight!AG41/1000)*0.1578</f>
        <v>32.518217054263559</v>
      </c>
      <c r="AH41" s="37">
        <f>W_g!AH41/(rat_weight!AH41/1000)*0.1578</f>
        <v>29.765891472868201</v>
      </c>
      <c r="AI41" s="37">
        <f>W_g!AI41/(rat_weight!AI41/1000)*0.1578</f>
        <v>37.993384615384606</v>
      </c>
      <c r="AJ41" s="37">
        <f>W_g!AJ41/(rat_weight!AJ41/1000)*0.1578</f>
        <v>29.73923076923078</v>
      </c>
      <c r="AK41" s="37">
        <f>W_g!AK41/(rat_weight!AK41/1000)*0.1578</f>
        <v>34.291153846153833</v>
      </c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</row>
    <row r="42" spans="1:85">
      <c r="A42" s="30">
        <v>41</v>
      </c>
      <c r="B42" s="37">
        <f>W_g!B42/(rat_weight!B42/1000)*0.1578</f>
        <v>7.4642805755395703</v>
      </c>
      <c r="C42" s="37">
        <f>W_g!C42/(rat_weight!C42/1000)*0.1578</f>
        <v>4.4925266903914745</v>
      </c>
      <c r="D42" s="37">
        <f>W_g!D42/(rat_weight!D42/1000)*0.1578</f>
        <v>-0.11151943462895308</v>
      </c>
      <c r="E42" s="37">
        <f>W_g!E42/(rat_weight!E42/1000)*0.1578</f>
        <v>-0.16552447552446614</v>
      </c>
      <c r="F42" s="37">
        <f>W_g!F42/(rat_weight!F42/1000)*0.1578</f>
        <v>-2.7113402061846422E-2</v>
      </c>
      <c r="G42" s="37">
        <f>W_g!G42/(rat_weight!G42/1000)*0.1578</f>
        <v>5.4041095890438609E-2</v>
      </c>
      <c r="H42" s="37">
        <f>W_g!H42/(rat_weight!H42/1000)*0.1578</f>
        <v>1.5412184701435577E-14</v>
      </c>
      <c r="I42" s="37">
        <f>W_g!I42/(rat_weight!I42/1000)*0.1578</f>
        <v>5.1737704918015139E-2</v>
      </c>
      <c r="J42" s="37">
        <f>W_g!J42/(rat_weight!J42/1000)*0.1578</f>
        <v>-2.6212624584723569E-2</v>
      </c>
      <c r="K42" s="37">
        <f>W_g!K42/(rat_weight!K42/1000)*0.1578</f>
        <v>-2.5953947368426954E-2</v>
      </c>
      <c r="L42" s="37">
        <f>W_g!L42/(rat_weight!L42/1000)*0.1578</f>
        <v>0</v>
      </c>
      <c r="M42" s="37">
        <f>W_g!M42/(rat_weight!M42/1000)*0.1578</f>
        <v>-2.6387959866196738E-2</v>
      </c>
      <c r="N42" s="37">
        <f>W_g!N42/(rat_weight!N42/1000)*0.1578</f>
        <v>2.5953947368412202E-2</v>
      </c>
      <c r="O42" s="37">
        <f>W_g!O42/(rat_weight!O42/1000)*0.1578</f>
        <v>-2.5953947368426954E-2</v>
      </c>
      <c r="P42" s="37">
        <f>W_g!P42/(rat_weight!P42/1000)*0.1578</f>
        <v>1.3755592105263335</v>
      </c>
      <c r="Q42" s="37">
        <f>W_g!Q42/(rat_weight!Q42/1000)*0.1578</f>
        <v>1.6038688524590281</v>
      </c>
      <c r="R42" s="37">
        <f>W_g!R42/(rat_weight!R42/1000)*0.1578</f>
        <v>0.439770491803261</v>
      </c>
      <c r="S42" s="37">
        <f>W_g!S42/(rat_weight!S42/1000)*0.1578</f>
        <v>5.1737704918059256E-2</v>
      </c>
      <c r="T42" s="37">
        <f>W_g!T42/(rat_weight!T42/1000)*0.1578</f>
        <v>0.66603896103895233</v>
      </c>
      <c r="U42" s="37">
        <f>W_g!U42/(rat_weight!U42/1000)*0.1578</f>
        <v>0.10246753246752664</v>
      </c>
      <c r="V42" s="37">
        <f>W_g!V42/(rat_weight!V42/1000)*0.1578</f>
        <v>0.43548701298701004</v>
      </c>
      <c r="W42" s="37">
        <f>W_g!W42/(rat_weight!W42/1000)*0.1578</f>
        <v>0.12603833865817562</v>
      </c>
      <c r="X42" s="37">
        <f>W_g!X42/(rat_weight!X42/1000)*0.1578</f>
        <v>1.5376677316294129</v>
      </c>
      <c r="Y42" s="37">
        <f>W_g!Y42/(rat_weight!Y42/1000)*0.1578</f>
        <v>7.5623003194891042E-2</v>
      </c>
      <c r="Z42" s="37">
        <f>W_g!Z42/(rat_weight!Z42/1000)*0.1578</f>
        <v>1.0882758620689599</v>
      </c>
      <c r="AA42" s="37">
        <f>W_g!AA42/(rat_weight!AA42/1000)*0.1578</f>
        <v>4.9467084639495618E-2</v>
      </c>
      <c r="AB42" s="37">
        <f>W_g!AB42/(rat_weight!AB42/1000)*0.1578</f>
        <v>1.211943573667706</v>
      </c>
      <c r="AC42" s="37">
        <f>W_g!AC42/(rat_weight!AC42/1000)*0.1578</f>
        <v>1.7877643504531451</v>
      </c>
      <c r="AD42" s="37">
        <f>W_g!AD42/(rat_weight!AD42/1000)*0.1578</f>
        <v>9.5347432024163764E-2</v>
      </c>
      <c r="AE42" s="37">
        <f>W_g!AE42/(rat_weight!AE42/1000)*0.1578</f>
        <v>1.0011480362537601</v>
      </c>
      <c r="AF42" s="37">
        <f>W_g!AF42/(rat_weight!AF42/1000)*0.1578</f>
        <v>-0.99513513513511886</v>
      </c>
      <c r="AG42" s="37">
        <f>W_g!AG42/(rat_weight!AG42/1000)*0.1578</f>
        <v>7.108108108109723E-2</v>
      </c>
      <c r="AH42" s="37">
        <f>W_g!AH42/(rat_weight!AH42/1000)*0.1578</f>
        <v>-0.37909909909911793</v>
      </c>
      <c r="AI42" s="37">
        <f>W_g!AI42/(rat_weight!AI42/1000)*0.1578</f>
        <v>-9.4208955223902019E-2</v>
      </c>
      <c r="AJ42" s="37">
        <f>W_g!AJ42/(rat_weight!AJ42/1000)*0.1578</f>
        <v>-1.3387897755575379E-14</v>
      </c>
      <c r="AK42" s="37">
        <f>W_g!AK42/(rat_weight!AK42/1000)*0.1578</f>
        <v>-2.3552238805988893E-2</v>
      </c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</row>
    <row r="43" spans="1:85">
      <c r="A43" s="30">
        <v>42</v>
      </c>
      <c r="B43" s="37">
        <f>W_g!B43/(rat_weight!B43/1000)*0.1578</f>
        <v>11.908509316770191</v>
      </c>
      <c r="C43" s="37">
        <f>W_g!C43/(rat_weight!C43/1000)*0.1578</f>
        <v>11.44050000000005</v>
      </c>
      <c r="D43" s="37">
        <f>W_g!D43/(rat_weight!D43/1000)*0.1578</f>
        <v>-0.1924390243902056</v>
      </c>
      <c r="E43" s="37">
        <f>W_g!E43/(rat_weight!E43/1000)*0.1578</f>
        <v>12.452891566265054</v>
      </c>
      <c r="F43" s="37">
        <f>W_g!F43/(rat_weight!F43/1000)*0.1578</f>
        <v>10.666111111111071</v>
      </c>
      <c r="G43" s="37">
        <f>W_g!G43/(rat_weight!G43/1000)*0.1578</f>
        <v>9.2767272727272889</v>
      </c>
      <c r="H43" s="37">
        <f>W_g!H43/(rat_weight!H43/1000)*0.1578</f>
        <v>11.16146341463414</v>
      </c>
      <c r="I43" s="37">
        <f>W_g!I43/(rat_weight!I43/1000)*0.1578</f>
        <v>7.3395348837208783</v>
      </c>
      <c r="J43" s="37">
        <f>W_g!J43/(rat_weight!J43/1000)*0.1578</f>
        <v>8.858098159509181</v>
      </c>
      <c r="K43" s="37">
        <f>W_g!K43/(rat_weight!K43/1000)*0.1578</f>
        <v>9.2519642857143065</v>
      </c>
      <c r="L43" s="37">
        <f>W_g!L43/(rat_weight!L43/1000)*0.1578</f>
        <v>9.6052173913043593</v>
      </c>
      <c r="M43" s="37">
        <f>W_g!M43/(rat_weight!M43/1000)*0.1578</f>
        <v>6.5827810650888203</v>
      </c>
      <c r="N43" s="37">
        <f>W_g!N43/(rat_weight!N43/1000)*0.1578</f>
        <v>8.1305487804878194</v>
      </c>
      <c r="O43" s="37">
        <f>W_g!O43/(rat_weight!O43/1000)*0.1578</f>
        <v>6.9759146341462861</v>
      </c>
      <c r="P43" s="37">
        <f>W_g!P43/(rat_weight!P43/1000)*0.1578</f>
        <v>8.5154268292683142</v>
      </c>
      <c r="Q43" s="37">
        <f>W_g!Q43/(rat_weight!Q43/1000)*0.1578</f>
        <v>10.171445783132517</v>
      </c>
      <c r="R43" s="37">
        <f>W_g!R43/(rat_weight!R43/1000)*0.1578</f>
        <v>7.4622289156626174</v>
      </c>
      <c r="S43" s="37">
        <f>W_g!S43/(rat_weight!S43/1000)*0.1578</f>
        <v>6.2739759036145069</v>
      </c>
      <c r="T43" s="37">
        <f>W_g!T43/(rat_weight!T43/1000)*0.1578</f>
        <v>4.943132530120498</v>
      </c>
      <c r="U43" s="37">
        <f>W_g!U43/(rat_weight!U43/1000)*0.1578</f>
        <v>9.7912048192770644</v>
      </c>
      <c r="V43" s="37">
        <f>W_g!V43/(rat_weight!V43/1000)*0.1578</f>
        <v>4.8956024096385589</v>
      </c>
      <c r="W43" s="37">
        <f>W_g!W43/(rat_weight!W43/1000)*0.1578</f>
        <v>6.956272189349102</v>
      </c>
      <c r="X43" s="37">
        <f>W_g!X43/(rat_weight!X43/1000)*0.1578</f>
        <v>1.2605325443786928</v>
      </c>
      <c r="Y43" s="37">
        <f>W_g!Y43/(rat_weight!Y43/1000)*0.1578</f>
        <v>4.3418343195266322</v>
      </c>
      <c r="Z43" s="37">
        <f>W_g!Z43/(rat_weight!Z43/1000)*0.1578</f>
        <v>4.0389285714285821</v>
      </c>
      <c r="AA43" s="37">
        <f>W_g!AA43/(rat_weight!AA43/1000)*0.1578</f>
        <v>2.5360714285714443</v>
      </c>
      <c r="AB43" s="37">
        <f>W_g!AB43/(rat_weight!AB43/1000)*0.1578</f>
        <v>3.5223214285714279</v>
      </c>
      <c r="AC43" s="37">
        <f>W_g!AC43/(rat_weight!AC43/1000)*0.1578</f>
        <v>2.5083815028901215</v>
      </c>
      <c r="AD43" s="37">
        <f>W_g!AD43/(rat_weight!AD43/1000)*0.1578</f>
        <v>3.5573410404624592</v>
      </c>
      <c r="AE43" s="37">
        <f>W_g!AE43/(rat_weight!AE43/1000)*0.1578</f>
        <v>3.6485549132947979</v>
      </c>
      <c r="AF43" s="37">
        <f>W_g!AF43/(rat_weight!AF43/1000)*0.1578</f>
        <v>4.0577142857142858</v>
      </c>
      <c r="AG43" s="37">
        <f>W_g!AG43/(rat_weight!AG43/1000)*0.1578</f>
        <v>2.2091999999999898</v>
      </c>
      <c r="AH43" s="37">
        <f>W_g!AH43/(rat_weight!AH43/1000)*0.1578</f>
        <v>1.5329142857143012</v>
      </c>
      <c r="AI43" s="37">
        <f>W_g!AI43/(rat_weight!AI43/1000)*0.1578</f>
        <v>4.2624137931034385</v>
      </c>
      <c r="AJ43" s="37">
        <f>W_g!AJ43/(rat_weight!AJ43/1000)*0.1578</f>
        <v>4.6251724137930985</v>
      </c>
      <c r="AK43" s="37">
        <f>W_g!AK43/(rat_weight!AK43/1000)*0.1578</f>
        <v>11.01879310344828</v>
      </c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</row>
    <row r="44" spans="1:85">
      <c r="A44" s="30">
        <v>43</v>
      </c>
      <c r="B44" s="37">
        <f>W_g!B44/(rat_weight!B44/1000)*0.1578</f>
        <v>11.428545454545416</v>
      </c>
      <c r="C44" s="37">
        <f>W_g!C44/(rat_weight!C44/1000)*0.1578</f>
        <v>-0.29222222222220562</v>
      </c>
      <c r="D44" s="37">
        <f>W_g!D44/(rat_weight!D44/1000)*0.1578</f>
        <v>-9.6809815950914743E-2</v>
      </c>
      <c r="E44" s="37">
        <f>W_g!E44/(rat_weight!E44/1000)*0.1578</f>
        <v>-0.18674556213019342</v>
      </c>
      <c r="F44" s="37">
        <f>W_g!F44/(rat_weight!F44/1000)*0.1578</f>
        <v>6.0137195121951486</v>
      </c>
      <c r="G44" s="37">
        <f>W_g!G44/(rat_weight!G44/1000)*0.1578</f>
        <v>1.2283832335329179</v>
      </c>
      <c r="H44" s="37">
        <f>W_g!H44/(rat_weight!H44/1000)*0.1578</f>
        <v>-0.28690909090907457</v>
      </c>
      <c r="I44" s="37">
        <f>W_g!I44/(rat_weight!I44/1000)*0.1578</f>
        <v>3.268047337278106</v>
      </c>
      <c r="J44" s="37">
        <f>W_g!J44/(rat_weight!J44/1000)*0.1578</f>
        <v>4.6330813953487953</v>
      </c>
      <c r="K44" s="37">
        <f>W_g!K44/(rat_weight!K44/1000)*0.1578</f>
        <v>7.0819879518072177</v>
      </c>
      <c r="L44" s="37">
        <f>W_g!L44/(rat_weight!L44/1000)*0.1578</f>
        <v>4.7903571428571103</v>
      </c>
      <c r="M44" s="37">
        <f>W_g!M44/(rat_weight!M44/1000)*0.1578</f>
        <v>2.6929940119760691</v>
      </c>
      <c r="N44" s="37">
        <f>W_g!N44/(rat_weight!N44/1000)*0.1578</f>
        <v>2.2474545454545396</v>
      </c>
      <c r="O44" s="37">
        <f>W_g!O44/(rat_weight!O44/1000)*0.1578</f>
        <v>6.9336363636363636</v>
      </c>
      <c r="P44" s="37">
        <f>W_g!P44/(rat_weight!P44/1000)*0.1578</f>
        <v>5.0209090909090905</v>
      </c>
      <c r="Q44" s="37">
        <f>W_g!Q44/(rat_weight!Q44/1000)*0.1578</f>
        <v>6.4976470588235289</v>
      </c>
      <c r="R44" s="37">
        <f>W_g!R44/(rat_weight!R44/1000)*0.1578</f>
        <v>3.7593529411765334</v>
      </c>
      <c r="S44" s="37">
        <f>W_g!S44/(rat_weight!S44/1000)*0.1578</f>
        <v>3.9914117647059193</v>
      </c>
      <c r="T44" s="37">
        <f>W_g!T44/(rat_weight!T44/1000)*0.1578</f>
        <v>4.7339999999999947</v>
      </c>
      <c r="U44" s="37">
        <f>W_g!U44/(rat_weight!U44/1000)*0.1578</f>
        <v>4.0842352941176783</v>
      </c>
      <c r="V44" s="37">
        <f>W_g!V44/(rat_weight!V44/1000)*0.1578</f>
        <v>4.3162941176470637</v>
      </c>
      <c r="W44" s="37">
        <f>W_g!W44/(rat_weight!W44/1000)*0.1578</f>
        <v>4.1987719298245709</v>
      </c>
      <c r="X44" s="37">
        <f>W_g!X44/(rat_weight!X44/1000)*0.1578</f>
        <v>1.6149122807017804</v>
      </c>
      <c r="Y44" s="37">
        <f>W_g!Y44/(rat_weight!Y44/1000)*0.1578</f>
        <v>0.78438596491232782</v>
      </c>
      <c r="Z44" s="37">
        <f>W_g!Z44/(rat_weight!Z44/1000)*0.1578</f>
        <v>5.7623595505617971</v>
      </c>
      <c r="AA44" s="37">
        <f>W_g!AA44/(rat_weight!AA44/1000)*0.1578</f>
        <v>3.5460674157304131</v>
      </c>
      <c r="AB44" s="37">
        <f>W_g!AB44/(rat_weight!AB44/1000)*0.1578</f>
        <v>4.3882584269662317</v>
      </c>
      <c r="AC44" s="37">
        <f>W_g!AC44/(rat_weight!AC44/1000)*0.1578</f>
        <v>6.1416477272727477</v>
      </c>
      <c r="AD44" s="37">
        <f>W_g!AD44/(rat_weight!AD44/1000)*0.1578</f>
        <v>1.2552272727272524</v>
      </c>
      <c r="AE44" s="37">
        <f>W_g!AE44/(rat_weight!AE44/1000)*0.1578</f>
        <v>2.1518181818181614</v>
      </c>
      <c r="AF44" s="37">
        <f>W_g!AF44/(rat_weight!AF44/1000)*0.1578</f>
        <v>2.3179661016949353</v>
      </c>
      <c r="AG44" s="37">
        <f>W_g!AG44/(rat_weight!AG44/1000)*0.1578</f>
        <v>4.9479661016949255</v>
      </c>
      <c r="AH44" s="37">
        <f>W_g!AH44/(rat_weight!AH44/1000)*0.1578</f>
        <v>2.4071186440678121</v>
      </c>
      <c r="AI44" s="37">
        <f>W_g!AI44/(rat_weight!AI44/1000)*0.1578</f>
        <v>3.9227118644067596</v>
      </c>
      <c r="AJ44" s="37">
        <f>W_g!AJ44/(rat_weight!AJ44/1000)*0.1578</f>
        <v>2.5854237288135646</v>
      </c>
      <c r="AK44" s="37">
        <f>W_g!AK44/(rat_weight!AK44/1000)*0.1578</f>
        <v>2.0950847457627071</v>
      </c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</row>
    <row r="45" spans="1:85">
      <c r="A45" s="30">
        <v>44</v>
      </c>
      <c r="B45" s="37">
        <f>W_g!B45/(rat_weight!B45/1000)*0.1578</f>
        <v>12.778705882352909</v>
      </c>
      <c r="C45" s="37">
        <f>W_g!C45/(rat_weight!C45/1000)*0.1578</f>
        <v>4.6978625954198714</v>
      </c>
      <c r="D45" s="37">
        <f>W_g!D45/(rat_weight!D45/1000)*0.1578</f>
        <v>2.2284732824427582</v>
      </c>
      <c r="E45" s="37">
        <f>W_g!E45/(rat_weight!E45/1000)*0.1578</f>
        <v>6.106436781609192</v>
      </c>
      <c r="F45" s="37">
        <f>W_g!F45/(rat_weight!F45/1000)*0.1578</f>
        <v>3.0185227272727171</v>
      </c>
      <c r="G45" s="37">
        <f>W_g!G45/(rat_weight!G45/1000)*0.1578</f>
        <v>1.686412213740482</v>
      </c>
      <c r="H45" s="37">
        <f>W_g!H45/(rat_weight!H45/1000)*0.1578</f>
        <v>4.1243181818181514</v>
      </c>
      <c r="I45" s="37">
        <f>W_g!I45/(rat_weight!I45/1000)*0.1578</f>
        <v>3.1441353383458712</v>
      </c>
      <c r="J45" s="37">
        <f>W_g!J45/(rat_weight!J45/1000)*0.1578</f>
        <v>2.6100000000000136</v>
      </c>
      <c r="K45" s="37">
        <f>W_g!K45/(rat_weight!K45/1000)*0.1578</f>
        <v>2.3757992565055828</v>
      </c>
      <c r="L45" s="37">
        <f>W_g!L45/(rat_weight!L45/1000)*0.1578</f>
        <v>4.1805223880597149</v>
      </c>
      <c r="M45" s="37">
        <f>W_g!M45/(rat_weight!M45/1000)*0.1578</f>
        <v>4.9602573529411824</v>
      </c>
      <c r="N45" s="37">
        <f>W_g!N45/(rat_weight!N45/1000)*0.1578</f>
        <v>4.0731768953068617</v>
      </c>
      <c r="O45" s="37">
        <f>W_g!O45/(rat_weight!O45/1000)*0.1578</f>
        <v>2.8768592057761793</v>
      </c>
      <c r="P45" s="37">
        <f>W_g!P45/(rat_weight!P45/1000)*0.1578</f>
        <v>4.0731768953068457</v>
      </c>
      <c r="Q45" s="37">
        <f>W_g!Q45/(rat_weight!Q45/1000)*0.1578</f>
        <v>5.2028260869565344</v>
      </c>
      <c r="R45" s="37">
        <f>W_g!R45/(rat_weight!R45/1000)*0.1578</f>
        <v>2.4870652173913173</v>
      </c>
      <c r="S45" s="37">
        <f>W_g!S45/(rat_weight!S45/1000)*0.1578</f>
        <v>6.6321739130435073</v>
      </c>
      <c r="T45" s="37">
        <f>W_g!T45/(rat_weight!T45/1000)*0.1578</f>
        <v>4.8895774647887231</v>
      </c>
      <c r="U45" s="37">
        <f>W_g!U45/(rat_weight!U45/1000)*0.1578</f>
        <v>3.0559859154929576</v>
      </c>
      <c r="V45" s="37">
        <f>W_g!V45/(rat_weight!V45/1000)*0.1578</f>
        <v>2.2503169014084414</v>
      </c>
      <c r="W45" s="37">
        <f>W_g!W45/(rat_weight!W45/1000)*0.1578</f>
        <v>3.3087096774193672</v>
      </c>
      <c r="X45" s="37">
        <f>W_g!X45/(rat_weight!X45/1000)*0.1578</f>
        <v>1.4988172043010781</v>
      </c>
      <c r="Y45" s="37">
        <f>W_g!Y45/(rat_weight!Y45/1000)*0.1578</f>
        <v>1.0463440860215021</v>
      </c>
      <c r="Z45" s="37">
        <f>W_g!Z45/(rat_weight!Z45/1000)*0.1578</f>
        <v>2.8939100346020514</v>
      </c>
      <c r="AA45" s="37">
        <f>W_g!AA45/(rat_weight!AA45/1000)*0.1578</f>
        <v>0.65522491349481904</v>
      </c>
      <c r="AB45" s="37">
        <f>W_g!AB45/(rat_weight!AB45/1000)*0.1578</f>
        <v>2.2659861591695378</v>
      </c>
      <c r="AC45" s="37">
        <f>W_g!AC45/(rat_weight!AC45/1000)*0.1578</f>
        <v>1.3985618729096869</v>
      </c>
      <c r="AD45" s="37">
        <f>W_g!AD45/(rat_weight!AD45/1000)*0.1578</f>
        <v>1.2138461538461598</v>
      </c>
      <c r="AE45" s="37">
        <f>W_g!AE45/(rat_weight!AE45/1000)*0.1578</f>
        <v>1.2138461538461598</v>
      </c>
      <c r="AF45" s="37">
        <f>W_g!AF45/(rat_weight!AF45/1000)*0.1578</f>
        <v>2.8122772277227606</v>
      </c>
      <c r="AG45" s="37">
        <f>W_g!AG45/(rat_weight!AG45/1000)*0.1578</f>
        <v>1.0676237623762435</v>
      </c>
      <c r="AH45" s="37">
        <f>W_g!AH45/(rat_weight!AH45/1000)*0.1578</f>
        <v>0.31247524752474953</v>
      </c>
      <c r="AI45" s="37">
        <f>W_g!AI45/(rat_weight!AI45/1000)*0.1578</f>
        <v>0.30840390879477075</v>
      </c>
      <c r="AJ45" s="37">
        <f>W_g!AJ45/(rat_weight!AJ45/1000)*0.1578</f>
        <v>1.2336156351791561</v>
      </c>
      <c r="AK45" s="37">
        <f>W_g!AK45/(rat_weight!AK45/1000)*0.1578</f>
        <v>1.3621172638436512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</row>
    <row r="46" spans="1:85">
      <c r="A46" s="30">
        <v>45</v>
      </c>
      <c r="B46" s="37">
        <f>W_g!B46/(rat_weight!B46/1000)*0.1578</f>
        <v>7.7480935251798586</v>
      </c>
      <c r="C46" s="37">
        <f>W_g!C46/(rat_weight!C46/1000)*0.1578</f>
        <v>10.57536842105266</v>
      </c>
      <c r="D46" s="37">
        <f>W_g!D46/(rat_weight!D46/1000)*0.1578</f>
        <v>10.933285714285716</v>
      </c>
      <c r="E46" s="37">
        <f>W_g!E46/(rat_weight!E46/1000)*0.1578</f>
        <v>10.538391608391606</v>
      </c>
      <c r="F46" s="37">
        <f>W_g!F46/(rat_weight!F46/1000)*0.1578</f>
        <v>4.903854166666676</v>
      </c>
      <c r="G46" s="37">
        <f>W_g!G46/(rat_weight!G46/1000)*0.1578</f>
        <v>6.4002797202797179</v>
      </c>
      <c r="H46" s="37">
        <f>W_g!H46/(rat_weight!H46/1000)*0.1578</f>
        <v>8.2233802816901314</v>
      </c>
      <c r="I46" s="37">
        <f>W_g!I46/(rat_weight!I46/1000)*0.1578</f>
        <v>7.3495890410959035</v>
      </c>
      <c r="J46" s="37">
        <f>W_g!J46/(rat_weight!J46/1000)*0.1578</f>
        <v>5.2691958041958111</v>
      </c>
      <c r="K46" s="37">
        <f>W_g!K46/(rat_weight!K46/1000)*0.1578</f>
        <v>4.1060204081632534</v>
      </c>
      <c r="L46" s="37">
        <f>W_g!L46/(rat_weight!L46/1000)*0.1578</f>
        <v>8.3509278350515643</v>
      </c>
      <c r="M46" s="37">
        <f>W_g!M46/(rat_weight!M46/1000)*0.1578</f>
        <v>5.0355972696245859</v>
      </c>
      <c r="N46" s="37">
        <f>W_g!N46/(rat_weight!N46/1000)*0.1578</f>
        <v>3.5153465346534509</v>
      </c>
      <c r="O46" s="37">
        <f>W_g!O46/(rat_weight!O46/1000)*0.1578</f>
        <v>3.3591089108910834</v>
      </c>
      <c r="P46" s="37">
        <f>W_g!P46/(rat_weight!P46/1000)*0.1578</f>
        <v>5.3901980198019928</v>
      </c>
      <c r="Q46" s="37">
        <f>W_g!Q46/(rat_weight!Q46/1000)*0.1578</f>
        <v>4.1723389830508539</v>
      </c>
      <c r="R46" s="37">
        <f>W_g!R46/(rat_weight!R46/1000)*0.1578</f>
        <v>4.6805084745762713</v>
      </c>
      <c r="S46" s="37">
        <f>W_g!S46/(rat_weight!S46/1000)*0.1578</f>
        <v>2.3001355932203298</v>
      </c>
      <c r="T46" s="37">
        <f>W_g!T46/(rat_weight!T46/1000)*0.1578</f>
        <v>4.8553846153845948</v>
      </c>
      <c r="U46" s="37">
        <f>W_g!U46/(rat_weight!U46/1000)*0.1578</f>
        <v>5.8053511705685619</v>
      </c>
      <c r="V46" s="37">
        <f>W_g!V46/(rat_weight!V46/1000)*0.1578</f>
        <v>5.6734113712374734</v>
      </c>
      <c r="W46" s="37">
        <f>W_g!W46/(rat_weight!W46/1000)*0.1578</f>
        <v>2.338729641693817</v>
      </c>
      <c r="X46" s="37">
        <f>W_g!X46/(rat_weight!X46/1000)*0.1578</f>
        <v>5.2685667752443139</v>
      </c>
      <c r="Y46" s="37">
        <f>W_g!Y46/(rat_weight!Y46/1000)*0.1578</f>
        <v>4.2405537459283238</v>
      </c>
      <c r="Z46" s="37">
        <f>W_g!Z46/(rat_weight!Z46/1000)*0.1578</f>
        <v>3.218289473684234</v>
      </c>
      <c r="AA46" s="37">
        <f>W_g!AA46/(rat_weight!AA46/1000)*0.1578</f>
        <v>5.5022368421052894</v>
      </c>
      <c r="AB46" s="37">
        <f>W_g!AB46/(rat_weight!AB46/1000)*0.1578</f>
        <v>4.801480263157865</v>
      </c>
      <c r="AC46" s="37">
        <f>W_g!AC46/(rat_weight!AC46/1000)*0.1578</f>
        <v>4.0599029126213528</v>
      </c>
      <c r="AD46" s="37">
        <f>W_g!AD46/(rat_weight!AD46/1000)*0.1578</f>
        <v>5.3621359223300971</v>
      </c>
      <c r="AE46" s="37">
        <f>W_g!AE46/(rat_weight!AE46/1000)*0.1578</f>
        <v>3.7790291262135809</v>
      </c>
      <c r="AF46" s="37">
        <f>W_g!AF46/(rat_weight!AF46/1000)*0.1578</f>
        <v>3.1151456310679726</v>
      </c>
      <c r="AG46" s="37">
        <f>W_g!AG46/(rat_weight!AG46/1000)*0.1578</f>
        <v>3.0896116504854425</v>
      </c>
      <c r="AH46" s="37">
        <f>W_g!AH46/(rat_weight!AH46/1000)*0.1578</f>
        <v>3.5236893203883528</v>
      </c>
      <c r="AI46" s="37">
        <f>W_g!AI46/(rat_weight!AI46/1000)*0.1578</f>
        <v>2.1005844155844273</v>
      </c>
      <c r="AJ46" s="37">
        <f>W_g!AJ46/(rat_weight!AJ46/1000)*0.1578</f>
        <v>4.1499350649350619</v>
      </c>
      <c r="AK46" s="37">
        <f>W_g!AK46/(rat_weight!AK46/1000)*0.1578</f>
        <v>7.8643831168830856</v>
      </c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</row>
    <row r="47" spans="1:85">
      <c r="A47" s="30">
        <v>46</v>
      </c>
      <c r="B47" s="37">
        <f>W_g!B47/(rat_weight!B47/1000)*0.1578</f>
        <v>1.9088709677419251</v>
      </c>
      <c r="C47" s="37">
        <f>W_g!C47/(rat_weight!C47/1000)*0.1578</f>
        <v>-0.10710407239818395</v>
      </c>
      <c r="D47" s="37">
        <f>W_g!D47/(rat_weight!D47/1000)*0.1578</f>
        <v>1.5248089887640588</v>
      </c>
      <c r="E47" s="37">
        <f>W_g!E47/(rat_weight!E47/1000)*0.1578</f>
        <v>1.7726431718061653</v>
      </c>
      <c r="F47" s="37">
        <f>W_g!F47/(rat_weight!F47/1000)*0.1578</f>
        <v>3.1172544642857125</v>
      </c>
      <c r="G47" s="37">
        <f>W_g!G47/(rat_weight!G47/1000)*0.1578</f>
        <v>0.2090066225165543</v>
      </c>
      <c r="H47" s="37">
        <f>W_g!H47/(rat_weight!H47/1000)*0.1578</f>
        <v>-0.13842105263158089</v>
      </c>
      <c r="I47" s="37">
        <f>W_g!I47/(rat_weight!I47/1000)*0.1578</f>
        <v>0.5036170212765958</v>
      </c>
      <c r="J47" s="37">
        <f>W_g!J47/(rat_weight!J47/1000)*0.1578</f>
        <v>5.0254777070056079E-2</v>
      </c>
      <c r="K47" s="37">
        <f>W_g!K47/(rat_weight!K47/1000)*0.1578</f>
        <v>8.3052631578947364E-2</v>
      </c>
      <c r="L47" s="37">
        <f>W_g!L47/(rat_weight!L47/1000)*0.1578</f>
        <v>3.280665280664162E-2</v>
      </c>
      <c r="M47" s="37">
        <f>W_g!M47/(rat_weight!M47/1000)*0.1578</f>
        <v>0.27712809917356113</v>
      </c>
      <c r="N47" s="37">
        <f>W_g!N47/(rat_weight!N47/1000)*0.1578</f>
        <v>0.72607361963189276</v>
      </c>
      <c r="O47" s="37">
        <f>W_g!O47/(rat_weight!O47/1000)*0.1578</f>
        <v>0.3388343558282062</v>
      </c>
      <c r="P47" s="37">
        <f>W_g!P47/(rat_weight!P47/1000)*0.1578</f>
        <v>0.91969325153374959</v>
      </c>
      <c r="Q47" s="37">
        <f>W_g!Q47/(rat_weight!Q47/1000)*0.1578</f>
        <v>0.15971659919028339</v>
      </c>
      <c r="R47" s="37">
        <f>W_g!R47/(rat_weight!R47/1000)*0.1578</f>
        <v>0.55900809716601008</v>
      </c>
      <c r="S47" s="37">
        <f>W_g!S47/(rat_weight!S47/1000)*0.1578</f>
        <v>9.0788375467970688E-15</v>
      </c>
      <c r="T47" s="37">
        <f>W_g!T47/(rat_weight!T47/1000)*0.1578</f>
        <v>0.2240567951318331</v>
      </c>
      <c r="U47" s="37">
        <f>W_g!U47/(rat_weight!U47/1000)*0.1578</f>
        <v>9.6024340770776526E-2</v>
      </c>
      <c r="V47" s="37">
        <f>W_g!V47/(rat_weight!V47/1000)*0.1578</f>
        <v>0.30407707910751053</v>
      </c>
      <c r="W47" s="37">
        <f>W_g!W47/(rat_weight!W47/1000)*0.1578</f>
        <v>2.2249800000000035</v>
      </c>
      <c r="X47" s="37">
        <f>W_g!X47/(rat_weight!X47/1000)*0.1578</f>
        <v>0.11046000000001614</v>
      </c>
      <c r="Y47" s="37">
        <f>W_g!Y47/(rat_weight!Y47/1000)*0.1578</f>
        <v>7.8899999999991033E-2</v>
      </c>
      <c r="Z47" s="37">
        <f>W_g!Z47/(rat_weight!Z47/1000)*0.1578</f>
        <v>0.72733466933868096</v>
      </c>
      <c r="AA47" s="37">
        <f>W_g!AA47/(rat_weight!AA47/1000)*0.1578</f>
        <v>0.12649298597194567</v>
      </c>
      <c r="AB47" s="37">
        <f>W_g!AB47/(rat_weight!AB47/1000)*0.1578</f>
        <v>0.26879759519038798</v>
      </c>
      <c r="AC47" s="37">
        <f>W_g!AC47/(rat_weight!AC47/1000)*0.1578</f>
        <v>0.10980119284293163</v>
      </c>
      <c r="AD47" s="37">
        <f>W_g!AD47/(rat_weight!AD47/1000)*0.1578</f>
        <v>6.2743538767392054E-2</v>
      </c>
      <c r="AE47" s="37">
        <f>W_g!AE47/(rat_weight!AE47/1000)*0.1578</f>
        <v>0.12548707753478411</v>
      </c>
      <c r="AF47" s="37">
        <f>W_g!AF47/(rat_weight!AF47/1000)*0.1578</f>
        <v>0</v>
      </c>
      <c r="AG47" s="37">
        <f>W_g!AG47/(rat_weight!AG47/1000)*0.1578</f>
        <v>0.11068136272545809</v>
      </c>
      <c r="AH47" s="37">
        <f>W_g!AH47/(rat_weight!AH47/1000)*0.1578</f>
        <v>-0.22136272545090721</v>
      </c>
      <c r="AI47" s="37">
        <f>W_g!AI47/(rat_weight!AI47/1000)*0.1578</f>
        <v>0.62619047619047619</v>
      </c>
      <c r="AJ47" s="37">
        <f>W_g!AJ47/(rat_weight!AJ47/1000)*0.1578</f>
        <v>6.2619047619035154E-2</v>
      </c>
      <c r="AK47" s="37">
        <f>W_g!AK47/(rat_weight!AK47/1000)*0.1578</f>
        <v>1.5654761904756564E-2</v>
      </c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</row>
    <row r="48" spans="1:85">
      <c r="A48" s="30">
        <v>47</v>
      </c>
      <c r="B48" s="37">
        <f>W_g!B48/(rat_weight!B48/1000)*0.1578</f>
        <v>7.2385321100920164E-2</v>
      </c>
      <c r="C48" s="37">
        <f>W_g!C48/(rat_weight!C48/1000)*0.1578</f>
        <v>8.0767455621301689</v>
      </c>
      <c r="D48" s="37">
        <f>W_g!D48/(rat_weight!D48/1000)*0.1578</f>
        <v>4.9135329341317391</v>
      </c>
      <c r="E48" s="37">
        <f>W_g!E48/(rat_weight!E48/1000)*0.1578</f>
        <v>0.55046511627905148</v>
      </c>
      <c r="F48" s="37">
        <f>W_g!F48/(rat_weight!F48/1000)*0.1578</f>
        <v>8.0053508771929796</v>
      </c>
      <c r="G48" s="37">
        <f>W_g!G48/(rat_weight!G48/1000)*0.1578</f>
        <v>9.9253913043478352</v>
      </c>
      <c r="H48" s="37">
        <f>W_g!H48/(rat_weight!H48/1000)*0.1578</f>
        <v>9.8796521739130405</v>
      </c>
      <c r="I48" s="37">
        <f>W_g!I48/(rat_weight!I48/1000)*0.1578</f>
        <v>5.4142521994134842</v>
      </c>
      <c r="J48" s="37">
        <f>W_g!J48/(rat_weight!J48/1000)*0.1578</f>
        <v>5.7981268011527121</v>
      </c>
      <c r="K48" s="37">
        <f>W_g!K48/(rat_weight!K48/1000)*0.1578</f>
        <v>2.4470434782608539</v>
      </c>
      <c r="L48" s="37">
        <f>W_g!L48/(rat_weight!L48/1000)*0.1578</f>
        <v>8.2291117478509985</v>
      </c>
      <c r="M48" s="37">
        <f>W_g!M48/(rat_weight!M48/1000)*0.1578</f>
        <v>8.7085590778098148</v>
      </c>
      <c r="N48" s="37">
        <f>W_g!N48/(rat_weight!N48/1000)*0.1578</f>
        <v>6.3258017492711236</v>
      </c>
      <c r="O48" s="37">
        <f>W_g!O48/(rat_weight!O48/1000)*0.1578</f>
        <v>8.3040524781340892</v>
      </c>
      <c r="P48" s="37">
        <f>W_g!P48/(rat_weight!P48/1000)*0.1578</f>
        <v>7.1999125364431373</v>
      </c>
      <c r="Q48" s="37">
        <f>W_g!Q48/(rat_weight!Q48/1000)*0.1578</f>
        <v>7.9127377521613989</v>
      </c>
      <c r="R48" s="37">
        <f>W_g!R48/(rat_weight!R48/1000)*0.1578</f>
        <v>10.709481268011533</v>
      </c>
      <c r="S48" s="37">
        <f>W_g!S48/(rat_weight!S48/1000)*0.1578</f>
        <v>8.6858213256484387</v>
      </c>
      <c r="T48" s="37">
        <f>W_g!T48/(rat_weight!T48/1000)*0.1578</f>
        <v>8.7109248554913279</v>
      </c>
      <c r="U48" s="37">
        <f>W_g!U48/(rat_weight!U48/1000)*0.1578</f>
        <v>9.4862427745664792</v>
      </c>
      <c r="V48" s="37">
        <f>W_g!V48/(rat_weight!V48/1000)*0.1578</f>
        <v>9.3266184971098358</v>
      </c>
      <c r="W48" s="37">
        <f>W_g!W48/(rat_weight!W48/1000)*0.1578</f>
        <v>7.2882203389830611</v>
      </c>
      <c r="X48" s="37">
        <f>W_g!X48/(rat_weight!X48/1000)*0.1578</f>
        <v>7.2436440677966223</v>
      </c>
      <c r="Y48" s="37">
        <f>W_g!Y48/(rat_weight!Y48/1000)*0.1578</f>
        <v>6.2183898305084577</v>
      </c>
      <c r="Z48" s="37">
        <f>W_g!Z48/(rat_weight!Z48/1000)*0.1578</f>
        <v>7.1925414364640883</v>
      </c>
      <c r="AA48" s="37">
        <f>W_g!AA48/(rat_weight!AA48/1000)*0.1578</f>
        <v>6.7130386740331511</v>
      </c>
      <c r="AB48" s="37">
        <f>W_g!AB48/(rat_weight!AB48/1000)*0.1578</f>
        <v>5.5578729281767956</v>
      </c>
      <c r="AC48" s="37">
        <f>W_g!AC48/(rat_weight!AC48/1000)*0.1578</f>
        <v>4.7166115702479194</v>
      </c>
      <c r="AD48" s="37">
        <f>W_g!AD48/(rat_weight!AD48/1000)*0.1578</f>
        <v>7.6074380165289259</v>
      </c>
      <c r="AE48" s="37">
        <f>W_g!AE48/(rat_weight!AE48/1000)*0.1578</f>
        <v>6.4337190082644682</v>
      </c>
      <c r="AF48" s="37">
        <f>W_g!AF48/(rat_weight!AF48/1000)*0.1578</f>
        <v>8.021500000000005</v>
      </c>
      <c r="AG48" s="37">
        <f>W_g!AG48/(rat_weight!AG48/1000)*0.1578</f>
        <v>5.764083333333323</v>
      </c>
      <c r="AH48" s="37">
        <f>W_g!AH48/(rat_weight!AH48/1000)*0.1578</f>
        <v>6.5311666666666444</v>
      </c>
      <c r="AI48" s="37">
        <f>W_g!AI48/(rat_weight!AI48/1000)*0.1578</f>
        <v>11.716109589041105</v>
      </c>
      <c r="AJ48" s="37">
        <f>W_g!AJ48/(rat_weight!AJ48/1000)*0.1578</f>
        <v>6.874027397260277</v>
      </c>
      <c r="AK48" s="37">
        <f>W_g!AK48/(rat_weight!AK48/1000)*0.1578</f>
        <v>8.2358630136986228</v>
      </c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</row>
    <row r="49" spans="1:85">
      <c r="A49" s="30">
        <v>48</v>
      </c>
      <c r="B49" s="37">
        <f>W_g!B49/(rat_weight!B49/1000)*0.1578</f>
        <v>3.8551838879159419</v>
      </c>
      <c r="C49" s="37">
        <f>W_g!C49/(rat_weight!C49/1000)*0.1578</f>
        <v>-8.290718038528426E-2</v>
      </c>
      <c r="D49" s="37">
        <f>W_g!D49/(rat_weight!D49/1000)*0.1578</f>
        <v>8.4990051457976001</v>
      </c>
      <c r="E49" s="37">
        <f>W_g!E49/(rat_weight!E49/1000)*0.1578</f>
        <v>7.1143728813559157</v>
      </c>
      <c r="F49" s="37">
        <f>W_g!F49/(rat_weight!F49/1000)*0.1578</f>
        <v>5.953966386554626</v>
      </c>
      <c r="G49" s="37">
        <f>W_g!G49/(rat_weight!G49/1000)*0.1578</f>
        <v>4.0797073170731863</v>
      </c>
      <c r="H49" s="37">
        <f>W_g!H49/(rat_weight!H49/1000)*0.1578</f>
        <v>4.4741256366723157</v>
      </c>
      <c r="I49" s="37">
        <f>W_g!I49/(rat_weight!I49/1000)*0.1578</f>
        <v>3.4015235008103755</v>
      </c>
      <c r="J49" s="37">
        <f>W_g!J49/(rat_weight!J49/1000)*0.1578</f>
        <v>4.1383823529411643</v>
      </c>
      <c r="K49" s="37">
        <f>W_g!K49/(rat_weight!K49/1000)*0.1578</f>
        <v>3.9893258426966294</v>
      </c>
      <c r="L49" s="37">
        <f>W_g!L49/(rat_weight!L49/1000)*0.1578</f>
        <v>2.9745047923322709</v>
      </c>
      <c r="M49" s="37">
        <f>W_g!M49/(rat_weight!M49/1000)*0.1578</f>
        <v>3.2282938388625704</v>
      </c>
      <c r="N49" s="37">
        <f>W_g!N49/(rat_weight!N49/1000)*0.1578</f>
        <v>3.4214351851851812</v>
      </c>
      <c r="O49" s="37">
        <f>W_g!O49/(rat_weight!O49/1000)*0.1578</f>
        <v>3.2509722222222277</v>
      </c>
      <c r="P49" s="37">
        <f>W_g!P49/(rat_weight!P49/1000)*0.1578</f>
        <v>2.4717129629629575</v>
      </c>
      <c r="Q49" s="37">
        <f>W_g!Q49/(rat_weight!Q49/1000)*0.1578</f>
        <v>3.7739910313901341</v>
      </c>
      <c r="R49" s="37">
        <f>W_g!R49/(rat_weight!R49/1000)*0.1578</f>
        <v>3.1960986547085359</v>
      </c>
      <c r="S49" s="37">
        <f>W_g!S49/(rat_weight!S49/1000)*0.1578</f>
        <v>2.9012556053811616</v>
      </c>
      <c r="T49" s="37">
        <f>W_g!T49/(rat_weight!T49/1000)*0.1578</f>
        <v>5.5653701015965256</v>
      </c>
      <c r="U49" s="37">
        <f>W_g!U49/(rat_weight!U49/1000)*0.1578</f>
        <v>3.4125108853410691</v>
      </c>
      <c r="V49" s="37">
        <f>W_g!V49/(rat_weight!V49/1000)*0.1578</f>
        <v>2.5307547169811286</v>
      </c>
      <c r="W49" s="37">
        <f>W_g!W49/(rat_weight!W49/1000)*0.1578</f>
        <v>2.4180863309352598</v>
      </c>
      <c r="X49" s="37">
        <f>W_g!X49/(rat_weight!X49/1000)*0.1578</f>
        <v>1.39635971223023</v>
      </c>
      <c r="Y49" s="37">
        <f>W_g!Y49/(rat_weight!Y49/1000)*0.1578</f>
        <v>1.8050503597122212</v>
      </c>
      <c r="Z49" s="37">
        <f>W_g!Z49/(rat_weight!Z49/1000)*0.1578</f>
        <v>4.2139772727272629</v>
      </c>
      <c r="AA49" s="37">
        <f>W_g!AA49/(rat_weight!AA49/1000)*0.1578</f>
        <v>2.2414772727272791</v>
      </c>
      <c r="AB49" s="37">
        <f>W_g!AB49/(rat_weight!AB49/1000)*0.1578</f>
        <v>3.776889204545447</v>
      </c>
      <c r="AC49" s="37">
        <f>W_g!AC49/(rat_weight!AC49/1000)*0.1578</f>
        <v>2.0414685314685315</v>
      </c>
      <c r="AD49" s="37">
        <f>W_g!AD49/(rat_weight!AD49/1000)*0.1578</f>
        <v>0.94900699300699554</v>
      </c>
      <c r="AE49" s="37">
        <f>W_g!AE49/(rat_weight!AE49/1000)*0.1578</f>
        <v>2.1187132867132918</v>
      </c>
      <c r="AF49" s="37">
        <f>W_g!AF49/(rat_weight!AF49/1000)*0.1578</f>
        <v>1.820769230769226</v>
      </c>
      <c r="AG49" s="37">
        <f>W_g!AG49/(rat_weight!AG49/1000)*0.1578</f>
        <v>2.2867994505494527</v>
      </c>
      <c r="AH49" s="37">
        <f>W_g!AH49/(rat_weight!AH49/1000)*0.1578</f>
        <v>1.3872527472527485</v>
      </c>
      <c r="AI49" s="37">
        <f>W_g!AI49/(rat_weight!AI49/1000)*0.1578</f>
        <v>1.3519678714859389</v>
      </c>
      <c r="AJ49" s="37">
        <f>W_g!AJ49/(rat_weight!AJ49/1000)*0.1578</f>
        <v>1.4364658634538114</v>
      </c>
      <c r="AK49" s="37">
        <f>W_g!AK49/(rat_weight!AK49/1000)*0.1578</f>
        <v>2.1863855421686735</v>
      </c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</row>
    <row r="50" spans="1:85">
      <c r="A50" s="30">
        <v>49</v>
      </c>
      <c r="B50" s="37">
        <f>W_g!B50/(rat_weight!B50/1000)*0.1578</f>
        <v>9.7789502762430782</v>
      </c>
      <c r="C50" s="37">
        <f>W_g!C50/(rat_weight!C50/1000)*0.1578</f>
        <v>-8.7343173431729343E-2</v>
      </c>
      <c r="D50" s="37">
        <f>W_g!D50/(rat_weight!D50/1000)*0.1578</f>
        <v>9.7934806629834288</v>
      </c>
      <c r="E50" s="37">
        <f>W_g!E50/(rat_weight!E50/1000)*0.1578</f>
        <v>11.063468634686338</v>
      </c>
      <c r="F50" s="37">
        <f>W_g!F50/(rat_weight!F50/1000)*0.1578</f>
        <v>10.138225806451612</v>
      </c>
      <c r="G50" s="37">
        <f>W_g!G50/(rat_weight!G50/1000)*0.1578</f>
        <v>10.529511754068716</v>
      </c>
      <c r="H50" s="37">
        <f>W_g!H50/(rat_weight!H50/1000)*0.1578</f>
        <v>11.396666666666661</v>
      </c>
      <c r="I50" s="37">
        <f>W_g!I50/(rat_weight!I50/1000)*0.1578</f>
        <v>8.3508318584070746</v>
      </c>
      <c r="J50" s="37">
        <f>W_g!J50/(rat_weight!J50/1000)*0.1578</f>
        <v>9.1557754010695049</v>
      </c>
      <c r="K50" s="37">
        <f>W_g!K50/(rat_weight!K50/1000)*0.1578</f>
        <v>7.8900000000000006</v>
      </c>
      <c r="L50" s="37">
        <f>W_g!L50/(rat_weight!L50/1000)*0.1578</f>
        <v>6.7628571428571345</v>
      </c>
      <c r="M50" s="37">
        <f>W_g!M50/(rat_weight!M50/1000)*0.1578</f>
        <v>7.2211245674740452</v>
      </c>
      <c r="N50" s="37">
        <f>W_g!N50/(rat_weight!N50/1000)*0.1578</f>
        <v>5.0864467005076097</v>
      </c>
      <c r="O50" s="37">
        <f>W_g!O50/(rat_weight!O50/1000)*0.1578</f>
        <v>6.6884771573604098</v>
      </c>
      <c r="P50" s="37">
        <f>W_g!P50/(rat_weight!P50/1000)*0.1578</f>
        <v>5.2733502538071066</v>
      </c>
      <c r="Q50" s="37">
        <f>W_g!Q50/(rat_weight!Q50/1000)*0.1578</f>
        <v>6.5880198019802014</v>
      </c>
      <c r="R50" s="37">
        <f>W_g!R50/(rat_weight!R50/1000)*0.1578</f>
        <v>5.9760891089108874</v>
      </c>
      <c r="S50" s="37">
        <f>W_g!S50/(rat_weight!S50/1000)*0.1578</f>
        <v>4.9214851485148676</v>
      </c>
      <c r="T50" s="37">
        <f>W_g!T50/(rat_weight!T50/1000)*0.1578</f>
        <v>4.1088498402556013</v>
      </c>
      <c r="U50" s="37">
        <f>W_g!U50/(rat_weight!U50/1000)*0.1578</f>
        <v>5.4196485623003188</v>
      </c>
      <c r="V50" s="37">
        <f>W_g!V50/(rat_weight!V50/1000)*0.1578</f>
        <v>5.5078753993610201</v>
      </c>
      <c r="W50" s="37">
        <f>W_g!W50/(rat_weight!W50/1000)*0.1578</f>
        <v>3.5644533762057904</v>
      </c>
      <c r="X50" s="37">
        <f>W_g!X50/(rat_weight!X50/1000)*0.1578</f>
        <v>6.0760610932475929</v>
      </c>
      <c r="Y50" s="37">
        <f>W_g!Y50/(rat_weight!Y50/1000)*0.1578</f>
        <v>4.9851607717041819</v>
      </c>
      <c r="Z50" s="37">
        <f>W_g!Z50/(rat_weight!Z50/1000)*0.1578</f>
        <v>3.9699683544303879</v>
      </c>
      <c r="AA50" s="37">
        <f>W_g!AA50/(rat_weight!AA50/1000)*0.1578</f>
        <v>5.2433544303797541</v>
      </c>
      <c r="AB50" s="37">
        <f>W_g!AB50/(rat_weight!AB50/1000)*0.1578</f>
        <v>4.7315031645569592</v>
      </c>
      <c r="AC50" s="37">
        <f>W_g!AC50/(rat_weight!AC50/1000)*0.1578</f>
        <v>6.1601735015772867</v>
      </c>
      <c r="AD50" s="37">
        <f>W_g!AD50/(rat_weight!AD50/1000)*0.1578</f>
        <v>6.4961829652996759</v>
      </c>
      <c r="AE50" s="37">
        <f>W_g!AE50/(rat_weight!AE50/1000)*0.1578</f>
        <v>5.2268138801261825</v>
      </c>
      <c r="AF50" s="37">
        <f>W_g!AF50/(rat_weight!AF50/1000)*0.1578</f>
        <v>6.1705409582689361</v>
      </c>
      <c r="AG50" s="37">
        <f>W_g!AG50/(rat_weight!AG50/1000)*0.1578</f>
        <v>6.5729675425038607</v>
      </c>
      <c r="AH50" s="37">
        <f>W_g!AH50/(rat_weight!AH50/1000)*0.1578</f>
        <v>7.3900154559505369</v>
      </c>
      <c r="AI50" s="37">
        <f>W_g!AI50/(rat_weight!AI50/1000)*0.1578</f>
        <v>4.6326605504587119</v>
      </c>
      <c r="AJ50" s="37">
        <f>W_g!AJ50/(rat_weight!AJ50/1000)*0.1578</f>
        <v>6.6111926605504596</v>
      </c>
      <c r="AK50" s="37">
        <f>W_g!AK50/(rat_weight!AK50/1000)*0.1578</f>
        <v>4.6447247706421946</v>
      </c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</row>
    <row r="51" spans="1:85">
      <c r="A51" s="30">
        <v>50</v>
      </c>
      <c r="B51" s="37">
        <f>W_g!B51/(rat_weight!B51/1000)*0.1578</f>
        <v>19.615077399380809</v>
      </c>
      <c r="C51" s="37">
        <f>W_g!C51/(rat_weight!C51/1000)*0.1578</f>
        <v>-0.1438905775075906</v>
      </c>
      <c r="D51" s="37">
        <f>W_g!D51/(rat_weight!D51/1000)*0.1578</f>
        <v>7.0243260188087859</v>
      </c>
      <c r="E51" s="37">
        <f>W_g!E51/(rat_weight!E51/1000)*0.1578</f>
        <v>11.155649546827798</v>
      </c>
      <c r="F51" s="37">
        <f>W_g!F51/(rat_weight!F51/1000)*0.1578</f>
        <v>1.9119938650306554</v>
      </c>
      <c r="G51" s="37">
        <f>W_g!G51/(rat_weight!G51/1000)*0.1578</f>
        <v>5.893148148148172</v>
      </c>
      <c r="H51" s="37">
        <f>W_g!H51/(rat_weight!H51/1000)*0.1578</f>
        <v>10.36156626506026</v>
      </c>
      <c r="I51" s="37">
        <f>W_g!I51/(rat_weight!I51/1000)*0.1578</f>
        <v>14.71181538461539</v>
      </c>
      <c r="J51" s="37">
        <f>W_g!J51/(rat_weight!J51/1000)*0.1578</f>
        <v>9.109363636363641</v>
      </c>
      <c r="K51" s="37">
        <f>W_g!K51/(rat_weight!K51/1000)*0.1578</f>
        <v>9.6676851851851957</v>
      </c>
      <c r="L51" s="37">
        <f>W_g!L51/(rat_weight!L51/1000)*0.1578</f>
        <v>6.2655882352941168</v>
      </c>
      <c r="M51" s="37">
        <f>W_g!M51/(rat_weight!M51/1000)*0.1578</f>
        <v>3.4938123167155739</v>
      </c>
      <c r="N51" s="37">
        <f>W_g!N51/(rat_weight!N51/1000)*0.1578</f>
        <v>7.2265765765765622</v>
      </c>
      <c r="O51" s="37">
        <f>W_g!O51/(rat_weight!O51/1000)*0.1578</f>
        <v>4.3359459459459613</v>
      </c>
      <c r="P51" s="37">
        <f>W_g!P51/(rat_weight!P51/1000)*0.1578</f>
        <v>6.2788288288288285</v>
      </c>
      <c r="Q51" s="37">
        <f>W_g!Q51/(rat_weight!Q51/1000)*0.1578</f>
        <v>7.268363636363631</v>
      </c>
      <c r="R51" s="37">
        <f>W_g!R51/(rat_weight!R51/1000)*0.1578</f>
        <v>6.8140909090909085</v>
      </c>
      <c r="S51" s="37">
        <f>W_g!S51/(rat_weight!S51/1000)*0.1578</f>
        <v>7.6509090909091313</v>
      </c>
      <c r="T51" s="37">
        <f>W_g!T51/(rat_weight!T51/1000)*0.1578</f>
        <v>8.3593767705382511</v>
      </c>
      <c r="U51" s="37">
        <f>W_g!U51/(rat_weight!U51/1000)*0.1578</f>
        <v>7.3312181303116297</v>
      </c>
      <c r="V51" s="37">
        <f>W_g!V51/(rat_weight!V51/1000)*0.1578</f>
        <v>8.8287535410764999</v>
      </c>
      <c r="W51" s="37">
        <f>W_g!W51/(rat_weight!W51/1000)*0.1578</f>
        <v>7.6894067796610424</v>
      </c>
      <c r="X51" s="37">
        <f>W_g!X51/(rat_weight!X51/1000)*0.1578</f>
        <v>6.6641525423729142</v>
      </c>
      <c r="Y51" s="37">
        <f>W_g!Y51/(rat_weight!Y51/1000)*0.1578</f>
        <v>7.4665254237288261</v>
      </c>
      <c r="Z51" s="37">
        <f>W_g!Z51/(rat_weight!Z51/1000)*0.1578</f>
        <v>10.952124645892352</v>
      </c>
      <c r="AA51" s="37">
        <f>W_g!AA51/(rat_weight!AA51/1000)*0.1578</f>
        <v>7.7335410764872696</v>
      </c>
      <c r="AB51" s="37">
        <f>W_g!AB51/(rat_weight!AB51/1000)*0.1578</f>
        <v>11.063881019830003</v>
      </c>
      <c r="AC51" s="37">
        <f>W_g!AC51/(rat_weight!AC51/1000)*0.1578</f>
        <v>10.840731707317058</v>
      </c>
      <c r="AD51" s="37">
        <f>W_g!AD51/(rat_weight!AD51/1000)*0.1578</f>
        <v>7.0133333333333239</v>
      </c>
      <c r="AE51" s="37">
        <f>W_g!AE51/(rat_weight!AE51/1000)*0.1578</f>
        <v>6.4573983739837493</v>
      </c>
      <c r="AF51" s="37">
        <f>W_g!AF51/(rat_weight!AF51/1000)*0.1578</f>
        <v>7.608986301369848</v>
      </c>
      <c r="AG51" s="37">
        <f>W_g!AG51/(rat_weight!AG51/1000)*0.1578</f>
        <v>6.2039178082191881</v>
      </c>
      <c r="AH51" s="37">
        <f>W_g!AH51/(rat_weight!AH51/1000)*0.1578</f>
        <v>7.4360547945205546</v>
      </c>
      <c r="AI51" s="37">
        <f>W_g!AI51/(rat_weight!AI51/1000)*0.1578</f>
        <v>5.0988300835654439</v>
      </c>
      <c r="AJ51" s="37">
        <f>W_g!AJ51/(rat_weight!AJ51/1000)*0.1578</f>
        <v>6.9889136490250721</v>
      </c>
      <c r="AK51" s="37">
        <f>W_g!AK51/(rat_weight!AK51/1000)*0.1578</f>
        <v>4.1977437325905216</v>
      </c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</row>
    <row r="52" spans="1:85">
      <c r="A52" s="30">
        <v>51</v>
      </c>
      <c r="B52" s="37">
        <f>W_g!B52/(rat_weight!B52/1000)*0.1578</f>
        <v>8.2344047619047647</v>
      </c>
      <c r="C52" s="37">
        <f>W_g!C52/(rat_weight!C52/1000)*0.1578</f>
        <v>-0.18207692307691273</v>
      </c>
      <c r="D52" s="37">
        <f>W_g!D52/(rat_weight!D52/1000)*0.1578</f>
        <v>-5.9547169811317364E-2</v>
      </c>
      <c r="E52" s="37">
        <f>W_g!E52/(rat_weight!E52/1000)*0.1578</f>
        <v>3.4869662921348006</v>
      </c>
      <c r="F52" s="37">
        <f>W_g!F52/(rat_weight!F52/1000)*0.1578</f>
        <v>3.3392134831460702</v>
      </c>
      <c r="G52" s="37">
        <f>W_g!G52/(rat_weight!G52/1000)*0.1578</f>
        <v>1.7664179104477777</v>
      </c>
      <c r="H52" s="37">
        <f>W_g!H52/(rat_weight!H52/1000)*0.1578</f>
        <v>1.8702222222222318</v>
      </c>
      <c r="I52" s="37">
        <f>W_g!I52/(rat_weight!I52/1000)*0.1578</f>
        <v>2.0962361623616035</v>
      </c>
      <c r="J52" s="37">
        <f>W_g!J52/(rat_weight!J52/1000)*0.1578</f>
        <v>1.2473161764705749</v>
      </c>
      <c r="K52" s="37">
        <f>W_g!K52/(rat_weight!K52/1000)*0.1578</f>
        <v>2.8073033707865163</v>
      </c>
      <c r="L52" s="37">
        <f>W_g!L52/(rat_weight!L52/1000)*0.1578</f>
        <v>1.9286666666666732</v>
      </c>
      <c r="M52" s="37">
        <f>W_g!M52/(rat_weight!M52/1000)*0.1578</f>
        <v>1.911807692307713</v>
      </c>
      <c r="N52" s="37">
        <f>W_g!N52/(rat_weight!N52/1000)*0.1578</f>
        <v>3.0570110701106845</v>
      </c>
      <c r="O52" s="37">
        <f>W_g!O52/(rat_weight!O52/1000)*0.1578</f>
        <v>1.2519188191882116</v>
      </c>
      <c r="P52" s="37">
        <f>W_g!P52/(rat_weight!P52/1000)*0.1578</f>
        <v>1.5430627306273259</v>
      </c>
      <c r="Q52" s="37">
        <f>W_g!Q52/(rat_weight!Q52/1000)*0.1578</f>
        <v>1.7152173913043476</v>
      </c>
      <c r="R52" s="37">
        <f>W_g!R52/(rat_weight!R52/1000)*0.1578</f>
        <v>2.1440217391304022</v>
      </c>
      <c r="S52" s="37">
        <f>W_g!S52/(rat_weight!S52/1000)*0.1578</f>
        <v>1.5436956521739551</v>
      </c>
      <c r="T52" s="37">
        <f>W_g!T52/(rat_weight!T52/1000)*0.1578</f>
        <v>1.6846975088968128</v>
      </c>
      <c r="U52" s="37">
        <f>W_g!U52/(rat_weight!U52/1000)*0.1578</f>
        <v>0.73003558718861838</v>
      </c>
      <c r="V52" s="37">
        <f>W_g!V52/(rat_weight!V52/1000)*0.1578</f>
        <v>1.2635231316726137</v>
      </c>
      <c r="W52" s="37">
        <f>W_g!W52/(rat_weight!W52/1000)*0.1578</f>
        <v>2.4341489361701938</v>
      </c>
      <c r="X52" s="37">
        <f>W_g!X52/(rat_weight!X52/1000)*0.1578</f>
        <v>0.86734042553193713</v>
      </c>
      <c r="Y52" s="37">
        <f>W_g!Y52/(rat_weight!Y52/1000)*0.1578</f>
        <v>0.75542553191489048</v>
      </c>
      <c r="Z52" s="37">
        <f>W_g!Z52/(rat_weight!Z52/1000)*0.1578</f>
        <v>1.8465957446808576</v>
      </c>
      <c r="AA52" s="37">
        <f>W_g!AA52/(rat_weight!AA52/1000)*0.1578</f>
        <v>0.11191489361703083</v>
      </c>
      <c r="AB52" s="37">
        <f>W_g!AB52/(rat_weight!AB52/1000)*0.1578</f>
        <v>6.5190425531914773</v>
      </c>
      <c r="AC52" s="37">
        <f>W_g!AC52/(rat_weight!AC52/1000)*0.1578</f>
        <v>1.3423958333332962</v>
      </c>
      <c r="AD52" s="37">
        <f>W_g!AD52/(rat_weight!AD52/1000)*0.1578</f>
        <v>0.27395833333333336</v>
      </c>
      <c r="AE52" s="37">
        <f>W_g!AE52/(rat_weight!AE52/1000)*0.1578</f>
        <v>1.3149999999999877</v>
      </c>
      <c r="AF52" s="37">
        <f>W_g!AF52/(rat_weight!AF52/1000)*0.1578</f>
        <v>2.1840830449826991</v>
      </c>
      <c r="AG52" s="37">
        <f>W_g!AG52/(rat_weight!AG52/1000)*0.1578</f>
        <v>0.68252595155709339</v>
      </c>
      <c r="AH52" s="37">
        <f>W_g!AH52/(rat_weight!AH52/1000)*0.1578</f>
        <v>0.32761245674740175</v>
      </c>
      <c r="AI52" s="37">
        <f>W_g!AI52/(rat_weight!AI52/1000)*0.1578</f>
        <v>1.5183505154639239</v>
      </c>
      <c r="AJ52" s="37">
        <f>W_g!AJ52/(rat_weight!AJ52/1000)*0.1578</f>
        <v>0.81340206185565467</v>
      </c>
      <c r="AK52" s="37">
        <f>W_g!AK52/(rat_weight!AK52/1000)*0.1578</f>
        <v>0.56938144329895979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</row>
    <row r="53" spans="1:85">
      <c r="A53" s="30">
        <v>52</v>
      </c>
      <c r="B53" s="37">
        <f>W_g!B53/(rat_weight!B53/1000)*0.1578</f>
        <v>10.019815950920185</v>
      </c>
      <c r="C53" s="37">
        <f>W_g!C53/(rat_weight!C53/1000)*0.1578</f>
        <v>8.9110588235294586</v>
      </c>
      <c r="D53" s="37">
        <f>W_g!D53/(rat_weight!D53/1000)*0.1578</f>
        <v>-9.5060240963850018E-2</v>
      </c>
      <c r="E53" s="37">
        <f>W_g!E53/(rat_weight!E53/1000)*0.1578</f>
        <v>5.2288757396449643</v>
      </c>
      <c r="F53" s="37">
        <f>W_g!F53/(rat_weight!F53/1000)*0.1578</f>
        <v>5.6222155688622379</v>
      </c>
      <c r="G53" s="37">
        <f>W_g!G53/(rat_weight!G53/1000)*0.1578</f>
        <v>7.3196385542168825</v>
      </c>
      <c r="H53" s="37">
        <f>W_g!H53/(rat_weight!H53/1000)*0.1578</f>
        <v>5.1970059880239248</v>
      </c>
      <c r="I53" s="37">
        <f>W_g!I53/(rat_weight!I53/1000)*0.1578</f>
        <v>3.7571428571428034</v>
      </c>
      <c r="J53" s="37">
        <f>W_g!J53/(rat_weight!J53/1000)*0.1578</f>
        <v>7.2205454545454106</v>
      </c>
      <c r="K53" s="37">
        <f>W_g!K53/(rat_weight!K53/1000)*0.1578</f>
        <v>6.1523214285714385</v>
      </c>
      <c r="L53" s="37">
        <f>W_g!L53/(rat_weight!L53/1000)*0.1578</f>
        <v>2.6144378698224955</v>
      </c>
      <c r="M53" s="37">
        <f>W_g!M53/(rat_weight!M53/1000)*0.1578</f>
        <v>3.0526785714285714</v>
      </c>
      <c r="N53" s="37">
        <f>W_g!N53/(rat_weight!N53/1000)*0.1578</f>
        <v>2.1260479041915898</v>
      </c>
      <c r="O53" s="37">
        <f>W_g!O53/(rat_weight!O53/1000)*0.1578</f>
        <v>4.4883233532934126</v>
      </c>
      <c r="P53" s="37">
        <f>W_g!P53/(rat_weight!P53/1000)*0.1578</f>
        <v>4.0158682634730534</v>
      </c>
      <c r="Q53" s="37">
        <f>W_g!Q53/(rat_weight!Q53/1000)*0.1578</f>
        <v>5.7550588235294002</v>
      </c>
      <c r="R53" s="37">
        <f>W_g!R53/(rat_weight!R53/1000)*0.1578</f>
        <v>3.0167647058823528</v>
      </c>
      <c r="S53" s="37">
        <f>W_g!S53/(rat_weight!S53/1000)*0.1578</f>
        <v>3.6201176470588812</v>
      </c>
      <c r="T53" s="37">
        <f>W_g!T53/(rat_weight!T53/1000)*0.1578</f>
        <v>6.020115606936411</v>
      </c>
      <c r="U53" s="37">
        <f>W_g!U53/(rat_weight!U53/1000)*0.1578</f>
        <v>5.016763005780347</v>
      </c>
      <c r="V53" s="37">
        <f>W_g!V53/(rat_weight!V53/1000)*0.1578</f>
        <v>1.6874566473988386</v>
      </c>
      <c r="W53" s="37">
        <f>W_g!W53/(rat_weight!W53/1000)*0.1578</f>
        <v>3.5117341040462637</v>
      </c>
      <c r="X53" s="37">
        <f>W_g!X53/(rat_weight!X53/1000)*0.1578</f>
        <v>0.31924855491334148</v>
      </c>
      <c r="Y53" s="37">
        <f>W_g!Y53/(rat_weight!Y53/1000)*0.1578</f>
        <v>3.0556647398843877</v>
      </c>
      <c r="Z53" s="37">
        <f>W_g!Z53/(rat_weight!Z53/1000)*0.1578</f>
        <v>3.5780232558139327</v>
      </c>
      <c r="AA53" s="37">
        <f>W_g!AA53/(rat_weight!AA53/1000)*0.1578</f>
        <v>2.1101162790698038</v>
      </c>
      <c r="AB53" s="37">
        <f>W_g!AB53/(rat_weight!AB53/1000)*0.1578</f>
        <v>4.4495930232558347</v>
      </c>
      <c r="AC53" s="37">
        <f>W_g!AC53/(rat_weight!AC53/1000)*0.1578</f>
        <v>6.141647727272697</v>
      </c>
      <c r="AD53" s="37">
        <f>W_g!AD53/(rat_weight!AD53/1000)*0.1578</f>
        <v>4.4829545454545459</v>
      </c>
      <c r="AE53" s="37">
        <f>W_g!AE53/(rat_weight!AE53/1000)*0.1578</f>
        <v>4.2139772727273135</v>
      </c>
      <c r="AF53" s="37">
        <f>W_g!AF53/(rat_weight!AF53/1000)*0.1578</f>
        <v>1.7631284916201115</v>
      </c>
      <c r="AG53" s="37">
        <f>W_g!AG53/(rat_weight!AG53/1000)*0.1578</f>
        <v>6.8321229050279335</v>
      </c>
      <c r="AH53" s="37">
        <f>W_g!AH53/(rat_weight!AH53/1000)*0.1578</f>
        <v>1.057877094972032</v>
      </c>
      <c r="AI53" s="37">
        <f>W_g!AI53/(rat_weight!AI53/1000)*0.1578</f>
        <v>2.9020689655172309</v>
      </c>
      <c r="AJ53" s="37">
        <f>W_g!AJ53/(rat_weight!AJ53/1000)*0.1578</f>
        <v>3.0834482758620227</v>
      </c>
      <c r="AK53" s="37">
        <f>W_g!AK53/(rat_weight!AK53/1000)*0.1578</f>
        <v>4.2170689655171953</v>
      </c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</row>
    <row r="54" spans="1:85">
      <c r="A54" s="30">
        <v>53</v>
      </c>
      <c r="B54" s="37">
        <f>W_g!B54/(rat_weight!B54/1000)*0.1578</f>
        <v>5.2314130434782502</v>
      </c>
      <c r="C54" s="37">
        <f>W_g!C54/(rat_weight!C54/1000)*0.1578</f>
        <v>2.0405172413793005</v>
      </c>
      <c r="D54" s="37">
        <f>W_g!D54/(rat_weight!D54/1000)*0.1578</f>
        <v>3.7426923076923053</v>
      </c>
      <c r="E54" s="37">
        <f>W_g!E54/(rat_weight!E54/1000)*0.1578</f>
        <v>1.8603789473684191</v>
      </c>
      <c r="F54" s="37">
        <f>W_g!F54/(rat_weight!F54/1000)*0.1578</f>
        <v>1.3540042372881489</v>
      </c>
      <c r="G54" s="37">
        <f>W_g!G54/(rat_weight!G54/1000)*0.1578</f>
        <v>1.4981012658227755</v>
      </c>
      <c r="H54" s="37">
        <f>W_g!H54/(rat_weight!H54/1000)*0.1578</f>
        <v>1.1810395010394992</v>
      </c>
      <c r="I54" s="37">
        <f>W_g!I54/(rat_weight!I54/1000)*0.1578</f>
        <v>0.39043298969071794</v>
      </c>
      <c r="J54" s="37">
        <f>W_g!J54/(rat_weight!J54/1000)*0.1578</f>
        <v>1.6268041237117101E-2</v>
      </c>
      <c r="K54" s="37">
        <f>W_g!K54/(rat_weight!K54/1000)*0.1578</f>
        <v>1.1694989561586677</v>
      </c>
      <c r="L54" s="37">
        <f>W_g!L54/(rat_weight!L54/1000)*0.1578</f>
        <v>9.8830897703534079E-2</v>
      </c>
      <c r="M54" s="37">
        <f>W_g!M54/(rat_weight!M54/1000)*0.1578</f>
        <v>1.6437500000003737E-2</v>
      </c>
      <c r="N54" s="37">
        <f>W_g!N54/(rat_weight!N54/1000)*0.1578</f>
        <v>4.8804123711342053E-2</v>
      </c>
      <c r="O54" s="37">
        <f>W_g!O54/(rat_weight!O54/1000)*0.1578</f>
        <v>2.0009690721649411</v>
      </c>
      <c r="P54" s="37">
        <f>W_g!P54/(rat_weight!P54/1000)*0.1578</f>
        <v>4.8804123711332803E-2</v>
      </c>
      <c r="Q54" s="37">
        <f>W_g!Q54/(rat_weight!Q54/1000)*0.1578</f>
        <v>0.41442424242422793</v>
      </c>
      <c r="R54" s="37">
        <f>W_g!R54/(rat_weight!R54/1000)*0.1578</f>
        <v>-1.5939393939379442E-2</v>
      </c>
      <c r="S54" s="37">
        <f>W_g!S54/(rat_weight!S54/1000)*0.1578</f>
        <v>-3.1878787878767946E-2</v>
      </c>
      <c r="T54" s="37">
        <f>W_g!T54/(rat_weight!T54/1000)*0.1578</f>
        <v>8.8112883067146412E-15</v>
      </c>
      <c r="U54" s="37">
        <f>W_g!U54/(rat_weight!U54/1000)*0.1578</f>
        <v>6.2003929273080953E-2</v>
      </c>
      <c r="V54" s="37">
        <f>W_g!V54/(rat_weight!V54/1000)*0.1578</f>
        <v>1.5500982318265832E-2</v>
      </c>
      <c r="W54" s="37">
        <f>W_g!W54/(rat_weight!W54/1000)*0.1578</f>
        <v>4.5961165048554138E-2</v>
      </c>
      <c r="X54" s="37">
        <f>W_g!X54/(rat_weight!X54/1000)*0.1578</f>
        <v>1.5320388349526754E-2</v>
      </c>
      <c r="Y54" s="37">
        <f>W_g!Y54/(rat_weight!Y54/1000)*0.1578</f>
        <v>-4.596116504854543E-2</v>
      </c>
      <c r="Z54" s="37">
        <f>W_g!Z54/(rat_weight!Z54/1000)*0.1578</f>
        <v>-6.0459770114939089E-2</v>
      </c>
      <c r="AA54" s="37">
        <f>W_g!AA54/(rat_weight!AA54/1000)*0.1578</f>
        <v>8.5918500921796015E-15</v>
      </c>
      <c r="AB54" s="37">
        <f>W_g!AB54/(rat_weight!AB54/1000)*0.1578</f>
        <v>1.5114942528739067E-2</v>
      </c>
      <c r="AC54" s="37">
        <f>W_g!AC54/(rat_weight!AC54/1000)*0.1578</f>
        <v>-1.4747663551405221E-2</v>
      </c>
      <c r="AD54" s="37">
        <f>W_g!AD54/(rat_weight!AD54/1000)*0.1578</f>
        <v>2.9495327102793675E-2</v>
      </c>
      <c r="AE54" s="37">
        <f>W_g!AE54/(rat_weight!AE54/1000)*0.1578</f>
        <v>2.9495327102793675E-2</v>
      </c>
      <c r="AF54" s="37">
        <f>W_g!AF54/(rat_weight!AF54/1000)*0.1578</f>
        <v>0</v>
      </c>
      <c r="AG54" s="37">
        <f>W_g!AG54/(rat_weight!AG54/1000)*0.1578</f>
        <v>0.10227777777776781</v>
      </c>
      <c r="AH54" s="37">
        <f>W_g!AH54/(rat_weight!AH54/1000)*0.1578</f>
        <v>-0.20455555555556051</v>
      </c>
      <c r="AI54" s="37">
        <f>W_g!AI54/(rat_weight!AI54/1000)*0.1578</f>
        <v>2.927643784785643E-2</v>
      </c>
      <c r="AJ54" s="37">
        <f>W_g!AJ54/(rat_weight!AJ54/1000)*0.1578</f>
        <v>5.8552875695737826E-2</v>
      </c>
      <c r="AK54" s="37">
        <f>W_g!AK54/(rat_weight!AK54/1000)*0.1578</f>
        <v>-1.4638218923928215E-2</v>
      </c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</row>
    <row r="55" spans="1:85">
      <c r="A55" s="30">
        <v>54</v>
      </c>
      <c r="B55" s="37">
        <f>W_g!B55/(rat_weight!B55/1000)*0.1578</f>
        <v>5.2694945848375276</v>
      </c>
      <c r="C55" s="37">
        <f>W_g!C55/(rat_weight!C55/1000)*0.1578</f>
        <v>5.0921276595744978</v>
      </c>
      <c r="D55" s="37">
        <f>W_g!D55/(rat_weight!D55/1000)*0.1578</f>
        <v>7.2348736462093948</v>
      </c>
      <c r="E55" s="37">
        <f>W_g!E55/(rat_weight!E55/1000)*0.1578</f>
        <v>3.2989547038327371</v>
      </c>
      <c r="F55" s="37">
        <f>W_g!F55/(rat_weight!F55/1000)*0.1578</f>
        <v>4.613875432525961</v>
      </c>
      <c r="G55" s="37">
        <f>W_g!G55/(rat_weight!G55/1000)*0.1578</f>
        <v>3.9313494809688678</v>
      </c>
      <c r="H55" s="37">
        <f>W_g!H55/(rat_weight!H55/1000)*0.1578</f>
        <v>2.4192334494773551</v>
      </c>
      <c r="I55" s="37">
        <f>W_g!I55/(rat_weight!I55/1000)*0.1578</f>
        <v>3.7937979094076533</v>
      </c>
      <c r="J55" s="37">
        <f>W_g!J55/(rat_weight!J55/1000)*0.1578</f>
        <v>5.269006849315037</v>
      </c>
      <c r="K55" s="37">
        <f>W_g!K55/(rat_weight!K55/1000)*0.1578</f>
        <v>4.4130508474576269</v>
      </c>
      <c r="L55" s="37">
        <f>W_g!L55/(rat_weight!L55/1000)*0.1578</f>
        <v>2.2309655172413607</v>
      </c>
      <c r="M55" s="37">
        <f>W_g!M55/(rat_weight!M55/1000)*0.1578</f>
        <v>5.5552040816326658</v>
      </c>
      <c r="N55" s="37">
        <f>W_g!N55/(rat_weight!N55/1000)*0.1578</f>
        <v>2.9152881355932294</v>
      </c>
      <c r="O55" s="37">
        <f>W_g!O55/(rat_weight!O55/1000)*0.1578</f>
        <v>2.8083050847457627</v>
      </c>
      <c r="P55" s="37">
        <f>W_g!P55/(rat_weight!P55/1000)*0.1578</f>
        <v>6.0712881355932327</v>
      </c>
      <c r="Q55" s="37">
        <f>W_g!Q55/(rat_weight!Q55/1000)*0.1578</f>
        <v>5.1886779661016895</v>
      </c>
      <c r="R55" s="37">
        <f>W_g!R55/(rat_weight!R55/1000)*0.1578</f>
        <v>5.6433559322033657</v>
      </c>
      <c r="S55" s="37">
        <f>W_g!S55/(rat_weight!S55/1000)*0.1578</f>
        <v>3.1025084745763229</v>
      </c>
      <c r="T55" s="37">
        <f>W_g!T55/(rat_weight!T55/1000)*0.1578</f>
        <v>2.8498996655518423</v>
      </c>
      <c r="U55" s="37">
        <f>W_g!U55/(rat_weight!U55/1000)*0.1578</f>
        <v>3.9581939799331103</v>
      </c>
      <c r="V55" s="37">
        <f>W_g!V55/(rat_weight!V55/1000)*0.1578</f>
        <v>4.6178929765886139</v>
      </c>
      <c r="W55" s="37">
        <f>W_g!W55/(rat_weight!W55/1000)*0.1578</f>
        <v>9.0579276315789716</v>
      </c>
      <c r="X55" s="37">
        <f>W_g!X55/(rat_weight!X55/1000)*0.1578</f>
        <v>3.9709539473684239</v>
      </c>
      <c r="Y55" s="37">
        <f>W_g!Y55/(rat_weight!Y55/1000)*0.1578</f>
        <v>3.5556907894736813</v>
      </c>
      <c r="Z55" s="37">
        <f>W_g!Z55/(rat_weight!Z55/1000)*0.1578</f>
        <v>5.3276527331189705</v>
      </c>
      <c r="AA55" s="37">
        <f>W_g!AA55/(rat_weight!AA55/1000)*0.1578</f>
        <v>3.2473311897106423</v>
      </c>
      <c r="AB55" s="37">
        <f>W_g!AB55/(rat_weight!AB55/1000)*0.1578</f>
        <v>6.1141157556269867</v>
      </c>
      <c r="AC55" s="37">
        <f>W_g!AC55/(rat_weight!AC55/1000)*0.1578</f>
        <v>5.1323300970873555</v>
      </c>
      <c r="AD55" s="37">
        <f>W_g!AD55/(rat_weight!AD55/1000)*0.1578</f>
        <v>3.9833009708737923</v>
      </c>
      <c r="AE55" s="37">
        <f>W_g!AE55/(rat_weight!AE55/1000)*0.1578</f>
        <v>3.1151456310679437</v>
      </c>
      <c r="AF55" s="37">
        <f>W_g!AF55/(rat_weight!AF55/1000)*0.1578</f>
        <v>2.6129220779220605</v>
      </c>
      <c r="AG55" s="37">
        <f>W_g!AG55/(rat_weight!AG55/1000)*0.1578</f>
        <v>7.1471103896103836</v>
      </c>
      <c r="AH55" s="37">
        <f>W_g!AH55/(rat_weight!AH55/1000)*0.1578</f>
        <v>4.50857142857142</v>
      </c>
      <c r="AI55" s="37">
        <f>W_g!AI55/(rat_weight!AI55/1000)*0.1578</f>
        <v>3.2182894736842043</v>
      </c>
      <c r="AJ55" s="37">
        <f>W_g!AJ55/(rat_weight!AJ55/1000)*0.1578</f>
        <v>3.9969078947368506</v>
      </c>
      <c r="AK55" s="37">
        <f>W_g!AK55/(rat_weight!AK55/1000)*0.1578</f>
        <v>5.2686513157894765</v>
      </c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</row>
    <row r="56" spans="1:85">
      <c r="A56" s="30">
        <v>55</v>
      </c>
      <c r="B56" s="37">
        <f>W_g!B56/(rat_weight!B56/1000)*0.1578</f>
        <v>8.8981666666666719</v>
      </c>
      <c r="C56" s="37">
        <f>W_g!C56/(rat_weight!C56/1000)*0.1578</f>
        <v>-0.26595505617976017</v>
      </c>
      <c r="D56" s="37">
        <f>W_g!D56/(rat_weight!D56/1000)*0.1578</f>
        <v>-8.6229508196716417E-2</v>
      </c>
      <c r="E56" s="37">
        <f>W_g!E56/(rat_weight!E56/1000)*0.1578</f>
        <v>8.4969230769230624</v>
      </c>
      <c r="F56" s="37">
        <f>W_g!F56/(rat_weight!F56/1000)*0.1578</f>
        <v>4.2880434782594075E-2</v>
      </c>
      <c r="G56" s="37">
        <f>W_g!G56/(rat_weight!G56/1000)*0.1578</f>
        <v>4.997000000000015</v>
      </c>
      <c r="H56" s="37">
        <f>W_g!H56/(rat_weight!H56/1000)*0.1578</f>
        <v>4.8822099447513763</v>
      </c>
      <c r="I56" s="37">
        <f>W_g!I56/(rat_weight!I56/1000)*0.1578</f>
        <v>4.9741304347826185</v>
      </c>
      <c r="J56" s="37">
        <f>W_g!J56/(rat_weight!J56/1000)*0.1578</f>
        <v>5.1873480662982834</v>
      </c>
      <c r="K56" s="37">
        <f>W_g!K56/(rat_weight!K56/1000)*0.1578</f>
        <v>6.355833333333333</v>
      </c>
      <c r="L56" s="37">
        <f>W_g!L56/(rat_weight!L56/1000)*0.1578</f>
        <v>6.0360655737704914</v>
      </c>
      <c r="M56" s="37">
        <f>W_g!M56/(rat_weight!M56/1000)*0.1578</f>
        <v>4.7253296703297103</v>
      </c>
      <c r="N56" s="37">
        <f>W_g!N56/(rat_weight!N56/1000)*0.1578</f>
        <v>5.7575675675675431</v>
      </c>
      <c r="O56" s="37">
        <f>W_g!O56/(rat_weight!O56/1000)*0.1578</f>
        <v>1.5779999999999708</v>
      </c>
      <c r="P56" s="37">
        <f>W_g!P56/(rat_weight!P56/1000)*0.1578</f>
        <v>4.6487027027026935</v>
      </c>
      <c r="Q56" s="37">
        <f>W_g!Q56/(rat_weight!Q56/1000)*0.1578</f>
        <v>3.9665573770492002</v>
      </c>
      <c r="R56" s="37">
        <f>W_g!R56/(rat_weight!R56/1000)*0.1578</f>
        <v>6.8552459016393348</v>
      </c>
      <c r="S56" s="37">
        <f>W_g!S56/(rat_weight!S56/1000)*0.1578</f>
        <v>3.6216393442623587</v>
      </c>
      <c r="T56" s="37">
        <f>W_g!T56/(rat_weight!T56/1000)*0.1578</f>
        <v>6.1083870967742078</v>
      </c>
      <c r="U56" s="37">
        <f>W_g!U56/(rat_weight!U56/1000)*0.1578</f>
        <v>2.7148387096774096</v>
      </c>
      <c r="V56" s="37">
        <f>W_g!V56/(rat_weight!V56/1000)*0.1578</f>
        <v>3.775322580645176</v>
      </c>
      <c r="W56" s="37">
        <f>W_g!W56/(rat_weight!W56/1000)*0.1578</f>
        <v>3.1133513513513806</v>
      </c>
      <c r="X56" s="37">
        <f>W_g!X56/(rat_weight!X56/1000)*0.1578</f>
        <v>4.9898918918919355</v>
      </c>
      <c r="Y56" s="37">
        <f>W_g!Y56/(rat_weight!Y56/1000)*0.1578</f>
        <v>9.1694594594594356</v>
      </c>
      <c r="Z56" s="37">
        <f>W_g!Z56/(rat_weight!Z56/1000)*0.1578</f>
        <v>6.9398952879581435</v>
      </c>
      <c r="AA56" s="37">
        <f>W_g!AA56/(rat_weight!AA56/1000)*0.1578</f>
        <v>4.2135078534031836</v>
      </c>
      <c r="AB56" s="37">
        <f>W_g!AB56/(rat_weight!AB56/1000)*0.1578</f>
        <v>2.9329319371727842</v>
      </c>
      <c r="AC56" s="37">
        <f>W_g!AC56/(rat_weight!AC56/1000)*0.1578</f>
        <v>2.8653157894736747</v>
      </c>
      <c r="AD56" s="37">
        <f>W_g!AD56/(rat_weight!AD56/1000)*0.1578</f>
        <v>3.2390526315789283</v>
      </c>
      <c r="AE56" s="37">
        <f>W_g!AE56/(rat_weight!AE56/1000)*0.1578</f>
        <v>4.5678947368421046</v>
      </c>
      <c r="AF56" s="37">
        <f>W_g!AF56/(rat_weight!AF56/1000)*0.1578</f>
        <v>3.1560000000000095</v>
      </c>
      <c r="AG56" s="37">
        <f>W_g!AG56/(rat_weight!AG56/1000)*0.1578</f>
        <v>2.9483684210526406</v>
      </c>
      <c r="AH56" s="37">
        <f>W_g!AH56/(rat_weight!AH56/1000)*0.1578</f>
        <v>4.2356842105263111</v>
      </c>
      <c r="AI56" s="37">
        <f>W_g!AI56/(rat_weight!AI56/1000)*0.1578</f>
        <v>3.8229896907216401</v>
      </c>
      <c r="AJ56" s="37">
        <f>W_g!AJ56/(rat_weight!AJ56/1000)*0.1578</f>
        <v>2.3588659793814015</v>
      </c>
      <c r="AK56" s="37">
        <f>W_g!AK56/(rat_weight!AK56/1000)*0.1578</f>
        <v>2.8875773195876144</v>
      </c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</row>
    <row r="57" spans="1:85">
      <c r="A57" s="30">
        <v>56</v>
      </c>
      <c r="B57" s="37">
        <f>W_g!B57/(rat_weight!B57/1000)*0.1578</f>
        <v>6.0881314878892452</v>
      </c>
      <c r="C57" s="37">
        <f>W_g!C57/(rat_weight!C57/1000)*0.1578</f>
        <v>10.265190311418708</v>
      </c>
      <c r="D57" s="37">
        <f>W_g!D57/(rat_weight!D57/1000)*0.1578</f>
        <v>3.4280689655172325</v>
      </c>
      <c r="E57" s="37">
        <f>W_g!E57/(rat_weight!E57/1000)*0.1578</f>
        <v>4.7755263157894525</v>
      </c>
      <c r="F57" s="37">
        <f>W_g!F57/(rat_weight!F57/1000)*0.1578</f>
        <v>-2.6745762711885692E-2</v>
      </c>
      <c r="G57" s="37">
        <f>W_g!G57/(rat_weight!G57/1000)*0.1578</f>
        <v>5.6357142857143012</v>
      </c>
      <c r="H57" s="37">
        <f>W_g!H57/(rat_weight!H57/1000)*0.1578</f>
        <v>2.8254729729729644</v>
      </c>
      <c r="I57" s="37">
        <f>W_g!I57/(rat_weight!I57/1000)*0.1578</f>
        <v>0.26836734693877551</v>
      </c>
      <c r="J57" s="37">
        <f>W_g!J57/(rat_weight!J57/1000)*0.1578</f>
        <v>2.7968283582089217</v>
      </c>
      <c r="K57" s="37">
        <f>W_g!K57/(rat_weight!K57/1000)*0.1578</f>
        <v>-2.9007352941183062E-2</v>
      </c>
      <c r="L57" s="37">
        <f>W_g!L57/(rat_weight!L57/1000)*0.1578</f>
        <v>3.9025806451612772</v>
      </c>
      <c r="M57" s="37">
        <f>W_g!M57/(rat_weight!M57/1000)*0.1578</f>
        <v>2.3304982206405565</v>
      </c>
      <c r="N57" s="37">
        <f>W_g!N57/(rat_weight!N57/1000)*0.1578</f>
        <v>2.6568367346938566</v>
      </c>
      <c r="O57" s="37">
        <f>W_g!O57/(rat_weight!O57/1000)*0.1578</f>
        <v>4.5890816326530679</v>
      </c>
      <c r="P57" s="37">
        <f>W_g!P57/(rat_weight!P57/1000)*0.1578</f>
        <v>8.4535714285714292</v>
      </c>
      <c r="Q57" s="37">
        <f>W_g!Q57/(rat_weight!Q57/1000)*0.1578</f>
        <v>4.6134219269103047</v>
      </c>
      <c r="R57" s="37">
        <f>W_g!R57/(rat_weight!R57/1000)*0.1578</f>
        <v>3.3814285714285357</v>
      </c>
      <c r="S57" s="37">
        <f>W_g!S57/(rat_weight!S57/1000)*0.1578</f>
        <v>2.9882392026578461</v>
      </c>
      <c r="T57" s="37">
        <f>W_g!T57/(rat_weight!T57/1000)*0.1578</f>
        <v>3.55823529411765</v>
      </c>
      <c r="U57" s="37">
        <f>W_g!U57/(rat_weight!U57/1000)*0.1578</f>
        <v>3.7129411764705824</v>
      </c>
      <c r="V57" s="37">
        <f>W_g!V57/(rat_weight!V57/1000)*0.1578</f>
        <v>1.5728431372548932</v>
      </c>
      <c r="W57" s="37">
        <f>W_g!W57/(rat_weight!W57/1000)*0.1578</f>
        <v>2.52180379746836</v>
      </c>
      <c r="X57" s="37">
        <f>W_g!X57/(rat_weight!X57/1000)*0.1578</f>
        <v>1.4731329113924418</v>
      </c>
      <c r="Y57" s="37">
        <f>W_g!Y57/(rat_weight!Y57/1000)*0.1578</f>
        <v>0.97376582278479018</v>
      </c>
      <c r="Z57" s="37">
        <f>W_g!Z57/(rat_weight!Z57/1000)*0.1578</f>
        <v>2.9003738317756897</v>
      </c>
      <c r="AA57" s="37">
        <f>W_g!AA57/(rat_weight!AA57/1000)*0.1578</f>
        <v>0.98317757009347195</v>
      </c>
      <c r="AB57" s="37">
        <f>W_g!AB57/(rat_weight!AB57/1000)*0.1578</f>
        <v>1.7451401869158654</v>
      </c>
      <c r="AC57" s="37">
        <f>W_g!AC57/(rat_weight!AC57/1000)*0.1578</f>
        <v>0.59772727272727266</v>
      </c>
      <c r="AD57" s="37">
        <f>W_g!AD57/(rat_weight!AD57/1000)*0.1578</f>
        <v>0.66945454545453442</v>
      </c>
      <c r="AE57" s="37">
        <f>W_g!AE57/(rat_weight!AE57/1000)*0.1578</f>
        <v>1.1954545454545453</v>
      </c>
      <c r="AF57" s="37">
        <f>W_g!AF57/(rat_weight!AF57/1000)*0.1578</f>
        <v>3.3271084337349395</v>
      </c>
      <c r="AG57" s="37">
        <f>W_g!AG57/(rat_weight!AG57/1000)*0.1578</f>
        <v>1.9249698795180776</v>
      </c>
      <c r="AH57" s="37">
        <f>W_g!AH57/(rat_weight!AH57/1000)*0.1578</f>
        <v>2.5666265060240989</v>
      </c>
      <c r="AI57" s="37">
        <f>W_g!AI57/(rat_weight!AI57/1000)*0.1578</f>
        <v>0.66143712574849212</v>
      </c>
      <c r="AJ57" s="37">
        <f>W_g!AJ57/(rat_weight!AJ57/1000)*0.1578</f>
        <v>1.2283832335329314</v>
      </c>
      <c r="AK57" s="37">
        <f>W_g!AK57/(rat_weight!AK57/1000)*0.1578</f>
        <v>0.7795508982035686</v>
      </c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</row>
    <row r="58" spans="1:85">
      <c r="A58" s="30">
        <v>57</v>
      </c>
      <c r="B58" s="37">
        <f>W_g!B58/(rat_weight!B58/1000)*0.1578</f>
        <v>10.832033898305101</v>
      </c>
      <c r="C58" s="37">
        <f>W_g!C58/(rat_weight!C58/1000)*0.1578</f>
        <v>12.930833333333331</v>
      </c>
      <c r="D58" s="37">
        <f>W_g!D58/(rat_weight!D58/1000)*0.1578</f>
        <v>12.935306122448978</v>
      </c>
      <c r="E58" s="37">
        <f>W_g!E58/(rat_weight!E58/1000)*0.1578</f>
        <v>15.08224489795918</v>
      </c>
      <c r="F58" s="37">
        <f>W_g!F58/(rat_weight!F58/1000)*0.1578</f>
        <v>-2.6476510067135167E-2</v>
      </c>
      <c r="G58" s="37">
        <f>W_g!G58/(rat_weight!G58/1000)*0.1578</f>
        <v>-0.15939393939393032</v>
      </c>
      <c r="H58" s="37">
        <f>W_g!H58/(rat_weight!H58/1000)*0.1578</f>
        <v>-0.21396610169491828</v>
      </c>
      <c r="I58" s="37">
        <f>W_g!I58/(rat_weight!I58/1000)*0.1578</f>
        <v>-0.15832775919733041</v>
      </c>
      <c r="J58" s="37">
        <f>W_g!J58/(rat_weight!J58/1000)*0.1578</f>
        <v>-0.1804901960784431</v>
      </c>
      <c r="K58" s="37">
        <f>W_g!K58/(rat_weight!K58/1000)*0.1578</f>
        <v>-0.13327702702702704</v>
      </c>
      <c r="L58" s="37">
        <f>W_g!L58/(rat_weight!L58/1000)*0.1578</f>
        <v>-0.15623762376238215</v>
      </c>
      <c r="M58" s="37">
        <f>W_g!M58/(rat_weight!M58/1000)*0.1578</f>
        <v>-0.28833887043186984</v>
      </c>
      <c r="N58" s="37">
        <f>W_g!N58/(rat_weight!N58/1000)*0.1578</f>
        <v>9.6063311688311543</v>
      </c>
      <c r="O58" s="37">
        <f>W_g!O58/(rat_weight!O58/1000)*0.1578</f>
        <v>8.5304220779220667</v>
      </c>
      <c r="P58" s="37">
        <f>W_g!P58/(rat_weight!P58/1000)*0.1578</f>
        <v>7.2495779220779104</v>
      </c>
      <c r="Q58" s="37">
        <f>W_g!Q58/(rat_weight!Q58/1000)*0.1578</f>
        <v>10.553186119873812</v>
      </c>
      <c r="R58" s="37">
        <f>W_g!R58/(rat_weight!R58/1000)*0.1578</f>
        <v>9.18425867507883</v>
      </c>
      <c r="S58" s="37">
        <f>W_g!S58/(rat_weight!S58/1000)*0.1578</f>
        <v>10.652744479495325</v>
      </c>
      <c r="T58" s="37">
        <f>W_g!T58/(rat_weight!T58/1000)*0.1578</f>
        <v>7.9132743362831715</v>
      </c>
      <c r="U58" s="37">
        <f>W_g!U58/(rat_weight!U58/1000)*0.1578</f>
        <v>9.7286725663716691</v>
      </c>
      <c r="V58" s="37">
        <f>W_g!V58/(rat_weight!V58/1000)*0.1578</f>
        <v>7.610707964601767</v>
      </c>
      <c r="W58" s="37">
        <f>W_g!W58/(rat_weight!W58/1000)*0.1578</f>
        <v>9.1602167182662537</v>
      </c>
      <c r="X58" s="37">
        <f>W_g!X58/(rat_weight!X58/1000)*0.1578</f>
        <v>8.5739628482972332</v>
      </c>
      <c r="Y58" s="37">
        <f>W_g!Y58/(rat_weight!Y58/1000)*0.1578</f>
        <v>7.938854489164072</v>
      </c>
      <c r="Z58" s="37">
        <f>W_g!Z58/(rat_weight!Z58/1000)*0.1578</f>
        <v>9.8143902439024284</v>
      </c>
      <c r="AA58" s="37">
        <f>W_g!AA58/(rat_weight!AA58/1000)*0.1578</f>
        <v>7.6975609756097967</v>
      </c>
      <c r="AB58" s="37">
        <f>W_g!AB58/(rat_weight!AB58/1000)*0.1578</f>
        <v>8.7800304878048774</v>
      </c>
      <c r="AC58" s="37">
        <f>W_g!AC58/(rat_weight!AC58/1000)*0.1578</f>
        <v>6.394036697247679</v>
      </c>
      <c r="AD58" s="37">
        <f>W_g!AD58/(rat_weight!AD58/1000)*0.1578</f>
        <v>8.541467889908251</v>
      </c>
      <c r="AE58" s="37">
        <f>W_g!AE58/(rat_weight!AE58/1000)*0.1578</f>
        <v>5.83908256880735</v>
      </c>
      <c r="AF58" s="37">
        <f>W_g!AF58/(rat_weight!AF58/1000)*0.1578</f>
        <v>7.4747368421052833</v>
      </c>
      <c r="AG58" s="37">
        <f>W_g!AG58/(rat_weight!AG58/1000)*0.1578</f>
        <v>7.9130701754385857</v>
      </c>
      <c r="AH58" s="37">
        <f>W_g!AH58/(rat_weight!AH58/1000)*0.1578</f>
        <v>9.3203508771929897</v>
      </c>
      <c r="AI58" s="37">
        <f>W_g!AI58/(rat_weight!AI58/1000)*0.1578</f>
        <v>5.9505586592178776</v>
      </c>
      <c r="AJ58" s="37">
        <f>W_g!AJ58/(rat_weight!AJ58/1000)*0.1578</f>
        <v>7.0084357541899465</v>
      </c>
      <c r="AK58" s="37">
        <f>W_g!AK58/(rat_weight!AK58/1000)*0.1578</f>
        <v>6.2370670391061225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</row>
    <row r="59" spans="1:85">
      <c r="A59" s="30">
        <v>58</v>
      </c>
      <c r="B59" s="37">
        <f>W_g!B59/(rat_weight!B59/1000)*0.1578</f>
        <v>-7.9696969696960648E-2</v>
      </c>
      <c r="C59" s="37">
        <f>W_g!C59/(rat_weight!C59/1000)*0.1578</f>
        <v>10.240897959183668</v>
      </c>
      <c r="D59" s="37">
        <f>W_g!D59/(rat_weight!D59/1000)*0.1578</f>
        <v>9.461649899396372</v>
      </c>
      <c r="E59" s="37">
        <f>W_g!E59/(rat_weight!E59/1000)*0.1578</f>
        <v>9.2535145631068012</v>
      </c>
      <c r="F59" s="37">
        <f>W_g!F59/(rat_weight!F59/1000)*0.1578</f>
        <v>9.4771566731141146</v>
      </c>
      <c r="G59" s="37">
        <f>W_g!G59/(rat_weight!G59/1000)*0.1578</f>
        <v>8.8875862068965539</v>
      </c>
      <c r="H59" s="37">
        <f>W_g!H59/(rat_weight!H59/1000)*0.1578</f>
        <v>9.4798870056497186</v>
      </c>
      <c r="I59" s="37">
        <f>W_g!I59/(rat_weight!I59/1000)*0.1578</f>
        <v>8.5082462686567251</v>
      </c>
      <c r="J59" s="37">
        <f>W_g!J59/(rat_weight!J59/1000)*0.1578</f>
        <v>8.5364804469273601</v>
      </c>
      <c r="K59" s="37">
        <f>W_g!K59/(rat_weight!K59/1000)*0.1578</f>
        <v>8.7908839779005525</v>
      </c>
      <c r="L59" s="37">
        <f>W_g!L59/(rat_weight!L59/1000)*0.1578</f>
        <v>8.4525411334551954</v>
      </c>
      <c r="M59" s="37">
        <f>W_g!M59/(rat_weight!M59/1000)*0.1578</f>
        <v>7.9042934782608789</v>
      </c>
      <c r="N59" s="37">
        <f>W_g!N59/(rat_weight!N59/1000)*0.1578</f>
        <v>6.6761538461538468</v>
      </c>
      <c r="O59" s="37">
        <f>W_g!O59/(rat_weight!O59/1000)*0.1578</f>
        <v>7.4383363148479313</v>
      </c>
      <c r="P59" s="37">
        <f>W_g!P59/(rat_weight!P59/1000)*0.1578</f>
        <v>7.9464579606439996</v>
      </c>
      <c r="Q59" s="37">
        <f>W_g!Q59/(rat_weight!Q59/1000)*0.1578</f>
        <v>7.6390812720848</v>
      </c>
      <c r="R59" s="37">
        <f>W_g!R59/(rat_weight!R59/1000)*0.1578</f>
        <v>7.1233038869257985</v>
      </c>
      <c r="S59" s="37">
        <f>W_g!S59/(rat_weight!S59/1000)*0.1578</f>
        <v>7.4160424028268697</v>
      </c>
      <c r="T59" s="37">
        <f>W_g!T59/(rat_weight!T59/1000)*0.1578</f>
        <v>6.9258175559380302</v>
      </c>
      <c r="U59" s="37">
        <f>W_g!U59/(rat_weight!U59/1000)*0.1578</f>
        <v>9.9134251290877806</v>
      </c>
      <c r="V59" s="37">
        <f>W_g!V59/(rat_weight!V59/1000)*0.1578</f>
        <v>7.5912392426850301</v>
      </c>
      <c r="W59" s="37">
        <f>W_g!W59/(rat_weight!W59/1000)*0.1578</f>
        <v>7.4471938775510358</v>
      </c>
      <c r="X59" s="37">
        <f>W_g!X59/(rat_weight!X59/1000)*0.1578</f>
        <v>7.7423979591836876</v>
      </c>
      <c r="Y59" s="37">
        <f>W_g!Y59/(rat_weight!Y59/1000)*0.1578</f>
        <v>7.5813775510204167</v>
      </c>
      <c r="Z59" s="37">
        <f>W_g!Z59/(rat_weight!Z59/1000)*0.1578</f>
        <v>6.1632323232323198</v>
      </c>
      <c r="AA59" s="37">
        <f>W_g!AA59/(rat_weight!AA59/1000)*0.1578</f>
        <v>7.4915151515151557</v>
      </c>
      <c r="AB59" s="37">
        <f>W_g!AB59/(rat_weight!AB59/1000)*0.1578</f>
        <v>7.1860101010101047</v>
      </c>
      <c r="AC59" s="37">
        <f>W_g!AC59/(rat_weight!AC59/1000)*0.1578</f>
        <v>7.8373121869782825</v>
      </c>
      <c r="AD59" s="37">
        <f>W_g!AD59/(rat_weight!AD59/1000)*0.1578</f>
        <v>7.2445742904841408</v>
      </c>
      <c r="AE59" s="37">
        <f>W_g!AE59/(rat_weight!AE59/1000)*0.1578</f>
        <v>7.771452420701169</v>
      </c>
      <c r="AF59" s="37">
        <f>W_g!AF59/(rat_weight!AF59/1000)*0.1578</f>
        <v>6.3171993410214196</v>
      </c>
      <c r="AG59" s="37">
        <f>W_g!AG59/(rat_weight!AG59/1000)*0.1578</f>
        <v>6.7461449752883009</v>
      </c>
      <c r="AH59" s="37">
        <f>W_g!AH59/(rat_weight!AH59/1000)*0.1578</f>
        <v>7.1230971993410224</v>
      </c>
      <c r="AI59" s="37">
        <f>W_g!AI59/(rat_weight!AI59/1000)*0.1578</f>
        <v>5.9077832512315291</v>
      </c>
      <c r="AJ59" s="37">
        <f>W_g!AJ59/(rat_weight!AJ59/1000)*0.1578</f>
        <v>6.3482758620689737</v>
      </c>
      <c r="AK59" s="37">
        <f>W_g!AK59/(rat_weight!AK59/1000)*0.1578</f>
        <v>7.993645320197043</v>
      </c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</row>
    <row r="60" spans="1:85">
      <c r="A60" s="30">
        <v>59</v>
      </c>
      <c r="B60" s="37">
        <f>W_g!B60/(rat_weight!B60/1000)*0.1578</f>
        <v>7.3500000000000165</v>
      </c>
      <c r="C60" s="37">
        <f>W_g!C60/(rat_weight!C60/1000)*0.1578</f>
        <v>-0.12045801526715159</v>
      </c>
      <c r="D60" s="37">
        <f>W_g!D60/(rat_weight!D60/1000)*0.1578</f>
        <v>4.0381889763779704</v>
      </c>
      <c r="E60" s="37">
        <f>W_g!E60/(rat_weight!E60/1000)*0.1578</f>
        <v>3.6275862068965345</v>
      </c>
      <c r="F60" s="37">
        <f>W_g!F60/(rat_weight!F60/1000)*0.1578</f>
        <v>1.0227777777777944</v>
      </c>
      <c r="G60" s="37">
        <f>W_g!G60/(rat_weight!G60/1000)*0.1578</f>
        <v>3.3941886792452931</v>
      </c>
      <c r="H60" s="37">
        <f>W_g!H60/(rat_weight!H60/1000)*0.1578</f>
        <v>3.840000000000003</v>
      </c>
      <c r="I60" s="37">
        <f>W_g!I60/(rat_weight!I60/1000)*0.1578</f>
        <v>1.0598507462686633</v>
      </c>
      <c r="J60" s="37">
        <f>W_g!J60/(rat_weight!J60/1000)*0.1578</f>
        <v>0.79488805970147247</v>
      </c>
      <c r="K60" s="37">
        <f>W_g!K60/(rat_weight!K60/1000)*0.1578</f>
        <v>0.31791208791209447</v>
      </c>
      <c r="L60" s="37">
        <f>W_g!L60/(rat_weight!L60/1000)*0.1578</f>
        <v>2.2208888888888954</v>
      </c>
      <c r="M60" s="37">
        <f>W_g!M60/(rat_weight!M60/1000)*0.1578</f>
        <v>2.8901098901105468E-2</v>
      </c>
      <c r="N60" s="37">
        <f>W_g!N60/(rat_weight!N60/1000)*0.1578</f>
        <v>2.1835793357933411</v>
      </c>
      <c r="O60" s="37">
        <f>W_g!O60/(rat_weight!O60/1000)*0.1578</f>
        <v>1.0190036900369002</v>
      </c>
      <c r="P60" s="37">
        <f>W_g!P60/(rat_weight!P60/1000)*0.1578</f>
        <v>0.14557195571955719</v>
      </c>
      <c r="Q60" s="37">
        <f>W_g!Q60/(rat_weight!Q60/1000)*0.1578</f>
        <v>3.5066666666666664</v>
      </c>
      <c r="R60" s="37">
        <f>W_g!R60/(rat_weight!R60/1000)*0.1578</f>
        <v>2.0747777777777845</v>
      </c>
      <c r="S60" s="37">
        <f>W_g!S60/(rat_weight!S60/1000)*0.1578</f>
        <v>1.6364444444444344</v>
      </c>
      <c r="T60" s="37">
        <f>W_g!T60/(rat_weight!T60/1000)*0.1578</f>
        <v>1.77883636363636</v>
      </c>
      <c r="U60" s="37">
        <f>W_g!U60/(rat_weight!U60/1000)*0.1578</f>
        <v>1.6066909090909154</v>
      </c>
      <c r="V60" s="37">
        <f>W_g!V60/(rat_weight!V60/1000)*0.1578</f>
        <v>0.48774545454545121</v>
      </c>
      <c r="W60" s="37">
        <f>W_g!W60/(rat_weight!W60/1000)*0.1578</f>
        <v>8.3936170212785044E-2</v>
      </c>
      <c r="X60" s="37">
        <f>W_g!X60/(rat_weight!X60/1000)*0.1578</f>
        <v>2.0984042553191649</v>
      </c>
      <c r="Y60" s="37">
        <f>W_g!Y60/(rat_weight!Y60/1000)*0.1578</f>
        <v>0.75542553191489048</v>
      </c>
      <c r="Z60" s="37">
        <f>W_g!Z60/(rat_weight!Z60/1000)*0.1578</f>
        <v>0.45574007220217244</v>
      </c>
      <c r="AA60" s="37">
        <f>W_g!AA60/(rat_weight!AA60/1000)*0.1578</f>
        <v>1.6191139884901633E-14</v>
      </c>
      <c r="AB60" s="37">
        <f>W_g!AB60/(rat_weight!AB60/1000)*0.1578</f>
        <v>8.5451263537893174E-2</v>
      </c>
      <c r="AC60" s="37">
        <f>W_g!AC60/(rat_weight!AC60/1000)*0.1578</f>
        <v>2.0944363636363503</v>
      </c>
      <c r="AD60" s="37">
        <f>W_g!AD60/(rat_weight!AD60/1000)*0.1578</f>
        <v>0.3442909090908895</v>
      </c>
      <c r="AE60" s="37">
        <f>W_g!AE60/(rat_weight!AE60/1000)*0.1578</f>
        <v>5.7381818181831225E-2</v>
      </c>
      <c r="AF60" s="37">
        <f>W_g!AF60/(rat_weight!AF60/1000)*0.1578</f>
        <v>-5.6357142857123628E-2</v>
      </c>
      <c r="AG60" s="37">
        <f>W_g!AG60/(rat_weight!AG60/1000)*0.1578</f>
        <v>8.453571428570146E-2</v>
      </c>
      <c r="AH60" s="37">
        <f>W_g!AH60/(rat_weight!AH60/1000)*0.1578</f>
        <v>-0.11271428571429531</v>
      </c>
      <c r="AI60" s="37">
        <f>W_g!AI60/(rat_weight!AI60/1000)*0.1578</f>
        <v>-0.11393501805053502</v>
      </c>
      <c r="AJ60" s="37">
        <f>W_g!AJ60/(rat_weight!AJ60/1000)*0.1578</f>
        <v>0.34180505415162127</v>
      </c>
      <c r="AK60" s="37">
        <f>W_g!AK60/(rat_weight!AK60/1000)*0.1578</f>
        <v>1.7375090252707484</v>
      </c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</row>
    <row r="61" spans="1:85" s="18" customFormat="1">
      <c r="A61" s="33">
        <v>60</v>
      </c>
      <c r="B61" s="38">
        <f>W_g!B61/(rat_weight!B61/1000)*0.1578</f>
        <v>0.11364197530864012</v>
      </c>
      <c r="C61" s="38">
        <f>W_g!C61/(rat_weight!C61/1000)*0.1578</f>
        <v>9.1716681965598215E-15</v>
      </c>
      <c r="D61" s="38">
        <f>W_g!D61/(rat_weight!D61/1000)*0.1578</f>
        <v>1.5105091649694373</v>
      </c>
      <c r="E61" s="38">
        <f>W_g!E61/(rat_weight!E61/1000)*0.1578</f>
        <v>0.63119999999999099</v>
      </c>
      <c r="F61" s="38">
        <f>W_g!F61/(rat_weight!F61/1000)*0.1578</f>
        <v>2.4626838966202764</v>
      </c>
      <c r="G61" s="38">
        <f>W_g!G61/(rat_weight!G61/1000)*0.1578</f>
        <v>1.8823061630218776</v>
      </c>
      <c r="H61" s="38">
        <f>W_g!H61/(rat_weight!H61/1000)*0.1578</f>
        <v>-9.2460937499994747E-2</v>
      </c>
      <c r="I61" s="38">
        <f>W_g!I61/(rat_weight!I61/1000)*0.1578</f>
        <v>0.70886718749998601</v>
      </c>
      <c r="J61" s="38">
        <f>W_g!J61/(rat_weight!J61/1000)*0.1578</f>
        <v>0.1987790697674349</v>
      </c>
      <c r="K61" s="38">
        <f>W_g!K61/(rat_weight!K61/1000)*0.1578</f>
        <v>4.5171755725201108E-2</v>
      </c>
      <c r="L61" s="38">
        <f>W_g!L61/(rat_weight!L61/1000)*0.1578</f>
        <v>5.9435028248584189E-2</v>
      </c>
      <c r="M61" s="38">
        <f>W_g!M61/(rat_weight!M61/1000)*0.1578</f>
        <v>0.45803370786518866</v>
      </c>
      <c r="N61" s="38">
        <f>W_g!N61/(rat_weight!N61/1000)*0.1578</f>
        <v>7.2518382352932925E-2</v>
      </c>
      <c r="O61" s="38">
        <f>W_g!O61/(rat_weight!O61/1000)*0.1578</f>
        <v>0.68167279411765358</v>
      </c>
      <c r="P61" s="38">
        <f>W_g!P61/(rat_weight!P61/1000)*0.1578</f>
        <v>1.4503676470591531E-2</v>
      </c>
      <c r="Q61" s="38">
        <f>W_g!Q61/(rat_weight!Q61/1000)*0.1578</f>
        <v>2.7010810810810808</v>
      </c>
      <c r="R61" s="38">
        <f>W_g!R61/(rat_weight!R61/1000)*0.1578</f>
        <v>9.9513513513503807E-2</v>
      </c>
      <c r="S61" s="38">
        <f>W_g!S61/(rat_weight!S61/1000)*0.1578</f>
        <v>0.11372972972973133</v>
      </c>
      <c r="T61" s="38">
        <f>W_g!T61/(rat_weight!T61/1000)*0.1578</f>
        <v>0.48161579892278938</v>
      </c>
      <c r="U61" s="38">
        <f>W_g!U61/(rat_weight!U61/1000)*0.1578</f>
        <v>0.73658886894074427</v>
      </c>
      <c r="V61" s="38">
        <f>W_g!V61/(rat_weight!V61/1000)*0.1578</f>
        <v>4.2495511669660486E-2</v>
      </c>
      <c r="W61" s="38">
        <f>W_g!W61/(rat_weight!W61/1000)*0.1578</f>
        <v>0.20873015873015874</v>
      </c>
      <c r="X61" s="38">
        <f>W_g!X61/(rat_weight!X61/1000)*0.1578</f>
        <v>9.7407407407421653E-2</v>
      </c>
      <c r="Y61" s="38">
        <f>W_g!Y61/(rat_weight!Y61/1000)*0.1578</f>
        <v>4.1746031746033328E-2</v>
      </c>
      <c r="Z61" s="38">
        <f>W_g!Z61/(rat_weight!Z61/1000)*0.1578</f>
        <v>5.5078534031410484E-2</v>
      </c>
      <c r="AA61" s="38">
        <f>W_g!AA61/(rat_weight!AA61/1000)*0.1578</f>
        <v>0.99141361256545923</v>
      </c>
      <c r="AB61" s="38">
        <f>W_g!AB61/(rat_weight!AB61/1000)*0.1578</f>
        <v>6.8848167539267022E-2</v>
      </c>
      <c r="AC61" s="38">
        <f>W_g!AC61/(rat_weight!AC61/1000)*0.1578</f>
        <v>0.15015570934256364</v>
      </c>
      <c r="AD61" s="38">
        <f>W_g!AD61/(rat_weight!AD61/1000)*0.1578</f>
        <v>8.1903114186854323E-2</v>
      </c>
      <c r="AE61" s="38">
        <f>W_g!AE61/(rat_weight!AE61/1000)*0.1578</f>
        <v>2.7301038062274428E-2</v>
      </c>
      <c r="AF61" s="38">
        <f>W_g!AF61/(rat_weight!AF61/1000)*0.1578</f>
        <v>0.56938144329897522</v>
      </c>
      <c r="AG61" s="38">
        <f>W_g!AG61/(rat_weight!AG61/1000)*0.1578</f>
        <v>6.7783505154639184E-2</v>
      </c>
      <c r="AH61" s="38">
        <f>W_g!AH61/(rat_weight!AH61/1000)*0.1578</f>
        <v>2.7113402061854131E-2</v>
      </c>
      <c r="AI61" s="37">
        <f>W_g!AI61/(rat_weight!AI61/1000)*0.1578</f>
        <v>0</v>
      </c>
      <c r="AJ61" s="37">
        <f>W_g!AJ61/(rat_weight!AJ61/1000)*0.1578</f>
        <v>5.3131313131317665E-2</v>
      </c>
      <c r="AK61" s="37">
        <f>W_g!AK61/(rat_weight!AK61/1000)*0.1578</f>
        <v>1.3282828282823752E-2</v>
      </c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</row>
    <row r="62" spans="1:8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</row>
    <row r="63" spans="1:8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</row>
    <row r="64" spans="1:8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</row>
    <row r="65" spans="2:8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</row>
    <row r="66" spans="2:8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</row>
    <row r="67" spans="2:8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</row>
    <row r="68" spans="2:8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</row>
    <row r="69" spans="2:8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</row>
    <row r="70" spans="2:8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</row>
    <row r="71" spans="2:8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</row>
    <row r="72" spans="2:8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</row>
    <row r="73" spans="2:8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</row>
    <row r="74" spans="2:8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</row>
    <row r="75" spans="2:8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</row>
    <row r="76" spans="2:8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</row>
    <row r="77" spans="2:8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</row>
    <row r="78" spans="2:8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</row>
    <row r="79" spans="2:8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</row>
    <row r="80" spans="2:8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</row>
    <row r="81" spans="2:8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</row>
    <row r="82" spans="2:8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</row>
    <row r="83" spans="2:8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</row>
    <row r="84" spans="2:8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</row>
    <row r="85" spans="2:8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</row>
    <row r="86" spans="2:8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</row>
    <row r="87" spans="2:8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</row>
    <row r="88" spans="2:8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</row>
    <row r="89" spans="2:8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</row>
    <row r="90" spans="2:8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</row>
    <row r="91" spans="2:8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</row>
    <row r="92" spans="2:8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</row>
    <row r="93" spans="2:8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</row>
    <row r="94" spans="2:8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</row>
    <row r="95" spans="2:8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</row>
    <row r="96" spans="2:8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</row>
    <row r="97" spans="2:8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</row>
    <row r="98" spans="2:8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</row>
    <row r="99" spans="2:8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</row>
    <row r="100" spans="2:8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</row>
    <row r="101" spans="2:8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</row>
    <row r="102" spans="2:8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</row>
    <row r="103" spans="2:8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</row>
    <row r="104" spans="2:8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</row>
    <row r="105" spans="2:8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</row>
    <row r="106" spans="2:8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</row>
    <row r="107" spans="2:8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</row>
    <row r="108" spans="2:8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</row>
    <row r="109" spans="2:8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</row>
    <row r="110" spans="2:8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</row>
    <row r="111" spans="2:8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</row>
    <row r="112" spans="2:8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</row>
    <row r="113" spans="2:8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</row>
    <row r="114" spans="2:8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</row>
    <row r="115" spans="2:8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</row>
    <row r="116" spans="2:8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</row>
    <row r="117" spans="2:8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</row>
    <row r="118" spans="2:8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</row>
    <row r="119" spans="2:8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</row>
    <row r="120" spans="2:8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</row>
    <row r="121" spans="2:8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</row>
    <row r="122" spans="2:8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</row>
    <row r="123" spans="2:8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</row>
    <row r="124" spans="2:8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</row>
    <row r="125" spans="2:8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</row>
    <row r="126" spans="2:8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</row>
    <row r="127" spans="2:8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</row>
    <row r="128" spans="2:8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</row>
    <row r="129" spans="2:8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</row>
    <row r="130" spans="2:8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</row>
    <row r="131" spans="2:8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</row>
    <row r="132" spans="2:8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</row>
    <row r="133" spans="2:8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</row>
    <row r="134" spans="2:8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</row>
    <row r="135" spans="2:8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</row>
    <row r="136" spans="2:8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</row>
    <row r="137" spans="2:8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</row>
    <row r="138" spans="2:8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</row>
    <row r="139" spans="2:8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</row>
    <row r="140" spans="2:8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</row>
    <row r="141" spans="2:8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</row>
    <row r="142" spans="2:8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</row>
    <row r="143" spans="2:8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</row>
    <row r="144" spans="2:8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</row>
    <row r="145" spans="2:8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</row>
    <row r="146" spans="2:8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</row>
    <row r="147" spans="2:8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</row>
    <row r="148" spans="2:8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</row>
    <row r="149" spans="2:8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</row>
    <row r="150" spans="2:8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</row>
    <row r="151" spans="2:8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</row>
    <row r="152" spans="2:8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</row>
    <row r="153" spans="2:8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</row>
    <row r="154" spans="2:8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</row>
    <row r="155" spans="2:8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</row>
    <row r="156" spans="2:8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</row>
  </sheetData>
  <conditionalFormatting sqref="B2:AQ61">
    <cfRule type="colorScale" priority="1">
      <colorScale>
        <cfvo type="num" val="-5"/>
        <cfvo type="percentile" val="50"/>
        <cfvo type="num" val="30"/>
        <color rgb="FFFF0000"/>
        <color rgb="FFFFEB84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suspicious_values</vt:lpstr>
      <vt:lpstr>notes</vt:lpstr>
      <vt:lpstr>rat_weight</vt:lpstr>
      <vt:lpstr>eth_ON</vt:lpstr>
      <vt:lpstr>eth_OFF</vt:lpstr>
      <vt:lpstr>E_g</vt:lpstr>
      <vt:lpstr>E_per_kg</vt:lpstr>
      <vt:lpstr>water_ON</vt:lpstr>
      <vt:lpstr>water_OFF</vt:lpstr>
      <vt:lpstr>W_g</vt:lpstr>
      <vt:lpstr>W_per_kg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Swygart, David</dc:creator>
  <cp:keywords/>
  <dc:description/>
  <cp:lastModifiedBy>Swygart, David</cp:lastModifiedBy>
  <cp:revision/>
  <dcterms:created xsi:type="dcterms:W3CDTF">2025-07-05T18:03:08Z</dcterms:created>
  <dcterms:modified xsi:type="dcterms:W3CDTF">2026-04-05T02:20:41Z</dcterms:modified>
  <cp:category/>
  <cp:contentStatus/>
</cp:coreProperties>
</file>